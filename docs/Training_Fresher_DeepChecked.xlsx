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Phan_Cong_Task" sheetId="2" state="visible" r:id="rId2"/>
    <sheet xmlns:r="http://schemas.openxmlformats.org/officeDocument/2006/relationships" name="Job_dependence" sheetId="3" state="visible" r:id="rId3"/>
    <sheet xmlns:r="http://schemas.openxmlformats.org/officeDocument/2006/relationships" name="Bronze_Mapping_1_1" sheetId="4" state="visible" r:id="rId4"/>
    <sheet xmlns:r="http://schemas.openxmlformats.org/officeDocument/2006/relationships" name="Map_SRC2TRG" sheetId="5" state="visible" r:id="rId5"/>
    <sheet xmlns:r="http://schemas.openxmlformats.org/officeDocument/2006/relationships" name="DDL" sheetId="6" state="visible" r:id="rId6"/>
    <sheet xmlns:r="http://schemas.openxmlformats.org/officeDocument/2006/relationships" name="Tham khảo Interface accouting a" sheetId="7" state="visible" r:id="rId7"/>
    <sheet xmlns:r="http://schemas.openxmlformats.org/officeDocument/2006/relationships" name="Arrangement Delinquency Summary" sheetId="8" state="visible" r:id="rId8"/>
    <sheet xmlns:r="http://schemas.openxmlformats.org/officeDocument/2006/relationships" name="Arrangement Turnover Summary" sheetId="9" state="visible" r:id="rId9"/>
    <sheet xmlns:r="http://schemas.openxmlformats.org/officeDocument/2006/relationships" name="Asset Arrangement Interest Summ" sheetId="10" state="visible" r:id="rId10"/>
    <sheet xmlns:r="http://schemas.openxmlformats.org/officeDocument/2006/relationships" name="Arrangement Activity Schedule I" sheetId="11" state="visible" r:id="rId11"/>
    <sheet xmlns:r="http://schemas.openxmlformats.org/officeDocument/2006/relationships" name="sk_lich_tra_no" sheetId="12" state="visible" r:id="rId12"/>
    <sheet xmlns:r="http://schemas.openxmlformats.org/officeDocument/2006/relationships" name="Saoke_GIAINGAN" sheetId="13" state="visible" r:id="rId13"/>
    <sheet xmlns:r="http://schemas.openxmlformats.org/officeDocument/2006/relationships" name="Interface Customer" sheetId="14" state="visible" r:id="rId14"/>
    <sheet xmlns:r="http://schemas.openxmlformats.org/officeDocument/2006/relationships" name="Interface Loan Repayment Schedu" sheetId="15" state="visible" r:id="rId15"/>
    <sheet xmlns:r="http://schemas.openxmlformats.org/officeDocument/2006/relationships" name="Interface Loan Arrangement" sheetId="16" state="visible" r:id="rId16"/>
    <sheet xmlns:r="http://schemas.openxmlformats.org/officeDocument/2006/relationships" name="Interface Loan Disbursement" sheetId="17" state="visible" r:id="rId17"/>
    <sheet xmlns:r="http://schemas.openxmlformats.org/officeDocument/2006/relationships" name="Customer" sheetId="18" state="visible" r:id="rId18"/>
    <sheet xmlns:r="http://schemas.openxmlformats.org/officeDocument/2006/relationships" name="Posting Entry" sheetId="19" state="visible" r:id="rId19"/>
    <sheet xmlns:r="http://schemas.openxmlformats.org/officeDocument/2006/relationships" name="SAOKE_TINDUNG" sheetId="20" state="visible" r:id="rId20"/>
    <sheet xmlns:r="http://schemas.openxmlformats.org/officeDocument/2006/relationships" name="CUST_INFO_DAILY" sheetId="21" state="visible" r:id="rId21"/>
    <sheet xmlns:r="http://schemas.openxmlformats.org/officeDocument/2006/relationships" name="Exchange Rate" sheetId="22" state="visible" r:id="rId22"/>
    <sheet xmlns:r="http://schemas.openxmlformats.org/officeDocument/2006/relationships" name="Dimension Loan Arrangement" sheetId="23" state="visible" r:id="rId23"/>
    <sheet xmlns:r="http://schemas.openxmlformats.org/officeDocument/2006/relationships" name="Dimension Organization Unit" sheetId="24" state="visible" r:id="rId24"/>
    <sheet xmlns:r="http://schemas.openxmlformats.org/officeDocument/2006/relationships" name="Dimension Limit" sheetId="25" state="visible" r:id="rId25"/>
    <sheet xmlns:r="http://schemas.openxmlformats.org/officeDocument/2006/relationships" name="Dimension Currency" sheetId="26" state="visible" r:id="rId26"/>
    <sheet xmlns:r="http://schemas.openxmlformats.org/officeDocument/2006/relationships" name="Dimension Loan Restructure Type" sheetId="27" state="visible" r:id="rId27"/>
    <sheet xmlns:r="http://schemas.openxmlformats.org/officeDocument/2006/relationships" name="Dimension Customer" sheetId="28" state="visible" r:id="rId28"/>
    <sheet xmlns:r="http://schemas.openxmlformats.org/officeDocument/2006/relationships" name="Dimension Financial Status" sheetId="29" state="visible" r:id="rId29"/>
    <sheet xmlns:r="http://schemas.openxmlformats.org/officeDocument/2006/relationships" name="Dimension Product" sheetId="30" state="visible" r:id="rId30"/>
    <sheet xmlns:r="http://schemas.openxmlformats.org/officeDocument/2006/relationships" name="Fact Loan Arrangement" sheetId="31" state="visible" r:id="rId31"/>
    <sheet xmlns:r="http://schemas.openxmlformats.org/officeDocument/2006/relationships" name="Classification Value" sheetId="32" state="visible" r:id="rId32"/>
    <sheet xmlns:r="http://schemas.openxmlformats.org/officeDocument/2006/relationships" name="Currency" sheetId="33" state="visible" r:id="rId33"/>
    <sheet xmlns:r="http://schemas.openxmlformats.org/officeDocument/2006/relationships" name="Limit" sheetId="34" state="visible" r:id="rId34"/>
    <sheet xmlns:r="http://schemas.openxmlformats.org/officeDocument/2006/relationships" name="Loan Arrangement" sheetId="35" state="visible" r:id="rId35"/>
    <sheet xmlns:r="http://schemas.openxmlformats.org/officeDocument/2006/relationships" name="Loan Arrangement Profile" sheetId="36" state="visible" r:id="rId36"/>
    <sheet xmlns:r="http://schemas.openxmlformats.org/officeDocument/2006/relationships" name="Arrangement x Involved Party" sheetId="37" state="visible" r:id="rId37"/>
    <sheet xmlns:r="http://schemas.openxmlformats.org/officeDocument/2006/relationships" name="Arrangement Balance" sheetId="38" state="visible" r:id="rId38"/>
    <sheet xmlns:r="http://schemas.openxmlformats.org/officeDocument/2006/relationships" name="Arrangement Rate History" sheetId="39" state="visible" r:id="rId39"/>
    <sheet xmlns:r="http://schemas.openxmlformats.org/officeDocument/2006/relationships" name="Involved Party Alternative Iden" sheetId="40" state="visible" r:id="rId40"/>
    <sheet xmlns:r="http://schemas.openxmlformats.org/officeDocument/2006/relationships" name="Involved Party Electronic Addre" sheetId="41" state="visible" r:id="rId41"/>
    <sheet xmlns:r="http://schemas.openxmlformats.org/officeDocument/2006/relationships" name="Involved Party Postal Address" sheetId="42" state="visible" r:id="rId42"/>
    <sheet xmlns:r="http://schemas.openxmlformats.org/officeDocument/2006/relationships" name="Individual Profile" sheetId="43" state="visible" r:id="rId43"/>
    <sheet xmlns:r="http://schemas.openxmlformats.org/officeDocument/2006/relationships" name="Individual Employment Status" sheetId="44" state="visible" r:id="rId44"/>
    <sheet xmlns:r="http://schemas.openxmlformats.org/officeDocument/2006/relationships" name="Organization Profile" sheetId="45" state="visible" r:id="rId45"/>
    <sheet xmlns:r="http://schemas.openxmlformats.org/officeDocument/2006/relationships" name="Product" sheetId="46" state="visible" r:id="rId46"/>
    <sheet xmlns:r="http://schemas.openxmlformats.org/officeDocument/2006/relationships" name="Organization Unit" sheetId="47" state="visible" r:id="rId47"/>
    <sheet xmlns:r="http://schemas.openxmlformats.org/officeDocument/2006/relationships" name="Employee" sheetId="48" state="visible" r:id="rId48"/>
  </sheets>
  <definedNames>
    <definedName name="_xlnm._FilterDatabase" localSheetId="2" hidden="1">'Job_dependence'!$A$1:$Y$3</definedName>
    <definedName name="_xlnm._FilterDatabase" localSheetId="4" hidden="1">'Map_SRC2TRG'!$B$1:$B$1000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d/m"/>
  </numFmts>
  <fonts count="41">
    <font>
      <name val="Calibri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1F4E78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F243E"/>
      <sz val="9"/>
    </font>
    <font>
      <name val="Arial"/>
      <charset val="1"/>
      <family val="0"/>
      <b val="1"/>
      <color rgb="FF0000FF"/>
      <sz val="10"/>
      <u val="single"/>
    </font>
    <font>
      <name val="Calibri"/>
      <charset val="1"/>
      <family val="2"/>
      <b val="1"/>
      <color rgb="FF1F4E78"/>
      <sz val="14"/>
    </font>
    <font>
      <name val="Calibri"/>
      <charset val="1"/>
      <family val="2"/>
      <i val="1"/>
      <color rgb="FF595959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1F1F1F"/>
      <sz val="10"/>
    </font>
    <font>
      <name val="Calibri"/>
      <charset val="1"/>
      <family val="2"/>
      <sz val="10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color rgb="FF1F4E78"/>
      <sz val="12"/>
    </font>
    <font>
      <name val="Times New Roman"/>
      <charset val="1"/>
      <family val="1"/>
      <color rgb="FF000000"/>
      <sz val="11"/>
    </font>
    <font>
      <name val="&quot;Aptos Narrow&quot;"/>
      <charset val="1"/>
      <family val="0"/>
      <b val="1"/>
      <color rgb="FF000000"/>
      <sz val="11"/>
    </font>
    <font>
      <name val="&quot;Aptos Narrow&quot;"/>
      <charset val="1"/>
      <family val="0"/>
      <color rgb="FF000000"/>
      <sz val="11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000000"/>
      <sz val="11"/>
    </font>
    <font>
      <name val="Calibri"/>
      <charset val="1"/>
      <family val="2"/>
      <strike val="1"/>
      <color rgb="FF000000"/>
      <sz val="11"/>
    </font>
    <font>
      <name val="Times New Roman"/>
      <charset val="1"/>
      <family val="1"/>
      <strike val="1"/>
      <color rgb="FF000000"/>
      <sz val="11"/>
    </font>
    <font>
      <name val="Arial"/>
      <charset val="1"/>
      <family val="2"/>
      <color rgb="FF000000"/>
      <sz val="11"/>
    </font>
    <font>
      <name val="Times New Roman"/>
      <charset val="1"/>
      <family val="1"/>
      <color rgb="FF1F1F1F"/>
      <sz val="11"/>
    </font>
    <font>
      <name val="Consolas"/>
      <charset val="1"/>
      <family val="3"/>
      <color rgb="FF000000"/>
      <sz val="11"/>
    </font>
    <font>
      <name val="Times New Roman"/>
      <charset val="1"/>
      <family val="1"/>
      <i val="1"/>
      <color rgb="FF006464"/>
      <sz val="11"/>
    </font>
    <font>
      <name val="Times New Roman"/>
      <charset val="1"/>
      <family val="1"/>
      <strike val="1"/>
      <color rgb="FF1F1F1F"/>
      <sz val="11"/>
    </font>
    <font>
      <name val="Times New Roman"/>
      <charset val="1"/>
      <family val="1"/>
      <strike val="1"/>
      <color rgb="FF000000"/>
      <sz val="10"/>
    </font>
    <font>
      <name val="Calibri"/>
      <charset val="1"/>
      <family val="2"/>
      <b val="1"/>
      <strike val="1"/>
      <color rgb="FF000000"/>
      <sz val="11"/>
    </font>
    <font>
      <name val="Times New Roman"/>
      <charset val="1"/>
      <family val="1"/>
      <strike val="1"/>
      <color rgb="FFFF0000"/>
      <sz val="11"/>
    </font>
    <font>
      <name val="Times New Roman"/>
      <charset val="1"/>
      <family val="1"/>
      <b val="1"/>
      <color rgb="FF000000"/>
      <sz val="12"/>
    </font>
    <font>
      <name val="Times New Roman"/>
      <charset val="1"/>
      <family val="1"/>
      <color rgb="FF000000"/>
      <sz val="12"/>
    </font>
    <font>
      <name val="Times New Roman"/>
      <charset val="1"/>
      <family val="1"/>
      <color rgb="FF1F1F1F"/>
      <sz val="12"/>
    </font>
    <font>
      <name val="Times New Roman"/>
      <charset val="1"/>
      <family val="1"/>
      <i val="1"/>
      <color rgb="FF006464"/>
      <sz val="12"/>
    </font>
    <font>
      <name val="Times New Roman"/>
      <charset val="1"/>
      <family val="1"/>
      <color rgb="FFFF0000"/>
      <sz val="12"/>
    </font>
    <font>
      <name val="Calibri"/>
      <charset val="1"/>
      <family val="2"/>
      <color rgb="FF000000"/>
      <sz val="11"/>
      <u val="single"/>
    </font>
    <font>
      <name val="Consolas"/>
      <charset val="1"/>
      <family val="3"/>
      <color rgb="FF3B3B3B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D9E1F2"/>
        <bgColor rgb="FFD9D9D9"/>
      </patternFill>
    </fill>
    <fill>
      <patternFill patternType="solid">
        <fgColor rgb="FF2F5597"/>
        <bgColor rgb="FF1F4E78"/>
      </patternFill>
    </fill>
    <fill>
      <patternFill patternType="solid">
        <fgColor rgb="FFFFFFFF"/>
        <bgColor rgb="FFFFFBF0"/>
      </patternFill>
    </fill>
    <fill>
      <patternFill patternType="solid">
        <fgColor rgb="FFF2F4F8"/>
        <bgColor rgb="FFF2F7FA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2F4F8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7FA"/>
        <bgColor rgb="FFF5F8FC"/>
      </patternFill>
    </fill>
    <fill>
      <patternFill patternType="solid">
        <fgColor rgb="FFF0F9F5"/>
        <bgColor rgb="FFF2F7FA"/>
      </patternFill>
    </fill>
    <fill>
      <patternFill patternType="solid">
        <fgColor rgb="FFFFFBF0"/>
        <bgColor rgb="FFFDF5F5"/>
      </patternFill>
    </fill>
    <fill>
      <patternFill patternType="solid">
        <fgColor rgb="FFFDF5F5"/>
        <bgColor rgb="FFFFF5FB"/>
      </patternFill>
    </fill>
    <fill>
      <patternFill patternType="solid">
        <fgColor rgb="FFF8F5FC"/>
        <bgColor rgb="FFF5F8FC"/>
      </patternFill>
    </fill>
    <fill>
      <patternFill patternType="solid">
        <fgColor rgb="FFF5F8FC"/>
        <bgColor rgb="FFF2F7FA"/>
      </patternFill>
    </fill>
    <fill>
      <patternFill patternType="solid">
        <fgColor rgb="FFFFF5FB"/>
        <bgColor rgb="FFFDF5F5"/>
      </patternFill>
    </fill>
    <fill>
      <patternFill patternType="solid">
        <fgColor rgb="FF6D9EEB"/>
        <bgColor rgb="FF5B9BD5"/>
      </patternFill>
    </fill>
    <fill>
      <patternFill patternType="solid">
        <fgColor rgb="FF833C0C"/>
        <bgColor rgb="FF993366"/>
      </patternFill>
    </fill>
    <fill>
      <patternFill patternType="solid">
        <fgColor rgb="FFFFFF00"/>
        <bgColor rgb="FFFFC000"/>
      </patternFill>
    </fill>
    <fill>
      <patternFill patternType="solid">
        <fgColor rgb="FFD9D9D9"/>
        <bgColor rgb="FFD9E1F2"/>
      </patternFill>
    </fill>
    <fill>
      <patternFill patternType="solid">
        <fgColor rgb="FFB6D7A8"/>
        <bgColor rgb="FFBFBFBF"/>
      </patternFill>
    </fill>
    <fill>
      <patternFill patternType="solid">
        <fgColor rgb="FF93C47D"/>
        <bgColor rgb="FFA2C4C9"/>
      </patternFill>
    </fill>
    <fill>
      <patternFill patternType="solid">
        <fgColor rgb="FFF4CCCC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5B9BD5"/>
        <bgColor rgb="FF6D9EEB"/>
      </patternFill>
    </fill>
    <fill>
      <patternFill patternType="solid">
        <fgColor rgb="FF6AA84F"/>
        <bgColor rgb="FF93C47D"/>
      </patternFill>
    </fill>
    <fill>
      <patternFill patternType="solid">
        <fgColor rgb="FFFFC000"/>
        <bgColor rgb="FFFFFF00"/>
      </patternFill>
    </fill>
    <fill>
      <patternFill patternType="solid">
        <fgColor rgb="FF00FFFF"/>
        <bgColor rgb="FF00CCFF"/>
      </patternFill>
    </fill>
    <fill>
      <patternFill patternType="solid">
        <fgColor rgb="FF00FF00"/>
        <bgColor rgb="FF00FFFF"/>
      </patternFill>
    </fill>
    <fill>
      <patternFill patternType="solid">
        <fgColor rgb="FFA64D79"/>
        <bgColor rgb="FF993366"/>
      </patternFill>
    </fill>
    <fill>
      <patternFill patternType="solid">
        <fgColor rgb="FFCC0000"/>
        <bgColor rgb="FFFF0000"/>
      </patternFill>
    </fill>
    <fill>
      <patternFill patternType="solid">
        <fgColor rgb="FFA2C4C9"/>
        <bgColor rgb="FFBFBFBF"/>
      </patternFill>
    </fill>
    <fill>
      <patternFill patternType="solid">
        <fgColor rgb="FFFF0000"/>
        <bgColor rgb="FFCC0000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double">
        <color rgb="FF1F4E78"/>
      </bottom>
      <diagonal/>
    </border>
    <border>
      <left/>
      <right style="thin">
        <color rgb="FFBFBFBF"/>
      </right>
      <top style="thin">
        <color rgb="FFBFBFBF"/>
      </top>
      <bottom style="double">
        <color rgb="FF1F4E78"/>
      </bottom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11" borderId="0" applyAlignment="1" pivotButton="0" quotePrefix="0" xfId="0">
      <alignment horizontal="general" vertical="bottom"/>
    </xf>
    <xf numFmtId="0" fontId="14" fillId="2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left" vertical="center" wrapText="1"/>
    </xf>
    <xf numFmtId="0" fontId="16" fillId="12" borderId="4" applyAlignment="1" pivotButton="0" quotePrefix="0" xfId="0">
      <alignment horizontal="center" vertical="center" wrapText="1"/>
    </xf>
    <xf numFmtId="0" fontId="16" fillId="12" borderId="4" applyAlignment="1" pivotButton="0" quotePrefix="0" xfId="0">
      <alignment horizontal="left" vertical="center" wrapText="1"/>
    </xf>
    <xf numFmtId="0" fontId="16" fillId="11" borderId="4" applyAlignment="1" pivotButton="0" quotePrefix="0" xfId="0">
      <alignment horizontal="left" vertical="center" wrapText="1"/>
    </xf>
    <xf numFmtId="0" fontId="16" fillId="13" borderId="4" applyAlignment="1" pivotButton="0" quotePrefix="0" xfId="0">
      <alignment horizontal="center" vertical="center" wrapText="1"/>
    </xf>
    <xf numFmtId="0" fontId="16" fillId="13" borderId="4" applyAlignment="1" pivotButton="0" quotePrefix="0" xfId="0">
      <alignment horizontal="left" vertical="center" wrapText="1"/>
    </xf>
    <xf numFmtId="0" fontId="16" fillId="11" borderId="4" applyAlignment="1" pivotButton="0" quotePrefix="0" xfId="0">
      <alignment horizontal="center" vertical="center" wrapText="1"/>
    </xf>
    <xf numFmtId="0" fontId="16" fillId="14" borderId="4" applyAlignment="1" pivotButton="0" quotePrefix="0" xfId="0">
      <alignment horizontal="center" vertical="center" wrapText="1"/>
    </xf>
    <xf numFmtId="0" fontId="16" fillId="14" borderId="4" applyAlignment="1" pivotButton="0" quotePrefix="0" xfId="0">
      <alignment horizontal="left" vertical="center" wrapText="1"/>
    </xf>
    <xf numFmtId="0" fontId="16" fillId="15" borderId="4" applyAlignment="1" pivotButton="0" quotePrefix="0" xfId="0">
      <alignment horizontal="center" vertical="center" wrapText="1"/>
    </xf>
    <xf numFmtId="0" fontId="16" fillId="15" borderId="4" applyAlignment="1" pivotButton="0" quotePrefix="0" xfId="0">
      <alignment horizontal="left" vertical="center" wrapText="1"/>
    </xf>
    <xf numFmtId="0" fontId="16" fillId="16" borderId="4" applyAlignment="1" pivotButton="0" quotePrefix="0" xfId="0">
      <alignment horizontal="center" vertical="center" wrapText="1"/>
    </xf>
    <xf numFmtId="0" fontId="16" fillId="16" borderId="4" applyAlignment="1" pivotButton="0" quotePrefix="0" xfId="0">
      <alignment horizontal="left" vertical="center" wrapText="1"/>
    </xf>
    <xf numFmtId="0" fontId="16" fillId="17" borderId="4" applyAlignment="1" pivotButton="0" quotePrefix="0" xfId="0">
      <alignment horizontal="center" vertical="center" wrapText="1"/>
    </xf>
    <xf numFmtId="0" fontId="16" fillId="17" borderId="4" applyAlignment="1" pivotButton="0" quotePrefix="0" xfId="0">
      <alignment horizontal="left" vertical="center" wrapText="1"/>
    </xf>
    <xf numFmtId="0" fontId="16" fillId="18" borderId="4" applyAlignment="1" pivotButton="0" quotePrefix="0" xfId="0">
      <alignment horizontal="center" vertical="center" wrapText="1"/>
    </xf>
    <xf numFmtId="0" fontId="16" fillId="18" borderId="4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4" fontId="17" fillId="19" borderId="0" applyAlignment="1" pivotButton="0" quotePrefix="0" xfId="0">
      <alignment horizontal="general" vertical="center" wrapText="1"/>
    </xf>
    <xf numFmtId="164" fontId="15" fillId="11" borderId="4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15" fillId="0" borderId="4" applyAlignment="1" pivotButton="0" quotePrefix="0" xfId="0">
      <alignment horizontal="right" vertical="center" wrapText="1"/>
    </xf>
    <xf numFmtId="0" fontId="15" fillId="3" borderId="4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left" vertical="center" wrapText="1"/>
    </xf>
    <xf numFmtId="0" fontId="14" fillId="20" borderId="4" applyAlignment="1" pivotButton="0" quotePrefix="0" xfId="0">
      <alignment horizontal="center" vertical="center" wrapText="1"/>
    </xf>
    <xf numFmtId="0" fontId="15" fillId="8" borderId="4" applyAlignment="1" pivotButton="0" quotePrefix="0" xfId="0">
      <alignment horizontal="left" vertical="center" wrapText="1"/>
    </xf>
    <xf numFmtId="0" fontId="19" fillId="0" borderId="5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9" fillId="21" borderId="2" applyAlignment="1" pivotButton="0" quotePrefix="0" xfId="0">
      <alignment horizontal="left" vertical="center" wrapText="1"/>
    </xf>
    <xf numFmtId="165" fontId="15" fillId="0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right" vertical="center" wrapText="1"/>
    </xf>
    <xf numFmtId="0" fontId="15" fillId="21" borderId="4" applyAlignment="1" pivotButton="0" quotePrefix="0" xfId="0">
      <alignment horizontal="left" vertical="center" wrapText="1"/>
    </xf>
    <xf numFmtId="0" fontId="15" fillId="21" borderId="4" applyAlignment="1" pivotButton="0" quotePrefix="0" xfId="0">
      <alignment horizontal="center" vertical="center" wrapText="1"/>
    </xf>
    <xf numFmtId="0" fontId="15" fillId="5" borderId="4" applyAlignment="1" pivotButton="0" quotePrefix="0" xfId="0">
      <alignment horizontal="left" vertical="center" wrapText="1"/>
    </xf>
    <xf numFmtId="0" fontId="20" fillId="21" borderId="5" applyAlignment="1" pivotButton="0" quotePrefix="0" xfId="0">
      <alignment horizontal="center" vertical="bottom"/>
    </xf>
    <xf numFmtId="0" fontId="21" fillId="22" borderId="5" applyAlignment="1" pivotButton="0" quotePrefix="0" xfId="0">
      <alignment horizontal="left" vertical="bottom"/>
    </xf>
    <xf numFmtId="0" fontId="21" fillId="22" borderId="5" applyAlignment="1" pivotButton="0" quotePrefix="0" xfId="0">
      <alignment horizontal="general" vertical="bottom"/>
    </xf>
    <xf numFmtId="0" fontId="21" fillId="0" borderId="5" applyAlignment="1" pivotButton="0" quotePrefix="0" xfId="0">
      <alignment horizontal="left" vertical="bottom"/>
    </xf>
    <xf numFmtId="0" fontId="21" fillId="0" borderId="5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1" fillId="0" borderId="6" applyAlignment="1" pivotButton="0" quotePrefix="0" xfId="0">
      <alignment horizontal="left" vertical="bottom"/>
    </xf>
    <xf numFmtId="0" fontId="21" fillId="0" borderId="6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top" wrapText="1"/>
    </xf>
    <xf numFmtId="0" fontId="17" fillId="0" borderId="5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11" borderId="5" applyAlignment="1" pivotButton="0" quotePrefix="0" xfId="0">
      <alignment horizontal="general" vertical="bottom"/>
    </xf>
    <xf numFmtId="0" fontId="19" fillId="5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 wrapText="1"/>
    </xf>
    <xf numFmtId="0" fontId="22" fillId="0" borderId="5" applyAlignment="1" pivotButton="0" quotePrefix="0" xfId="0">
      <alignment horizontal="general" vertical="bottom"/>
    </xf>
    <xf numFmtId="0" fontId="0" fillId="11" borderId="5" applyAlignment="1" pivotButton="0" quotePrefix="0" xfId="0">
      <alignment horizontal="general" vertical="bottom" wrapText="1"/>
    </xf>
    <xf numFmtId="0" fontId="17" fillId="23" borderId="0" applyAlignment="1" pivotButton="0" quotePrefix="0" xfId="0">
      <alignment horizontal="general" vertical="bottom" wrapText="1"/>
    </xf>
    <xf numFmtId="0" fontId="23" fillId="24" borderId="7" applyAlignment="1" pivotButton="0" quotePrefix="0" xfId="0">
      <alignment horizontal="general" vertical="bottom"/>
    </xf>
    <xf numFmtId="0" fontId="23" fillId="24" borderId="8" applyAlignment="1" pivotButton="0" quotePrefix="0" xfId="0">
      <alignment horizontal="general" vertical="bottom"/>
    </xf>
    <xf numFmtId="0" fontId="23" fillId="24" borderId="9" applyAlignment="1" pivotButton="0" quotePrefix="0" xfId="0">
      <alignment horizontal="general" vertical="bottom" wrapText="1"/>
    </xf>
    <xf numFmtId="0" fontId="23" fillId="24" borderId="9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 wrapText="1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24" fillId="11" borderId="0" applyAlignment="1" pivotButton="0" quotePrefix="0" xfId="0">
      <alignment horizontal="general" vertical="bottom" wrapText="1"/>
    </xf>
    <xf numFmtId="0" fontId="24" fillId="0" borderId="5" applyAlignment="1" pivotButton="0" quotePrefix="0" xfId="0">
      <alignment horizontal="general" vertical="bottom"/>
    </xf>
    <xf numFmtId="0" fontId="25" fillId="0" borderId="5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 wrapText="1"/>
    </xf>
    <xf numFmtId="0" fontId="0" fillId="11" borderId="0" applyAlignment="1" pivotButton="0" quotePrefix="0" xfId="0">
      <alignment horizontal="general" vertical="bottom" wrapText="1"/>
    </xf>
    <xf numFmtId="0" fontId="19" fillId="0" borderId="5" applyAlignment="1" pivotButton="0" quotePrefix="0" xfId="0">
      <alignment horizontal="right" vertical="bottom"/>
    </xf>
    <xf numFmtId="0" fontId="26" fillId="0" borderId="5" applyAlignment="1" pivotButton="0" quotePrefix="0" xfId="0">
      <alignment horizontal="general" vertical="bottom"/>
    </xf>
    <xf numFmtId="0" fontId="19" fillId="0" borderId="5" applyAlignment="1" pivotButton="0" quotePrefix="0" xfId="0">
      <alignment horizontal="general" vertical="bottom" wrapText="1"/>
    </xf>
    <xf numFmtId="0" fontId="27" fillId="5" borderId="5" applyAlignment="1" pivotButton="0" quotePrefix="0" xfId="0">
      <alignment horizontal="general" vertical="bottom"/>
    </xf>
    <xf numFmtId="0" fontId="19" fillId="11" borderId="5" applyAlignment="1" pivotButton="0" quotePrefix="0" xfId="0">
      <alignment horizontal="general" vertical="bottom" wrapText="1"/>
    </xf>
    <xf numFmtId="0" fontId="28" fillId="5" borderId="5" applyAlignment="1" pivotButton="0" quotePrefix="0" xfId="0">
      <alignment horizontal="general" vertical="bottom"/>
    </xf>
    <xf numFmtId="0" fontId="22" fillId="0" borderId="5" applyAlignment="1" pivotButton="0" quotePrefix="0" xfId="0">
      <alignment horizontal="general" vertical="center"/>
    </xf>
    <xf numFmtId="0" fontId="19" fillId="21" borderId="5" applyAlignment="1" pivotButton="0" quotePrefix="0" xfId="0">
      <alignment horizontal="general" vertical="bottom"/>
    </xf>
    <xf numFmtId="0" fontId="19" fillId="5" borderId="8" applyAlignment="1" pivotButton="0" quotePrefix="0" xfId="0">
      <alignment horizontal="general" vertical="bottom"/>
    </xf>
    <xf numFmtId="0" fontId="19" fillId="5" borderId="5" applyAlignment="1" pivotButton="0" quotePrefix="0" xfId="0">
      <alignment horizontal="general" vertical="bottom" wrapText="1"/>
    </xf>
    <xf numFmtId="0" fontId="0" fillId="5" borderId="8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 wrapText="1"/>
    </xf>
    <xf numFmtId="0" fontId="19" fillId="11" borderId="8" applyAlignment="1" pivotButton="0" quotePrefix="0" xfId="0">
      <alignment horizontal="general" vertical="bottom"/>
    </xf>
    <xf numFmtId="0" fontId="27" fillId="25" borderId="5" applyAlignment="1" pivotButton="0" quotePrefix="0" xfId="0">
      <alignment horizontal="general" vertical="bottom"/>
    </xf>
    <xf numFmtId="0" fontId="0" fillId="25" borderId="5" applyAlignment="1" pivotButton="0" quotePrefix="0" xfId="0">
      <alignment horizontal="general" vertical="bottom"/>
    </xf>
    <xf numFmtId="0" fontId="0" fillId="25" borderId="5" applyAlignment="1" pivotButton="0" quotePrefix="0" xfId="0">
      <alignment horizontal="general" vertical="bottom" wrapText="1"/>
    </xf>
    <xf numFmtId="0" fontId="19" fillId="25" borderId="5" applyAlignment="1" pivotButton="0" quotePrefix="0" xfId="0">
      <alignment horizontal="general" vertical="bottom"/>
    </xf>
    <xf numFmtId="0" fontId="19" fillId="25" borderId="5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23" fillId="23" borderId="5" applyAlignment="1" pivotButton="0" quotePrefix="0" xfId="0">
      <alignment horizontal="general" vertical="bottom"/>
    </xf>
    <xf numFmtId="0" fontId="23" fillId="24" borderId="5" applyAlignment="1" pivotButton="0" quotePrefix="0" xfId="0">
      <alignment horizontal="general" vertical="bottom"/>
    </xf>
    <xf numFmtId="0" fontId="29" fillId="11" borderId="5" applyAlignment="1" pivotButton="0" quotePrefix="0" xfId="0">
      <alignment horizontal="general" vertical="bottom"/>
    </xf>
    <xf numFmtId="0" fontId="27" fillId="0" borderId="5" applyAlignment="1" pivotButton="0" quotePrefix="0" xfId="0">
      <alignment horizontal="general" vertical="bottom"/>
    </xf>
    <xf numFmtId="0" fontId="19" fillId="0" borderId="9" applyAlignment="1" pivotButton="0" quotePrefix="0" xfId="0">
      <alignment horizontal="general" vertical="bottom"/>
    </xf>
    <xf numFmtId="0" fontId="19" fillId="0" borderId="9" applyAlignment="1" pivotButton="0" quotePrefix="0" xfId="0">
      <alignment horizontal="right" vertical="bottom"/>
    </xf>
    <xf numFmtId="0" fontId="19" fillId="0" borderId="8" applyAlignment="1" pivotButton="0" quotePrefix="0" xfId="0">
      <alignment horizontal="general" vertical="bottom"/>
    </xf>
    <xf numFmtId="0" fontId="30" fillId="0" borderId="5" applyAlignment="1" pivotButton="0" quotePrefix="0" xfId="0">
      <alignment horizontal="general" vertical="bottom"/>
    </xf>
    <xf numFmtId="0" fontId="25" fillId="0" borderId="9" applyAlignment="1" pivotButton="0" quotePrefix="0" xfId="0">
      <alignment horizontal="general" vertical="bottom"/>
    </xf>
    <xf numFmtId="0" fontId="25" fillId="0" borderId="9" applyAlignment="1" pivotButton="0" quotePrefix="0" xfId="0">
      <alignment horizontal="right" vertical="bottom"/>
    </xf>
    <xf numFmtId="0" fontId="25" fillId="0" borderId="8" applyAlignment="1" pivotButton="0" quotePrefix="0" xfId="0">
      <alignment horizontal="general" vertical="bottom"/>
    </xf>
    <xf numFmtId="0" fontId="25" fillId="0" borderId="8" applyAlignment="1" pivotButton="0" quotePrefix="0" xfId="0">
      <alignment horizontal="right" vertical="bottom"/>
    </xf>
    <xf numFmtId="0" fontId="19" fillId="0" borderId="8" applyAlignment="1" pivotButton="0" quotePrefix="0" xfId="0">
      <alignment horizontal="right" vertical="bottom"/>
    </xf>
    <xf numFmtId="0" fontId="19" fillId="0" borderId="0" applyAlignment="1" pivotButton="0" quotePrefix="0" xfId="0">
      <alignment horizontal="general" vertical="center"/>
    </xf>
    <xf numFmtId="0" fontId="19" fillId="0" borderId="7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center"/>
    </xf>
    <xf numFmtId="0" fontId="25" fillId="11" borderId="5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9" fillId="11" borderId="9" applyAlignment="1" pivotButton="0" quotePrefix="0" xfId="0">
      <alignment horizontal="general" vertical="bottom"/>
    </xf>
    <xf numFmtId="0" fontId="25" fillId="11" borderId="9" applyAlignment="1" pivotButton="0" quotePrefix="0" xfId="0">
      <alignment horizontal="general" vertical="bottom"/>
    </xf>
    <xf numFmtId="0" fontId="22" fillId="11" borderId="5" applyAlignment="1" pivotButton="0" quotePrefix="0" xfId="0">
      <alignment horizontal="general" vertical="center"/>
    </xf>
    <xf numFmtId="0" fontId="25" fillId="11" borderId="8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top"/>
    </xf>
    <xf numFmtId="0" fontId="17" fillId="5" borderId="0" applyAlignment="1" pivotButton="0" quotePrefix="0" xfId="0">
      <alignment horizontal="general" vertical="top"/>
    </xf>
    <xf numFmtId="0" fontId="17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23" fillId="24" borderId="7" applyAlignment="1" pivotButton="0" quotePrefix="0" xfId="0">
      <alignment horizontal="general" vertical="top"/>
    </xf>
    <xf numFmtId="0" fontId="23" fillId="24" borderId="8" applyAlignment="1" pivotButton="0" quotePrefix="0" xfId="0">
      <alignment horizontal="general" vertical="top"/>
    </xf>
    <xf numFmtId="0" fontId="23" fillId="24" borderId="9" applyAlignment="1" pivotButton="0" quotePrefix="0" xfId="0">
      <alignment horizontal="general" vertical="top"/>
    </xf>
    <xf numFmtId="0" fontId="19" fillId="0" borderId="5" applyAlignment="1" pivotButton="0" quotePrefix="0" xfId="0">
      <alignment horizontal="right" vertical="top"/>
    </xf>
    <xf numFmtId="0" fontId="27" fillId="5" borderId="5" applyAlignment="1" pivotButton="0" quotePrefix="0" xfId="0">
      <alignment horizontal="general" vertical="top"/>
    </xf>
    <xf numFmtId="0" fontId="0" fillId="0" borderId="8" applyAlignment="1" pivotButton="0" quotePrefix="0" xfId="0">
      <alignment horizontal="left" vertical="top"/>
    </xf>
    <xf numFmtId="0" fontId="19" fillId="0" borderId="5" applyAlignment="1" pivotButton="0" quotePrefix="0" xfId="0">
      <alignment horizontal="general" vertical="top"/>
    </xf>
    <xf numFmtId="0" fontId="26" fillId="0" borderId="5" applyAlignment="1" pivotButton="0" quotePrefix="0" xfId="0">
      <alignment horizontal="general" vertical="top"/>
    </xf>
    <xf numFmtId="0" fontId="19" fillId="11" borderId="5" applyAlignment="1" pivotButton="0" quotePrefix="0" xfId="0">
      <alignment horizontal="general" vertical="top" wrapText="1"/>
    </xf>
    <xf numFmtId="0" fontId="19" fillId="11" borderId="5" applyAlignment="1" pivotButton="0" quotePrefix="0" xfId="0">
      <alignment horizontal="general" vertical="top"/>
    </xf>
    <xf numFmtId="0" fontId="19" fillId="0" borderId="0" applyAlignment="1" pivotButton="0" quotePrefix="0" xfId="0">
      <alignment horizontal="right" vertical="top"/>
    </xf>
    <xf numFmtId="0" fontId="0" fillId="0" borderId="5" applyAlignment="1" pivotButton="0" quotePrefix="0" xfId="0">
      <alignment horizontal="left" vertical="top"/>
    </xf>
    <xf numFmtId="0" fontId="19" fillId="0" borderId="0" applyAlignment="1" pivotButton="0" quotePrefix="0" xfId="0">
      <alignment horizontal="general" vertical="top"/>
    </xf>
    <xf numFmtId="0" fontId="26" fillId="11" borderId="5" applyAlignment="1" pivotButton="0" quotePrefix="0" xfId="0">
      <alignment horizontal="general" vertical="top"/>
    </xf>
    <xf numFmtId="0" fontId="17" fillId="23" borderId="0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top"/>
    </xf>
    <xf numFmtId="0" fontId="19" fillId="5" borderId="5" applyAlignment="1" pivotButton="0" quotePrefix="0" xfId="0">
      <alignment horizontal="general" vertical="top"/>
    </xf>
    <xf numFmtId="0" fontId="19" fillId="5" borderId="11" applyAlignment="1" pivotButton="0" quotePrefix="0" xfId="0">
      <alignment horizontal="general" vertical="top"/>
    </xf>
    <xf numFmtId="0" fontId="19" fillId="5" borderId="11" applyAlignment="1" pivotButton="0" quotePrefix="0" xfId="0">
      <alignment horizontal="general" vertical="top" wrapText="1"/>
    </xf>
    <xf numFmtId="0" fontId="0" fillId="21" borderId="5" applyAlignment="1" pivotButton="0" quotePrefix="0" xfId="0">
      <alignment horizontal="general" vertical="top"/>
    </xf>
    <xf numFmtId="0" fontId="0" fillId="5" borderId="11" applyAlignment="1" pivotButton="0" quotePrefix="0" xfId="0">
      <alignment horizontal="general" vertical="top"/>
    </xf>
    <xf numFmtId="0" fontId="0" fillId="21" borderId="11" applyAlignment="1" pivotButton="0" quotePrefix="0" xfId="0">
      <alignment horizontal="general" vertical="top" wrapText="1"/>
    </xf>
    <xf numFmtId="0" fontId="19" fillId="21" borderId="5" applyAlignment="1" pivotButton="0" quotePrefix="0" xfId="0">
      <alignment horizontal="general" vertical="top"/>
    </xf>
    <xf numFmtId="0" fontId="19" fillId="5" borderId="8" applyAlignment="1" pivotButton="0" quotePrefix="0" xfId="0">
      <alignment horizontal="general" vertical="top"/>
    </xf>
    <xf numFmtId="0" fontId="19" fillId="5" borderId="0" applyAlignment="1" pivotButton="0" quotePrefix="0" xfId="0">
      <alignment horizontal="general" vertical="top"/>
    </xf>
    <xf numFmtId="0" fontId="19" fillId="5" borderId="0" applyAlignment="1" pivotButton="0" quotePrefix="0" xfId="0">
      <alignment horizontal="general" vertical="top" wrapText="1"/>
    </xf>
    <xf numFmtId="0" fontId="19" fillId="5" borderId="5" applyAlignment="1" pivotButton="0" quotePrefix="0" xfId="0">
      <alignment horizontal="general" vertical="top" wrapText="1"/>
    </xf>
    <xf numFmtId="0" fontId="0" fillId="5" borderId="5" applyAlignment="1" pivotButton="0" quotePrefix="0" xfId="0">
      <alignment horizontal="general" vertical="top"/>
    </xf>
    <xf numFmtId="0" fontId="22" fillId="0" borderId="5" applyAlignment="1" pivotButton="0" quotePrefix="0" xfId="0">
      <alignment horizontal="general" vertical="top"/>
    </xf>
    <xf numFmtId="0" fontId="19" fillId="0" borderId="8" applyAlignment="1" pivotButton="0" quotePrefix="0" xfId="0">
      <alignment horizontal="general" vertical="top"/>
    </xf>
    <xf numFmtId="0" fontId="19" fillId="0" borderId="0" applyAlignment="1" pivotButton="0" quotePrefix="0" xfId="0">
      <alignment horizontal="general" vertical="top" wrapText="1"/>
    </xf>
    <xf numFmtId="0" fontId="19" fillId="5" borderId="8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left" vertical="top"/>
    </xf>
    <xf numFmtId="0" fontId="0" fillId="5" borderId="5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top" wrapText="1"/>
    </xf>
    <xf numFmtId="0" fontId="30" fillId="5" borderId="5" applyAlignment="1" pivotButton="0" quotePrefix="0" xfId="0">
      <alignment horizontal="general" vertical="top"/>
    </xf>
    <xf numFmtId="0" fontId="25" fillId="5" borderId="5" applyAlignment="1" pivotButton="0" quotePrefix="0" xfId="0">
      <alignment horizontal="general" vertical="top"/>
    </xf>
    <xf numFmtId="0" fontId="31" fillId="5" borderId="5" applyAlignment="1" pivotButton="0" quotePrefix="0" xfId="0">
      <alignment horizontal="general" vertical="top"/>
    </xf>
    <xf numFmtId="0" fontId="24" fillId="11" borderId="5" applyAlignment="1" pivotButton="0" quotePrefix="0" xfId="0">
      <alignment horizontal="general" vertical="top"/>
    </xf>
    <xf numFmtId="0" fontId="25" fillId="0" borderId="5" applyAlignment="1" pivotButton="0" quotePrefix="0" xfId="0">
      <alignment horizontal="general" vertical="top"/>
    </xf>
    <xf numFmtId="0" fontId="25" fillId="0" borderId="5" applyAlignment="1" pivotButton="0" quotePrefix="0" xfId="0">
      <alignment horizontal="right" vertical="top"/>
    </xf>
    <xf numFmtId="0" fontId="25" fillId="5" borderId="5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top"/>
    </xf>
    <xf numFmtId="0" fontId="24" fillId="5" borderId="5" applyAlignment="1" pivotButton="0" quotePrefix="0" xfId="0">
      <alignment horizontal="left" vertical="top"/>
    </xf>
    <xf numFmtId="0" fontId="24" fillId="5" borderId="5" applyAlignment="1" pivotButton="0" quotePrefix="0" xfId="0">
      <alignment horizontal="general" vertical="top"/>
    </xf>
    <xf numFmtId="0" fontId="25" fillId="5" borderId="8" applyAlignment="1" pivotButton="0" quotePrefix="0" xfId="0">
      <alignment horizontal="general" vertical="top"/>
    </xf>
    <xf numFmtId="0" fontId="23" fillId="23" borderId="0" applyAlignment="1" pivotButton="0" quotePrefix="0" xfId="0">
      <alignment horizontal="general" vertical="bottom"/>
    </xf>
    <xf numFmtId="0" fontId="23" fillId="23" borderId="0" applyAlignment="1" pivotButton="0" quotePrefix="0" xfId="0">
      <alignment horizontal="general" vertical="bottom" wrapText="1"/>
    </xf>
    <xf numFmtId="0" fontId="19" fillId="0" borderId="5" applyAlignment="1" pivotButton="0" quotePrefix="0" xfId="0">
      <alignment horizontal="left" vertical="bottom"/>
    </xf>
    <xf numFmtId="0" fontId="0" fillId="0" borderId="5" applyAlignment="1" pivotButton="0" quotePrefix="0" xfId="0">
      <alignment horizontal="left" vertical="bottom"/>
    </xf>
    <xf numFmtId="0" fontId="25" fillId="0" borderId="5" applyAlignment="1" pivotButton="0" quotePrefix="0" xfId="0">
      <alignment horizontal="right" vertical="bottom"/>
    </xf>
    <xf numFmtId="0" fontId="30" fillId="5" borderId="5" applyAlignment="1" pivotButton="0" quotePrefix="0" xfId="0">
      <alignment horizontal="general" vertical="bottom"/>
    </xf>
    <xf numFmtId="0" fontId="25" fillId="0" borderId="5" applyAlignment="1" pivotButton="0" quotePrefix="0" xfId="0">
      <alignment horizontal="general" vertical="bottom" wrapText="1"/>
    </xf>
    <xf numFmtId="0" fontId="32" fillId="5" borderId="0" applyAlignment="1" pivotButton="0" quotePrefix="0" xfId="0">
      <alignment horizontal="general" vertical="bottom"/>
    </xf>
    <xf numFmtId="0" fontId="32" fillId="5" borderId="0" applyAlignment="1" pivotButton="0" quotePrefix="0" xfId="0">
      <alignment horizontal="general" vertical="bottom" wrapText="1"/>
    </xf>
    <xf numFmtId="0" fontId="27" fillId="11" borderId="5" applyAlignment="1" pivotButton="0" quotePrefix="0" xfId="0">
      <alignment horizontal="general" vertical="bottom"/>
    </xf>
    <xf numFmtId="0" fontId="17" fillId="11" borderId="0" applyAlignment="1" pivotButton="0" quotePrefix="0" xfId="0">
      <alignment horizontal="general" vertical="bottom"/>
    </xf>
    <xf numFmtId="0" fontId="17" fillId="11" borderId="0" applyAlignment="1" pivotButton="0" quotePrefix="0" xfId="0">
      <alignment horizontal="general" vertical="bottom" wrapText="1"/>
    </xf>
    <xf numFmtId="0" fontId="19" fillId="26" borderId="5" applyAlignment="1" pivotButton="0" quotePrefix="0" xfId="0">
      <alignment horizontal="general" vertical="bottom" wrapText="1"/>
    </xf>
    <xf numFmtId="0" fontId="0" fillId="5" borderId="5" applyAlignment="1" pivotButton="0" quotePrefix="0" xfId="0">
      <alignment horizontal="left" vertical="top" wrapText="1"/>
    </xf>
    <xf numFmtId="0" fontId="19" fillId="27" borderId="5" applyAlignment="1" pivotButton="0" quotePrefix="0" xfId="0">
      <alignment horizontal="general" vertical="bottom" wrapText="1"/>
    </xf>
    <xf numFmtId="0" fontId="25" fillId="0" borderId="5" applyAlignment="1" pivotButton="0" quotePrefix="0" xfId="0">
      <alignment horizontal="left" vertical="bottom"/>
    </xf>
    <xf numFmtId="0" fontId="19" fillId="28" borderId="5" applyAlignment="1" pivotButton="0" quotePrefix="0" xfId="0">
      <alignment horizontal="general" vertical="bottom" wrapText="1"/>
    </xf>
    <xf numFmtId="0" fontId="19" fillId="29" borderId="5" applyAlignment="1" pivotButton="0" quotePrefix="0" xfId="0">
      <alignment horizontal="general" vertical="bottom" wrapText="1"/>
    </xf>
    <xf numFmtId="0" fontId="19" fillId="21" borderId="5" applyAlignment="1" pivotButton="0" quotePrefix="0" xfId="0">
      <alignment horizontal="left" vertical="bottom"/>
    </xf>
    <xf numFmtId="0" fontId="19" fillId="11" borderId="5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 wrapText="1"/>
    </xf>
    <xf numFmtId="0" fontId="19" fillId="26" borderId="0" applyAlignment="1" pivotButton="0" quotePrefix="0" xfId="0">
      <alignment horizontal="general" vertical="bottom" wrapText="1"/>
    </xf>
    <xf numFmtId="0" fontId="25" fillId="23" borderId="5" applyAlignment="1" pivotButton="0" quotePrefix="0" xfId="0">
      <alignment horizontal="general" vertical="bottom"/>
    </xf>
    <xf numFmtId="0" fontId="25" fillId="23" borderId="5" applyAlignment="1" pivotButton="0" quotePrefix="0" xfId="0">
      <alignment horizontal="left" vertical="bottom"/>
    </xf>
    <xf numFmtId="0" fontId="25" fillId="23" borderId="5" applyAlignment="1" pivotButton="0" quotePrefix="0" xfId="0">
      <alignment horizontal="general" vertical="bottom" wrapText="1"/>
    </xf>
    <xf numFmtId="0" fontId="25" fillId="11" borderId="5" applyAlignment="1" pivotButton="0" quotePrefix="0" xfId="0">
      <alignment horizontal="left" vertical="bottom"/>
    </xf>
    <xf numFmtId="0" fontId="19" fillId="30" borderId="5" applyAlignment="1" pivotButton="0" quotePrefix="0" xfId="0">
      <alignment horizontal="general" vertical="bottom" wrapText="1"/>
    </xf>
    <xf numFmtId="0" fontId="19" fillId="0" borderId="5" applyAlignment="1" pivotButton="0" quotePrefix="0" xfId="0">
      <alignment horizontal="left" vertical="bottom" wrapText="1"/>
    </xf>
    <xf numFmtId="0" fontId="19" fillId="30" borderId="5" applyAlignment="1" pivotButton="0" quotePrefix="0" xfId="0">
      <alignment horizontal="left" vertical="bottom" wrapText="1"/>
    </xf>
    <xf numFmtId="0" fontId="19" fillId="31" borderId="5" applyAlignment="1" pivotButton="0" quotePrefix="0" xfId="0">
      <alignment horizontal="general" vertical="bottom" wrapText="1"/>
    </xf>
    <xf numFmtId="0" fontId="19" fillId="21" borderId="0" applyAlignment="1" pivotButton="0" quotePrefix="0" xfId="0">
      <alignment horizontal="general" vertical="bottom"/>
    </xf>
    <xf numFmtId="0" fontId="0" fillId="21" borderId="0" applyAlignment="1" pivotButton="0" quotePrefix="0" xfId="0">
      <alignment horizontal="general" vertical="bottom"/>
    </xf>
    <xf numFmtId="0" fontId="25" fillId="23" borderId="0" applyAlignment="1" pivotButton="0" quotePrefix="0" xfId="0">
      <alignment horizontal="general" vertical="bottom"/>
    </xf>
    <xf numFmtId="0" fontId="19" fillId="32" borderId="5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/>
    </xf>
    <xf numFmtId="0" fontId="19" fillId="23" borderId="5" applyAlignment="1" pivotButton="0" quotePrefix="0" xfId="0">
      <alignment horizontal="general" vertical="bottom"/>
    </xf>
    <xf numFmtId="0" fontId="19" fillId="23" borderId="5" applyAlignment="1" pivotButton="0" quotePrefix="0" xfId="0">
      <alignment horizontal="general" vertical="bottom" wrapText="1"/>
    </xf>
    <xf numFmtId="0" fontId="19" fillId="23" borderId="5" applyAlignment="1" pivotButton="0" quotePrefix="0" xfId="0">
      <alignment horizontal="left" vertical="bottom"/>
    </xf>
    <xf numFmtId="0" fontId="19" fillId="23" borderId="0" applyAlignment="1" pivotButton="0" quotePrefix="0" xfId="0">
      <alignment horizontal="general" vertical="bottom"/>
    </xf>
    <xf numFmtId="0" fontId="19" fillId="33" borderId="5" applyAlignment="1" pivotButton="0" quotePrefix="0" xfId="0">
      <alignment horizontal="general" vertical="bottom" wrapText="1"/>
    </xf>
    <xf numFmtId="0" fontId="19" fillId="31" borderId="5" applyAlignment="1" pivotButton="0" quotePrefix="0" xfId="0">
      <alignment horizontal="left" vertical="bottom" wrapText="1"/>
    </xf>
    <xf numFmtId="0" fontId="24" fillId="11" borderId="5" applyAlignment="1" pivotButton="0" quotePrefix="0" xfId="0">
      <alignment horizontal="general" vertical="bottom"/>
    </xf>
    <xf numFmtId="0" fontId="33" fillId="23" borderId="5" applyAlignment="1" pivotButton="0" quotePrefix="0" xfId="0">
      <alignment horizontal="general" vertical="bottom" wrapText="1"/>
    </xf>
    <xf numFmtId="0" fontId="19" fillId="34" borderId="5" applyAlignment="1" pivotButton="0" quotePrefix="0" xfId="0">
      <alignment horizontal="general" vertical="bottom"/>
    </xf>
    <xf numFmtId="0" fontId="34" fillId="23" borderId="5" applyAlignment="1" pivotButton="0" quotePrefix="0" xfId="0">
      <alignment horizontal="general" vertical="bottom"/>
    </xf>
    <xf numFmtId="0" fontId="34" fillId="5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4" fillId="24" borderId="5" applyAlignment="1" pivotButton="0" quotePrefix="0" xfId="0">
      <alignment horizontal="general" vertical="bottom"/>
    </xf>
    <xf numFmtId="0" fontId="35" fillId="0" borderId="5" applyAlignment="1" pivotButton="0" quotePrefix="0" xfId="0">
      <alignment horizontal="right" vertical="bottom"/>
    </xf>
    <xf numFmtId="0" fontId="36" fillId="5" borderId="5" applyAlignment="1" pivotButton="0" quotePrefix="0" xfId="0">
      <alignment horizontal="general" vertical="bottom"/>
    </xf>
    <xf numFmtId="0" fontId="35" fillId="0" borderId="5" applyAlignment="1" pivotButton="0" quotePrefix="0" xfId="0">
      <alignment horizontal="left" vertical="bottom"/>
    </xf>
    <xf numFmtId="0" fontId="35" fillId="0" borderId="5" applyAlignment="1" pivotButton="0" quotePrefix="0" xfId="0">
      <alignment horizontal="general" vertical="bottom"/>
    </xf>
    <xf numFmtId="0" fontId="35" fillId="11" borderId="5" applyAlignment="1" pivotButton="0" quotePrefix="0" xfId="0">
      <alignment horizontal="general" vertical="bottom"/>
    </xf>
    <xf numFmtId="0" fontId="37" fillId="11" borderId="5" applyAlignment="1" pivotButton="0" quotePrefix="0" xfId="0">
      <alignment horizontal="general" vertical="bottom"/>
    </xf>
    <xf numFmtId="0" fontId="35" fillId="35" borderId="5" applyAlignment="1" pivotButton="0" quotePrefix="0" xfId="0">
      <alignment horizontal="right" vertical="bottom"/>
    </xf>
    <xf numFmtId="0" fontId="36" fillId="35" borderId="5" applyAlignment="1" pivotButton="0" quotePrefix="0" xfId="0">
      <alignment horizontal="general" vertical="bottom"/>
    </xf>
    <xf numFmtId="0" fontId="35" fillId="35" borderId="5" applyAlignment="1" pivotButton="0" quotePrefix="0" xfId="0">
      <alignment horizontal="left" vertical="bottom"/>
    </xf>
    <xf numFmtId="0" fontId="35" fillId="35" borderId="5" applyAlignment="1" pivotButton="0" quotePrefix="0" xfId="0">
      <alignment horizontal="general" vertical="bottom"/>
    </xf>
    <xf numFmtId="0" fontId="35" fillId="21" borderId="5" applyAlignment="1" pivotButton="0" quotePrefix="0" xfId="0">
      <alignment horizontal="right" vertical="bottom"/>
    </xf>
    <xf numFmtId="0" fontId="36" fillId="21" borderId="5" applyAlignment="1" pivotButton="0" quotePrefix="0" xfId="0">
      <alignment horizontal="general" vertical="bottom"/>
    </xf>
    <xf numFmtId="0" fontId="35" fillId="21" borderId="5" applyAlignment="1" pivotButton="0" quotePrefix="0" xfId="0">
      <alignment horizontal="general" vertical="bottom"/>
    </xf>
    <xf numFmtId="0" fontId="36" fillId="0" borderId="5" applyAlignment="1" pivotButton="0" quotePrefix="0" xfId="0">
      <alignment horizontal="general" vertical="bottom"/>
    </xf>
    <xf numFmtId="0" fontId="0" fillId="21" borderId="0" applyAlignment="1" pivotButton="0" quotePrefix="0" xfId="0">
      <alignment horizontal="general" vertical="top"/>
    </xf>
    <xf numFmtId="0" fontId="35" fillId="0" borderId="9" applyAlignment="1" pivotButton="0" quotePrefix="0" xfId="0">
      <alignment horizontal="general" vertical="bottom"/>
    </xf>
    <xf numFmtId="0" fontId="35" fillId="0" borderId="9" applyAlignment="1" pivotButton="0" quotePrefix="0" xfId="0">
      <alignment horizontal="right" vertical="bottom"/>
    </xf>
    <xf numFmtId="0" fontId="35" fillId="0" borderId="8" applyAlignment="1" pivotButton="0" quotePrefix="0" xfId="0">
      <alignment horizontal="right" vertical="bottom"/>
    </xf>
    <xf numFmtId="0" fontId="38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center"/>
    </xf>
    <xf numFmtId="0" fontId="17" fillId="5" borderId="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9" fillId="0" borderId="7" applyAlignment="1" pivotButton="0" quotePrefix="0" xfId="0">
      <alignment horizontal="right" vertical="bottom"/>
    </xf>
    <xf numFmtId="0" fontId="27" fillId="5" borderId="0" applyAlignment="1" pivotButton="0" quotePrefix="0" xfId="0">
      <alignment horizontal="general" vertical="bottom"/>
    </xf>
    <xf numFmtId="0" fontId="27" fillId="5" borderId="7" applyAlignment="1" pivotButton="0" quotePrefix="0" xfId="0">
      <alignment horizontal="general" vertical="bottom"/>
    </xf>
    <xf numFmtId="0" fontId="26" fillId="0" borderId="8" applyAlignment="1" pivotButton="0" quotePrefix="0" xfId="0">
      <alignment horizontal="general" vertical="bottom"/>
    </xf>
    <xf numFmtId="0" fontId="27" fillId="5" borderId="8" applyAlignment="1" pivotButton="0" quotePrefix="0" xfId="0">
      <alignment horizontal="general" vertical="bottom"/>
    </xf>
    <xf numFmtId="0" fontId="19" fillId="0" borderId="8" applyAlignment="1" pivotButton="0" quotePrefix="0" xfId="0">
      <alignment horizontal="general" vertical="bottom" wrapText="1"/>
    </xf>
    <xf numFmtId="0" fontId="19" fillId="5" borderId="7" applyAlignment="1" pivotButton="0" quotePrefix="0" xfId="0">
      <alignment horizontal="right" vertical="bottom"/>
    </xf>
    <xf numFmtId="0" fontId="19" fillId="5" borderId="9" applyAlignment="1" pivotButton="0" quotePrefix="0" xfId="0">
      <alignment horizontal="general" vertical="bottom"/>
    </xf>
    <xf numFmtId="0" fontId="26" fillId="5" borderId="8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5" borderId="7" applyAlignment="1" pivotButton="0" quotePrefix="0" xfId="0">
      <alignment horizontal="general" vertical="bottom" wrapText="1"/>
    </xf>
    <xf numFmtId="0" fontId="0" fillId="5" borderId="5" applyAlignment="1" pivotButton="0" quotePrefix="0" xfId="0">
      <alignment horizontal="left" vertical="bottom"/>
    </xf>
    <xf numFmtId="0" fontId="0" fillId="0" borderId="8" applyAlignment="1" pivotButton="0" quotePrefix="0" xfId="0">
      <alignment horizontal="general" vertical="bottom" wrapText="1"/>
    </xf>
    <xf numFmtId="0" fontId="17" fillId="11" borderId="5" applyAlignment="1" pivotButton="0" quotePrefix="0" xfId="0">
      <alignment horizontal="general" vertical="bottom"/>
    </xf>
    <xf numFmtId="0" fontId="24" fillId="11" borderId="5" applyAlignment="1" pivotButton="0" quotePrefix="0" xfId="0">
      <alignment horizontal="general" vertical="bottom" wrapText="1"/>
    </xf>
    <xf numFmtId="0" fontId="32" fillId="0" borderId="5" applyAlignment="1" pivotButton="0" quotePrefix="0" xfId="0">
      <alignment horizontal="general" vertical="bottom"/>
    </xf>
    <xf numFmtId="0" fontId="24" fillId="0" borderId="5" applyAlignment="1" pivotButton="0" quotePrefix="0" xfId="0">
      <alignment horizontal="left" vertical="bottom"/>
    </xf>
    <xf numFmtId="0" fontId="21" fillId="0" borderId="5" applyAlignment="1" pivotButton="0" quotePrefix="0" xfId="0">
      <alignment horizontal="right" vertical="bottom"/>
    </xf>
    <xf numFmtId="0" fontId="26" fillId="0" borderId="5" applyAlignment="1" pivotButton="0" quotePrefix="0" xfId="0">
      <alignment horizontal="right" vertical="bottom"/>
    </xf>
    <xf numFmtId="0" fontId="28" fillId="5" borderId="0" applyAlignment="1" pivotButton="0" quotePrefix="0" xfId="0">
      <alignment horizontal="general" vertical="bottom"/>
    </xf>
    <xf numFmtId="0" fontId="39" fillId="0" borderId="5" applyAlignment="1" pivotButton="0" quotePrefix="0" xfId="0">
      <alignment horizontal="general" vertical="bottom" wrapText="1"/>
    </xf>
    <xf numFmtId="0" fontId="39" fillId="0" borderId="5" applyAlignment="1" pivotButton="0" quotePrefix="0" xfId="0">
      <alignment horizontal="general" vertical="bottom"/>
    </xf>
    <xf numFmtId="0" fontId="17" fillId="23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 wrapText="1"/>
    </xf>
    <xf numFmtId="0" fontId="17" fillId="0" borderId="6" applyAlignment="1" pivotButton="0" quotePrefix="0" xfId="0">
      <alignment horizontal="general" vertical="bottom"/>
    </xf>
    <xf numFmtId="0" fontId="17" fillId="0" borderId="12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17" fillId="23" borderId="7" applyAlignment="1" pivotButton="0" quotePrefix="0" xfId="0">
      <alignment horizontal="general" vertical="bottom"/>
    </xf>
    <xf numFmtId="0" fontId="40" fillId="5" borderId="0" applyAlignment="1" pivotButton="0" quotePrefix="0" xfId="0">
      <alignment horizontal="general" vertical="bottom"/>
    </xf>
    <xf numFmtId="0" fontId="0" fillId="21" borderId="5" applyAlignment="1" pivotButton="0" quotePrefix="0" xfId="0">
      <alignment horizontal="left" vertical="bottom"/>
    </xf>
    <xf numFmtId="0" fontId="0" fillId="21" borderId="5" applyAlignment="1" pivotButton="0" quotePrefix="0" xfId="0">
      <alignment horizontal="general" vertical="bottom"/>
    </xf>
    <xf numFmtId="0" fontId="0" fillId="11" borderId="5" applyAlignment="1" pivotButton="0" quotePrefix="0" xfId="0">
      <alignment horizontal="left" vertical="bottom"/>
    </xf>
    <xf numFmtId="0" fontId="19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left" vertical="bottom"/>
    </xf>
    <xf numFmtId="0" fontId="19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8" fillId="23" borderId="0" applyAlignment="1" pivotButton="0" quotePrefix="0" xfId="0">
      <alignment horizontal="general" vertical="bottom"/>
    </xf>
    <xf numFmtId="0" fontId="9" fillId="23" borderId="2" applyAlignment="1" pivotButton="0" quotePrefix="0" xfId="0">
      <alignment horizontal="left" vertical="center" wrapText="1"/>
    </xf>
    <xf numFmtId="0" fontId="9" fillId="23" borderId="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general" vertical="bottom"/>
    </xf>
    <xf numFmtId="0" fontId="9" fillId="2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general" vertical="bottom"/>
    </xf>
    <xf numFmtId="0" fontId="0" fillId="0" borderId="16" pivotButton="0" quotePrefix="0" xfId="0"/>
    <xf numFmtId="0" fontId="0" fillId="0" borderId="17" pivotButton="0" quotePrefix="0" xfId="0"/>
    <xf numFmtId="0" fontId="12" fillId="0" borderId="0" applyAlignment="1" pivotButton="0" quotePrefix="0" xfId="0">
      <alignment horizontal="general" vertical="bottom"/>
    </xf>
    <xf numFmtId="0" fontId="13" fillId="11" borderId="0" applyAlignment="1" pivotButton="0" quotePrefix="0" xfId="0">
      <alignment horizontal="general" vertical="bottom"/>
    </xf>
    <xf numFmtId="0" fontId="14" fillId="2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left" vertical="center" wrapText="1"/>
    </xf>
    <xf numFmtId="0" fontId="16" fillId="12" borderId="4" applyAlignment="1" pivotButton="0" quotePrefix="0" xfId="0">
      <alignment horizontal="center" vertical="center" wrapText="1"/>
    </xf>
    <xf numFmtId="0" fontId="16" fillId="12" borderId="4" applyAlignment="1" pivotButton="0" quotePrefix="0" xfId="0">
      <alignment horizontal="left" vertical="center" wrapText="1"/>
    </xf>
    <xf numFmtId="0" fontId="16" fillId="11" borderId="4" applyAlignment="1" pivotButton="0" quotePrefix="0" xfId="0">
      <alignment horizontal="left" vertical="center" wrapText="1"/>
    </xf>
    <xf numFmtId="0" fontId="16" fillId="13" borderId="4" applyAlignment="1" pivotButton="0" quotePrefix="0" xfId="0">
      <alignment horizontal="center" vertical="center" wrapText="1"/>
    </xf>
    <xf numFmtId="0" fontId="16" fillId="13" borderId="4" applyAlignment="1" pivotButton="0" quotePrefix="0" xfId="0">
      <alignment horizontal="left" vertical="center" wrapText="1"/>
    </xf>
    <xf numFmtId="0" fontId="16" fillId="11" borderId="4" applyAlignment="1" pivotButton="0" quotePrefix="0" xfId="0">
      <alignment horizontal="center" vertical="center" wrapText="1"/>
    </xf>
    <xf numFmtId="0" fontId="16" fillId="14" borderId="4" applyAlignment="1" pivotButton="0" quotePrefix="0" xfId="0">
      <alignment horizontal="center" vertical="center" wrapText="1"/>
    </xf>
    <xf numFmtId="0" fontId="16" fillId="14" borderId="4" applyAlignment="1" pivotButton="0" quotePrefix="0" xfId="0">
      <alignment horizontal="left" vertical="center" wrapText="1"/>
    </xf>
    <xf numFmtId="0" fontId="16" fillId="15" borderId="4" applyAlignment="1" pivotButton="0" quotePrefix="0" xfId="0">
      <alignment horizontal="center" vertical="center" wrapText="1"/>
    </xf>
    <xf numFmtId="0" fontId="16" fillId="15" borderId="4" applyAlignment="1" pivotButton="0" quotePrefix="0" xfId="0">
      <alignment horizontal="left" vertical="center" wrapText="1"/>
    </xf>
    <xf numFmtId="0" fontId="16" fillId="16" borderId="4" applyAlignment="1" pivotButton="0" quotePrefix="0" xfId="0">
      <alignment horizontal="center" vertical="center" wrapText="1"/>
    </xf>
    <xf numFmtId="0" fontId="16" fillId="16" borderId="4" applyAlignment="1" pivotButton="0" quotePrefix="0" xfId="0">
      <alignment horizontal="left" vertical="center" wrapText="1"/>
    </xf>
    <xf numFmtId="0" fontId="16" fillId="17" borderId="4" applyAlignment="1" pivotButton="0" quotePrefix="0" xfId="0">
      <alignment horizontal="center" vertical="center" wrapText="1"/>
    </xf>
    <xf numFmtId="0" fontId="16" fillId="17" borderId="4" applyAlignment="1" pivotButton="0" quotePrefix="0" xfId="0">
      <alignment horizontal="left" vertical="center" wrapText="1"/>
    </xf>
    <xf numFmtId="0" fontId="16" fillId="18" borderId="4" applyAlignment="1" pivotButton="0" quotePrefix="0" xfId="0">
      <alignment horizontal="center" vertical="center" wrapText="1"/>
    </xf>
    <xf numFmtId="0" fontId="16" fillId="18" borderId="4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4" fontId="17" fillId="19" borderId="0" applyAlignment="1" pivotButton="0" quotePrefix="0" xfId="0">
      <alignment horizontal="general" vertical="center" wrapText="1"/>
    </xf>
    <xf numFmtId="164" fontId="15" fillId="11" borderId="4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15" fillId="0" borderId="4" applyAlignment="1" pivotButton="0" quotePrefix="0" xfId="0">
      <alignment horizontal="right" vertical="center" wrapText="1"/>
    </xf>
    <xf numFmtId="0" fontId="15" fillId="3" borderId="4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left" vertical="center" wrapText="1"/>
    </xf>
    <xf numFmtId="0" fontId="14" fillId="20" borderId="4" applyAlignment="1" pivotButton="0" quotePrefix="0" xfId="0">
      <alignment horizontal="center" vertical="center" wrapText="1"/>
    </xf>
    <xf numFmtId="0" fontId="15" fillId="8" borderId="4" applyAlignment="1" pivotButton="0" quotePrefix="0" xfId="0">
      <alignment horizontal="left" vertical="center" wrapText="1"/>
    </xf>
    <xf numFmtId="0" fontId="19" fillId="0" borderId="5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9" fillId="21" borderId="2" applyAlignment="1" pivotButton="0" quotePrefix="0" xfId="0">
      <alignment horizontal="left" vertical="center" wrapText="1"/>
    </xf>
    <xf numFmtId="165" fontId="15" fillId="0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right" vertical="center" wrapText="1"/>
    </xf>
    <xf numFmtId="0" fontId="15" fillId="21" borderId="4" applyAlignment="1" pivotButton="0" quotePrefix="0" xfId="0">
      <alignment horizontal="left" vertical="center" wrapText="1"/>
    </xf>
    <xf numFmtId="0" fontId="15" fillId="21" borderId="4" applyAlignment="1" pivotButton="0" quotePrefix="0" xfId="0">
      <alignment horizontal="center" vertical="center" wrapText="1"/>
    </xf>
    <xf numFmtId="0" fontId="15" fillId="5" borderId="4" applyAlignment="1" pivotButton="0" quotePrefix="0" xfId="0">
      <alignment horizontal="left" vertical="center" wrapText="1"/>
    </xf>
    <xf numFmtId="0" fontId="20" fillId="21" borderId="5" applyAlignment="1" pivotButton="0" quotePrefix="0" xfId="0">
      <alignment horizontal="center" vertical="bottom"/>
    </xf>
    <xf numFmtId="0" fontId="21" fillId="22" borderId="5" applyAlignment="1" pivotButton="0" quotePrefix="0" xfId="0">
      <alignment horizontal="left" vertical="bottom"/>
    </xf>
    <xf numFmtId="0" fontId="21" fillId="22" borderId="5" applyAlignment="1" pivotButton="0" quotePrefix="0" xfId="0">
      <alignment horizontal="general" vertical="bottom"/>
    </xf>
    <xf numFmtId="0" fontId="21" fillId="0" borderId="5" applyAlignment="1" pivotButton="0" quotePrefix="0" xfId="0">
      <alignment horizontal="left" vertical="bottom"/>
    </xf>
    <xf numFmtId="0" fontId="21" fillId="0" borderId="5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1" fillId="0" borderId="6" applyAlignment="1" pivotButton="0" quotePrefix="0" xfId="0">
      <alignment horizontal="left" vertical="bottom"/>
    </xf>
    <xf numFmtId="0" fontId="21" fillId="0" borderId="6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top" wrapText="1"/>
    </xf>
    <xf numFmtId="0" fontId="17" fillId="0" borderId="5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11" borderId="5" applyAlignment="1" pivotButton="0" quotePrefix="0" xfId="0">
      <alignment horizontal="general" vertical="bottom"/>
    </xf>
    <xf numFmtId="0" fontId="19" fillId="5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 wrapText="1"/>
    </xf>
    <xf numFmtId="0" fontId="22" fillId="0" borderId="5" applyAlignment="1" pivotButton="0" quotePrefix="0" xfId="0">
      <alignment horizontal="general" vertical="bottom"/>
    </xf>
    <xf numFmtId="0" fontId="0" fillId="11" borderId="5" applyAlignment="1" pivotButton="0" quotePrefix="0" xfId="0">
      <alignment horizontal="general" vertical="bottom" wrapText="1"/>
    </xf>
    <xf numFmtId="0" fontId="17" fillId="23" borderId="0" applyAlignment="1" pivotButton="0" quotePrefix="0" xfId="0">
      <alignment horizontal="general" vertical="bottom" wrapText="1"/>
    </xf>
    <xf numFmtId="0" fontId="23" fillId="24" borderId="7" applyAlignment="1" pivotButton="0" quotePrefix="0" xfId="0">
      <alignment horizontal="general" vertical="bottom"/>
    </xf>
    <xf numFmtId="0" fontId="23" fillId="24" borderId="8" applyAlignment="1" pivotButton="0" quotePrefix="0" xfId="0">
      <alignment horizontal="general" vertical="bottom"/>
    </xf>
    <xf numFmtId="0" fontId="23" fillId="24" borderId="9" applyAlignment="1" pivotButton="0" quotePrefix="0" xfId="0">
      <alignment horizontal="general" vertical="bottom" wrapText="1"/>
    </xf>
    <xf numFmtId="0" fontId="23" fillId="24" borderId="9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 wrapText="1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24" fillId="11" borderId="0" applyAlignment="1" pivotButton="0" quotePrefix="0" xfId="0">
      <alignment horizontal="general" vertical="bottom" wrapText="1"/>
    </xf>
    <xf numFmtId="0" fontId="24" fillId="0" borderId="5" applyAlignment="1" pivotButton="0" quotePrefix="0" xfId="0">
      <alignment horizontal="general" vertical="bottom"/>
    </xf>
    <xf numFmtId="0" fontId="25" fillId="0" borderId="5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 wrapText="1"/>
    </xf>
    <xf numFmtId="0" fontId="0" fillId="11" borderId="0" applyAlignment="1" pivotButton="0" quotePrefix="0" xfId="0">
      <alignment horizontal="general" vertical="bottom" wrapText="1"/>
    </xf>
    <xf numFmtId="0" fontId="19" fillId="0" borderId="5" applyAlignment="1" pivotButton="0" quotePrefix="0" xfId="0">
      <alignment horizontal="right" vertical="bottom"/>
    </xf>
    <xf numFmtId="0" fontId="26" fillId="0" borderId="5" applyAlignment="1" pivotButton="0" quotePrefix="0" xfId="0">
      <alignment horizontal="general" vertical="bottom"/>
    </xf>
    <xf numFmtId="0" fontId="19" fillId="0" borderId="5" applyAlignment="1" pivotButton="0" quotePrefix="0" xfId="0">
      <alignment horizontal="general" vertical="bottom" wrapText="1"/>
    </xf>
    <xf numFmtId="0" fontId="27" fillId="5" borderId="5" applyAlignment="1" pivotButton="0" quotePrefix="0" xfId="0">
      <alignment horizontal="general" vertical="bottom"/>
    </xf>
    <xf numFmtId="0" fontId="19" fillId="11" borderId="5" applyAlignment="1" pivotButton="0" quotePrefix="0" xfId="0">
      <alignment horizontal="general" vertical="bottom" wrapText="1"/>
    </xf>
    <xf numFmtId="0" fontId="28" fillId="5" borderId="5" applyAlignment="1" pivotButton="0" quotePrefix="0" xfId="0">
      <alignment horizontal="general" vertical="bottom"/>
    </xf>
    <xf numFmtId="0" fontId="0" fillId="0" borderId="7" pivotButton="0" quotePrefix="0" xfId="0"/>
    <xf numFmtId="0" fontId="22" fillId="0" borderId="5" applyAlignment="1" pivotButton="0" quotePrefix="0" xfId="0">
      <alignment horizontal="general" vertical="center"/>
    </xf>
    <xf numFmtId="0" fontId="19" fillId="21" borderId="5" applyAlignment="1" pivotButton="0" quotePrefix="0" xfId="0">
      <alignment horizontal="general" vertical="bottom"/>
    </xf>
    <xf numFmtId="0" fontId="19" fillId="5" borderId="8" applyAlignment="1" pivotButton="0" quotePrefix="0" xfId="0">
      <alignment horizontal="general" vertical="bottom"/>
    </xf>
    <xf numFmtId="0" fontId="19" fillId="5" borderId="5" applyAlignment="1" pivotButton="0" quotePrefix="0" xfId="0">
      <alignment horizontal="general" vertical="bottom" wrapText="1"/>
    </xf>
    <xf numFmtId="0" fontId="0" fillId="5" borderId="8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 wrapText="1"/>
    </xf>
    <xf numFmtId="0" fontId="19" fillId="11" borderId="8" applyAlignment="1" pivotButton="0" quotePrefix="0" xfId="0">
      <alignment horizontal="general" vertical="bottom"/>
    </xf>
    <xf numFmtId="0" fontId="27" fillId="25" borderId="5" applyAlignment="1" pivotButton="0" quotePrefix="0" xfId="0">
      <alignment horizontal="general" vertical="bottom"/>
    </xf>
    <xf numFmtId="0" fontId="0" fillId="25" borderId="5" applyAlignment="1" pivotButton="0" quotePrefix="0" xfId="0">
      <alignment horizontal="general" vertical="bottom"/>
    </xf>
    <xf numFmtId="0" fontId="0" fillId="25" borderId="5" applyAlignment="1" pivotButton="0" quotePrefix="0" xfId="0">
      <alignment horizontal="general" vertical="bottom" wrapText="1"/>
    </xf>
    <xf numFmtId="0" fontId="19" fillId="25" borderId="5" applyAlignment="1" pivotButton="0" quotePrefix="0" xfId="0">
      <alignment horizontal="general" vertical="bottom"/>
    </xf>
    <xf numFmtId="0" fontId="19" fillId="25" borderId="5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23" fillId="23" borderId="5" applyAlignment="1" pivotButton="0" quotePrefix="0" xfId="0">
      <alignment horizontal="general" vertical="bottom"/>
    </xf>
    <xf numFmtId="0" fontId="23" fillId="24" borderId="5" applyAlignment="1" pivotButton="0" quotePrefix="0" xfId="0">
      <alignment horizontal="general" vertical="bottom"/>
    </xf>
    <xf numFmtId="0" fontId="29" fillId="11" borderId="5" applyAlignment="1" pivotButton="0" quotePrefix="0" xfId="0">
      <alignment horizontal="general" vertical="bottom"/>
    </xf>
    <xf numFmtId="0" fontId="27" fillId="0" borderId="5" applyAlignment="1" pivotButton="0" quotePrefix="0" xfId="0">
      <alignment horizontal="general" vertical="bottom"/>
    </xf>
    <xf numFmtId="0" fontId="19" fillId="0" borderId="9" applyAlignment="1" pivotButton="0" quotePrefix="0" xfId="0">
      <alignment horizontal="general" vertical="bottom"/>
    </xf>
    <xf numFmtId="0" fontId="19" fillId="0" borderId="9" applyAlignment="1" pivotButton="0" quotePrefix="0" xfId="0">
      <alignment horizontal="right" vertical="bottom"/>
    </xf>
    <xf numFmtId="0" fontId="19" fillId="0" borderId="8" applyAlignment="1" pivotButton="0" quotePrefix="0" xfId="0">
      <alignment horizontal="general" vertical="bottom"/>
    </xf>
    <xf numFmtId="0" fontId="30" fillId="0" borderId="5" applyAlignment="1" pivotButton="0" quotePrefix="0" xfId="0">
      <alignment horizontal="general" vertical="bottom"/>
    </xf>
    <xf numFmtId="0" fontId="25" fillId="0" borderId="9" applyAlignment="1" pivotButton="0" quotePrefix="0" xfId="0">
      <alignment horizontal="general" vertical="bottom"/>
    </xf>
    <xf numFmtId="0" fontId="25" fillId="0" borderId="9" applyAlignment="1" pivotButton="0" quotePrefix="0" xfId="0">
      <alignment horizontal="right" vertical="bottom"/>
    </xf>
    <xf numFmtId="0" fontId="25" fillId="0" borderId="8" applyAlignment="1" pivotButton="0" quotePrefix="0" xfId="0">
      <alignment horizontal="general" vertical="bottom"/>
    </xf>
    <xf numFmtId="0" fontId="25" fillId="0" borderId="8" applyAlignment="1" pivotButton="0" quotePrefix="0" xfId="0">
      <alignment horizontal="right" vertical="bottom"/>
    </xf>
    <xf numFmtId="0" fontId="19" fillId="0" borderId="8" applyAlignment="1" pivotButton="0" quotePrefix="0" xfId="0">
      <alignment horizontal="right" vertical="bottom"/>
    </xf>
    <xf numFmtId="0" fontId="19" fillId="0" borderId="0" applyAlignment="1" pivotButton="0" quotePrefix="0" xfId="0">
      <alignment horizontal="general" vertical="center"/>
    </xf>
    <xf numFmtId="0" fontId="19" fillId="0" borderId="7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center"/>
    </xf>
    <xf numFmtId="0" fontId="25" fillId="11" borderId="5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9" fillId="11" borderId="9" applyAlignment="1" pivotButton="0" quotePrefix="0" xfId="0">
      <alignment horizontal="general" vertical="bottom"/>
    </xf>
    <xf numFmtId="0" fontId="25" fillId="11" borderId="9" applyAlignment="1" pivotButton="0" quotePrefix="0" xfId="0">
      <alignment horizontal="general" vertical="bottom"/>
    </xf>
    <xf numFmtId="0" fontId="22" fillId="11" borderId="5" applyAlignment="1" pivotButton="0" quotePrefix="0" xfId="0">
      <alignment horizontal="general" vertical="center"/>
    </xf>
    <xf numFmtId="0" fontId="25" fillId="11" borderId="8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top"/>
    </xf>
    <xf numFmtId="0" fontId="17" fillId="5" borderId="0" applyAlignment="1" pivotButton="0" quotePrefix="0" xfId="0">
      <alignment horizontal="general" vertical="top"/>
    </xf>
    <xf numFmtId="0" fontId="17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23" fillId="24" borderId="7" applyAlignment="1" pivotButton="0" quotePrefix="0" xfId="0">
      <alignment horizontal="general" vertical="top"/>
    </xf>
    <xf numFmtId="0" fontId="23" fillId="24" borderId="8" applyAlignment="1" pivotButton="0" quotePrefix="0" xfId="0">
      <alignment horizontal="general" vertical="top"/>
    </xf>
    <xf numFmtId="0" fontId="23" fillId="24" borderId="9" applyAlignment="1" pivotButton="0" quotePrefix="0" xfId="0">
      <alignment horizontal="general" vertical="top"/>
    </xf>
    <xf numFmtId="0" fontId="19" fillId="0" borderId="5" applyAlignment="1" pivotButton="0" quotePrefix="0" xfId="0">
      <alignment horizontal="right" vertical="top"/>
    </xf>
    <xf numFmtId="0" fontId="27" fillId="5" borderId="5" applyAlignment="1" pivotButton="0" quotePrefix="0" xfId="0">
      <alignment horizontal="general" vertical="top"/>
    </xf>
    <xf numFmtId="0" fontId="0" fillId="0" borderId="8" applyAlignment="1" pivotButton="0" quotePrefix="0" xfId="0">
      <alignment horizontal="left" vertical="top"/>
    </xf>
    <xf numFmtId="0" fontId="19" fillId="0" borderId="5" applyAlignment="1" pivotButton="0" quotePrefix="0" xfId="0">
      <alignment horizontal="general" vertical="top"/>
    </xf>
    <xf numFmtId="0" fontId="26" fillId="0" borderId="5" applyAlignment="1" pivotButton="0" quotePrefix="0" xfId="0">
      <alignment horizontal="general" vertical="top"/>
    </xf>
    <xf numFmtId="0" fontId="19" fillId="11" borderId="5" applyAlignment="1" pivotButton="0" quotePrefix="0" xfId="0">
      <alignment horizontal="general" vertical="top" wrapText="1"/>
    </xf>
    <xf numFmtId="0" fontId="19" fillId="11" borderId="5" applyAlignment="1" pivotButton="0" quotePrefix="0" xfId="0">
      <alignment horizontal="general" vertical="top"/>
    </xf>
    <xf numFmtId="0" fontId="19" fillId="0" borderId="0" applyAlignment="1" pivotButton="0" quotePrefix="0" xfId="0">
      <alignment horizontal="right" vertical="top"/>
    </xf>
    <xf numFmtId="0" fontId="0" fillId="0" borderId="5" applyAlignment="1" pivotButton="0" quotePrefix="0" xfId="0">
      <alignment horizontal="left" vertical="top"/>
    </xf>
    <xf numFmtId="0" fontId="19" fillId="0" borderId="0" applyAlignment="1" pivotButton="0" quotePrefix="0" xfId="0">
      <alignment horizontal="general" vertical="top"/>
    </xf>
    <xf numFmtId="0" fontId="26" fillId="11" borderId="5" applyAlignment="1" pivotButton="0" quotePrefix="0" xfId="0">
      <alignment horizontal="general" vertical="top"/>
    </xf>
    <xf numFmtId="0" fontId="17" fillId="23" borderId="0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top"/>
    </xf>
    <xf numFmtId="0" fontId="19" fillId="5" borderId="5" applyAlignment="1" pivotButton="0" quotePrefix="0" xfId="0">
      <alignment horizontal="general" vertical="top"/>
    </xf>
    <xf numFmtId="0" fontId="19" fillId="5" borderId="11" applyAlignment="1" pivotButton="0" quotePrefix="0" xfId="0">
      <alignment horizontal="general" vertical="top"/>
    </xf>
    <xf numFmtId="0" fontId="19" fillId="5" borderId="11" applyAlignment="1" pivotButton="0" quotePrefix="0" xfId="0">
      <alignment horizontal="general" vertical="top" wrapText="1"/>
    </xf>
    <xf numFmtId="0" fontId="0" fillId="21" borderId="5" applyAlignment="1" pivotButton="0" quotePrefix="0" xfId="0">
      <alignment horizontal="general" vertical="top"/>
    </xf>
    <xf numFmtId="0" fontId="0" fillId="5" borderId="11" applyAlignment="1" pivotButton="0" quotePrefix="0" xfId="0">
      <alignment horizontal="general" vertical="top"/>
    </xf>
    <xf numFmtId="0" fontId="0" fillId="21" borderId="11" applyAlignment="1" pivotButton="0" quotePrefix="0" xfId="0">
      <alignment horizontal="general" vertical="top" wrapText="1"/>
    </xf>
    <xf numFmtId="0" fontId="19" fillId="21" borderId="5" applyAlignment="1" pivotButton="0" quotePrefix="0" xfId="0">
      <alignment horizontal="general" vertical="top"/>
    </xf>
    <xf numFmtId="0" fontId="19" fillId="5" borderId="8" applyAlignment="1" pivotButton="0" quotePrefix="0" xfId="0">
      <alignment horizontal="general" vertical="top"/>
    </xf>
    <xf numFmtId="0" fontId="19" fillId="5" borderId="0" applyAlignment="1" pivotButton="0" quotePrefix="0" xfId="0">
      <alignment horizontal="general" vertical="top"/>
    </xf>
    <xf numFmtId="0" fontId="19" fillId="5" borderId="0" applyAlignment="1" pivotButton="0" quotePrefix="0" xfId="0">
      <alignment horizontal="general" vertical="top" wrapText="1"/>
    </xf>
    <xf numFmtId="0" fontId="19" fillId="5" borderId="5" applyAlignment="1" pivotButton="0" quotePrefix="0" xfId="0">
      <alignment horizontal="general" vertical="top" wrapText="1"/>
    </xf>
    <xf numFmtId="0" fontId="0" fillId="5" borderId="5" applyAlignment="1" pivotButton="0" quotePrefix="0" xfId="0">
      <alignment horizontal="general" vertical="top"/>
    </xf>
    <xf numFmtId="0" fontId="22" fillId="0" borderId="5" applyAlignment="1" pivotButton="0" quotePrefix="0" xfId="0">
      <alignment horizontal="general" vertical="top"/>
    </xf>
    <xf numFmtId="0" fontId="19" fillId="0" borderId="8" applyAlignment="1" pivotButton="0" quotePrefix="0" xfId="0">
      <alignment horizontal="general" vertical="top"/>
    </xf>
    <xf numFmtId="0" fontId="19" fillId="0" borderId="0" applyAlignment="1" pivotButton="0" quotePrefix="0" xfId="0">
      <alignment horizontal="general" vertical="top" wrapText="1"/>
    </xf>
    <xf numFmtId="0" fontId="19" fillId="5" borderId="8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left" vertical="top"/>
    </xf>
    <xf numFmtId="0" fontId="0" fillId="5" borderId="5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top" wrapText="1"/>
    </xf>
    <xf numFmtId="0" fontId="30" fillId="5" borderId="5" applyAlignment="1" pivotButton="0" quotePrefix="0" xfId="0">
      <alignment horizontal="general" vertical="top"/>
    </xf>
    <xf numFmtId="0" fontId="25" fillId="5" borderId="5" applyAlignment="1" pivotButton="0" quotePrefix="0" xfId="0">
      <alignment horizontal="general" vertical="top"/>
    </xf>
    <xf numFmtId="0" fontId="31" fillId="5" borderId="5" applyAlignment="1" pivotButton="0" quotePrefix="0" xfId="0">
      <alignment horizontal="general" vertical="top"/>
    </xf>
    <xf numFmtId="0" fontId="24" fillId="11" borderId="5" applyAlignment="1" pivotButton="0" quotePrefix="0" xfId="0">
      <alignment horizontal="general" vertical="top"/>
    </xf>
    <xf numFmtId="0" fontId="25" fillId="0" borderId="5" applyAlignment="1" pivotButton="0" quotePrefix="0" xfId="0">
      <alignment horizontal="general" vertical="top"/>
    </xf>
    <xf numFmtId="0" fontId="25" fillId="0" borderId="5" applyAlignment="1" pivotButton="0" quotePrefix="0" xfId="0">
      <alignment horizontal="right" vertical="top"/>
    </xf>
    <xf numFmtId="0" fontId="25" fillId="5" borderId="5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top"/>
    </xf>
    <xf numFmtId="0" fontId="24" fillId="5" borderId="5" applyAlignment="1" pivotButton="0" quotePrefix="0" xfId="0">
      <alignment horizontal="left" vertical="top"/>
    </xf>
    <xf numFmtId="0" fontId="24" fillId="5" borderId="5" applyAlignment="1" pivotButton="0" quotePrefix="0" xfId="0">
      <alignment horizontal="general" vertical="top"/>
    </xf>
    <xf numFmtId="0" fontId="25" fillId="5" borderId="8" applyAlignment="1" pivotButton="0" quotePrefix="0" xfId="0">
      <alignment horizontal="general" vertical="top"/>
    </xf>
    <xf numFmtId="0" fontId="23" fillId="23" borderId="0" applyAlignment="1" pivotButton="0" quotePrefix="0" xfId="0">
      <alignment horizontal="general" vertical="bottom"/>
    </xf>
    <xf numFmtId="0" fontId="23" fillId="23" borderId="0" applyAlignment="1" pivotButton="0" quotePrefix="0" xfId="0">
      <alignment horizontal="general" vertical="bottom" wrapText="1"/>
    </xf>
    <xf numFmtId="0" fontId="19" fillId="0" borderId="5" applyAlignment="1" pivotButton="0" quotePrefix="0" xfId="0">
      <alignment horizontal="left" vertical="bottom"/>
    </xf>
    <xf numFmtId="0" fontId="0" fillId="0" borderId="5" applyAlignment="1" pivotButton="0" quotePrefix="0" xfId="0">
      <alignment horizontal="left" vertical="bottom"/>
    </xf>
    <xf numFmtId="0" fontId="25" fillId="0" borderId="5" applyAlignment="1" pivotButton="0" quotePrefix="0" xfId="0">
      <alignment horizontal="right" vertical="bottom"/>
    </xf>
    <xf numFmtId="0" fontId="30" fillId="5" borderId="5" applyAlignment="1" pivotButton="0" quotePrefix="0" xfId="0">
      <alignment horizontal="general" vertical="bottom"/>
    </xf>
    <xf numFmtId="0" fontId="25" fillId="0" borderId="5" applyAlignment="1" pivotButton="0" quotePrefix="0" xfId="0">
      <alignment horizontal="general" vertical="bottom" wrapText="1"/>
    </xf>
    <xf numFmtId="0" fontId="32" fillId="5" borderId="0" applyAlignment="1" pivotButton="0" quotePrefix="0" xfId="0">
      <alignment horizontal="general" vertical="bottom"/>
    </xf>
    <xf numFmtId="0" fontId="32" fillId="5" borderId="0" applyAlignment="1" pivotButton="0" quotePrefix="0" xfId="0">
      <alignment horizontal="general" vertical="bottom" wrapText="1"/>
    </xf>
    <xf numFmtId="0" fontId="27" fillId="11" borderId="5" applyAlignment="1" pivotButton="0" quotePrefix="0" xfId="0">
      <alignment horizontal="general" vertical="bottom"/>
    </xf>
    <xf numFmtId="0" fontId="17" fillId="11" borderId="0" applyAlignment="1" pivotButton="0" quotePrefix="0" xfId="0">
      <alignment horizontal="general" vertical="bottom"/>
    </xf>
    <xf numFmtId="0" fontId="17" fillId="11" borderId="0" applyAlignment="1" pivotButton="0" quotePrefix="0" xfId="0">
      <alignment horizontal="general" vertical="bottom" wrapText="1"/>
    </xf>
    <xf numFmtId="0" fontId="19" fillId="26" borderId="5" applyAlignment="1" pivotButton="0" quotePrefix="0" xfId="0">
      <alignment horizontal="general" vertical="bottom" wrapText="1"/>
    </xf>
    <xf numFmtId="0" fontId="0" fillId="5" borderId="5" applyAlignment="1" pivotButton="0" quotePrefix="0" xfId="0">
      <alignment horizontal="left" vertical="top" wrapText="1"/>
    </xf>
    <xf numFmtId="0" fontId="19" fillId="27" borderId="5" applyAlignment="1" pivotButton="0" quotePrefix="0" xfId="0">
      <alignment horizontal="general" vertical="bottom" wrapText="1"/>
    </xf>
    <xf numFmtId="0" fontId="25" fillId="0" borderId="5" applyAlignment="1" pivotButton="0" quotePrefix="0" xfId="0">
      <alignment horizontal="left" vertical="bottom"/>
    </xf>
    <xf numFmtId="0" fontId="19" fillId="28" borderId="5" applyAlignment="1" pivotButton="0" quotePrefix="0" xfId="0">
      <alignment horizontal="general" vertical="bottom" wrapText="1"/>
    </xf>
    <xf numFmtId="0" fontId="19" fillId="29" borderId="5" applyAlignment="1" pivotButton="0" quotePrefix="0" xfId="0">
      <alignment horizontal="general" vertical="bottom" wrapText="1"/>
    </xf>
    <xf numFmtId="0" fontId="19" fillId="21" borderId="5" applyAlignment="1" pivotButton="0" quotePrefix="0" xfId="0">
      <alignment horizontal="left" vertical="bottom"/>
    </xf>
    <xf numFmtId="0" fontId="19" fillId="11" borderId="5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 wrapText="1"/>
    </xf>
    <xf numFmtId="0" fontId="19" fillId="26" borderId="0" applyAlignment="1" pivotButton="0" quotePrefix="0" xfId="0">
      <alignment horizontal="general" vertical="bottom" wrapText="1"/>
    </xf>
    <xf numFmtId="0" fontId="25" fillId="23" borderId="5" applyAlignment="1" pivotButton="0" quotePrefix="0" xfId="0">
      <alignment horizontal="general" vertical="bottom"/>
    </xf>
    <xf numFmtId="0" fontId="25" fillId="23" borderId="5" applyAlignment="1" pivotButton="0" quotePrefix="0" xfId="0">
      <alignment horizontal="left" vertical="bottom"/>
    </xf>
    <xf numFmtId="0" fontId="25" fillId="23" borderId="5" applyAlignment="1" pivotButton="0" quotePrefix="0" xfId="0">
      <alignment horizontal="general" vertical="bottom" wrapText="1"/>
    </xf>
    <xf numFmtId="0" fontId="25" fillId="11" borderId="5" applyAlignment="1" pivotButton="0" quotePrefix="0" xfId="0">
      <alignment horizontal="left" vertical="bottom"/>
    </xf>
    <xf numFmtId="0" fontId="19" fillId="30" borderId="5" applyAlignment="1" pivotButton="0" quotePrefix="0" xfId="0">
      <alignment horizontal="general" vertical="bottom" wrapText="1"/>
    </xf>
    <xf numFmtId="0" fontId="19" fillId="0" borderId="5" applyAlignment="1" pivotButton="0" quotePrefix="0" xfId="0">
      <alignment horizontal="left" vertical="bottom" wrapText="1"/>
    </xf>
    <xf numFmtId="0" fontId="19" fillId="30" borderId="5" applyAlignment="1" pivotButton="0" quotePrefix="0" xfId="0">
      <alignment horizontal="left" vertical="bottom" wrapText="1"/>
    </xf>
    <xf numFmtId="0" fontId="19" fillId="31" borderId="5" applyAlignment="1" pivotButton="0" quotePrefix="0" xfId="0">
      <alignment horizontal="general" vertical="bottom" wrapText="1"/>
    </xf>
    <xf numFmtId="0" fontId="19" fillId="21" borderId="0" applyAlignment="1" pivotButton="0" quotePrefix="0" xfId="0">
      <alignment horizontal="general" vertical="bottom"/>
    </xf>
    <xf numFmtId="0" fontId="0" fillId="21" borderId="0" applyAlignment="1" pivotButton="0" quotePrefix="0" xfId="0">
      <alignment horizontal="general" vertical="bottom"/>
    </xf>
    <xf numFmtId="0" fontId="25" fillId="23" borderId="0" applyAlignment="1" pivotButton="0" quotePrefix="0" xfId="0">
      <alignment horizontal="general" vertical="bottom"/>
    </xf>
    <xf numFmtId="0" fontId="19" fillId="32" borderId="5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/>
    </xf>
    <xf numFmtId="0" fontId="19" fillId="23" borderId="5" applyAlignment="1" pivotButton="0" quotePrefix="0" xfId="0">
      <alignment horizontal="general" vertical="bottom"/>
    </xf>
    <xf numFmtId="0" fontId="19" fillId="23" borderId="5" applyAlignment="1" pivotButton="0" quotePrefix="0" xfId="0">
      <alignment horizontal="general" vertical="bottom" wrapText="1"/>
    </xf>
    <xf numFmtId="0" fontId="19" fillId="23" borderId="5" applyAlignment="1" pivotButton="0" quotePrefix="0" xfId="0">
      <alignment horizontal="left" vertical="bottom"/>
    </xf>
    <xf numFmtId="0" fontId="19" fillId="23" borderId="0" applyAlignment="1" pivotButton="0" quotePrefix="0" xfId="0">
      <alignment horizontal="general" vertical="bottom"/>
    </xf>
    <xf numFmtId="0" fontId="19" fillId="33" borderId="5" applyAlignment="1" pivotButton="0" quotePrefix="0" xfId="0">
      <alignment horizontal="general" vertical="bottom" wrapText="1"/>
    </xf>
    <xf numFmtId="0" fontId="19" fillId="31" borderId="5" applyAlignment="1" pivotButton="0" quotePrefix="0" xfId="0">
      <alignment horizontal="left" vertical="bottom" wrapText="1"/>
    </xf>
    <xf numFmtId="0" fontId="24" fillId="11" borderId="5" applyAlignment="1" pivotButton="0" quotePrefix="0" xfId="0">
      <alignment horizontal="general" vertical="bottom"/>
    </xf>
    <xf numFmtId="0" fontId="33" fillId="23" borderId="5" applyAlignment="1" pivotButton="0" quotePrefix="0" xfId="0">
      <alignment horizontal="general" vertical="bottom" wrapText="1"/>
    </xf>
    <xf numFmtId="0" fontId="19" fillId="34" borderId="5" applyAlignment="1" pivotButton="0" quotePrefix="0" xfId="0">
      <alignment horizontal="general" vertical="bottom"/>
    </xf>
    <xf numFmtId="0" fontId="34" fillId="23" borderId="5" applyAlignment="1" pivotButton="0" quotePrefix="0" xfId="0">
      <alignment horizontal="general" vertical="bottom"/>
    </xf>
    <xf numFmtId="0" fontId="34" fillId="5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4" fillId="24" borderId="5" applyAlignment="1" pivotButton="0" quotePrefix="0" xfId="0">
      <alignment horizontal="general" vertical="bottom"/>
    </xf>
    <xf numFmtId="0" fontId="35" fillId="0" borderId="5" applyAlignment="1" pivotButton="0" quotePrefix="0" xfId="0">
      <alignment horizontal="right" vertical="bottom"/>
    </xf>
    <xf numFmtId="0" fontId="36" fillId="5" borderId="5" applyAlignment="1" pivotButton="0" quotePrefix="0" xfId="0">
      <alignment horizontal="general" vertical="bottom"/>
    </xf>
    <xf numFmtId="0" fontId="35" fillId="0" borderId="5" applyAlignment="1" pivotButton="0" quotePrefix="0" xfId="0">
      <alignment horizontal="left" vertical="bottom"/>
    </xf>
    <xf numFmtId="0" fontId="35" fillId="0" borderId="5" applyAlignment="1" pivotButton="0" quotePrefix="0" xfId="0">
      <alignment horizontal="general" vertical="bottom"/>
    </xf>
    <xf numFmtId="0" fontId="35" fillId="11" borderId="5" applyAlignment="1" pivotButton="0" quotePrefix="0" xfId="0">
      <alignment horizontal="general" vertical="bottom"/>
    </xf>
    <xf numFmtId="0" fontId="37" fillId="11" borderId="5" applyAlignment="1" pivotButton="0" quotePrefix="0" xfId="0">
      <alignment horizontal="general" vertical="bottom"/>
    </xf>
    <xf numFmtId="0" fontId="35" fillId="35" borderId="5" applyAlignment="1" pivotButton="0" quotePrefix="0" xfId="0">
      <alignment horizontal="right" vertical="bottom"/>
    </xf>
    <xf numFmtId="0" fontId="36" fillId="35" borderId="5" applyAlignment="1" pivotButton="0" quotePrefix="0" xfId="0">
      <alignment horizontal="general" vertical="bottom"/>
    </xf>
    <xf numFmtId="0" fontId="35" fillId="35" borderId="5" applyAlignment="1" pivotButton="0" quotePrefix="0" xfId="0">
      <alignment horizontal="left" vertical="bottom"/>
    </xf>
    <xf numFmtId="0" fontId="35" fillId="35" borderId="5" applyAlignment="1" pivotButton="0" quotePrefix="0" xfId="0">
      <alignment horizontal="general" vertical="bottom"/>
    </xf>
    <xf numFmtId="0" fontId="35" fillId="21" borderId="5" applyAlignment="1" pivotButton="0" quotePrefix="0" xfId="0">
      <alignment horizontal="right" vertical="bottom"/>
    </xf>
    <xf numFmtId="0" fontId="36" fillId="21" borderId="5" applyAlignment="1" pivotButton="0" quotePrefix="0" xfId="0">
      <alignment horizontal="general" vertical="bottom"/>
    </xf>
    <xf numFmtId="0" fontId="35" fillId="21" borderId="5" applyAlignment="1" pivotButton="0" quotePrefix="0" xfId="0">
      <alignment horizontal="general" vertical="bottom"/>
    </xf>
    <xf numFmtId="0" fontId="36" fillId="0" borderId="5" applyAlignment="1" pivotButton="0" quotePrefix="0" xfId="0">
      <alignment horizontal="general" vertical="bottom"/>
    </xf>
    <xf numFmtId="0" fontId="0" fillId="21" borderId="0" applyAlignment="1" pivotButton="0" quotePrefix="0" xfId="0">
      <alignment horizontal="general" vertical="top"/>
    </xf>
    <xf numFmtId="0" fontId="35" fillId="0" borderId="9" applyAlignment="1" pivotButton="0" quotePrefix="0" xfId="0">
      <alignment horizontal="general" vertical="bottom"/>
    </xf>
    <xf numFmtId="0" fontId="35" fillId="0" borderId="9" applyAlignment="1" pivotButton="0" quotePrefix="0" xfId="0">
      <alignment horizontal="right" vertical="bottom"/>
    </xf>
    <xf numFmtId="0" fontId="35" fillId="0" borderId="8" applyAlignment="1" pivotButton="0" quotePrefix="0" xfId="0">
      <alignment horizontal="right" vertical="bottom"/>
    </xf>
    <xf numFmtId="0" fontId="38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center"/>
    </xf>
    <xf numFmtId="0" fontId="17" fillId="5" borderId="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9" fillId="0" borderId="7" applyAlignment="1" pivotButton="0" quotePrefix="0" xfId="0">
      <alignment horizontal="right" vertical="bottom"/>
    </xf>
    <xf numFmtId="0" fontId="27" fillId="5" borderId="0" applyAlignment="1" pivotButton="0" quotePrefix="0" xfId="0">
      <alignment horizontal="general" vertical="bottom"/>
    </xf>
    <xf numFmtId="0" fontId="27" fillId="5" borderId="7" applyAlignment="1" pivotButton="0" quotePrefix="0" xfId="0">
      <alignment horizontal="general" vertical="bottom"/>
    </xf>
    <xf numFmtId="0" fontId="26" fillId="0" borderId="8" applyAlignment="1" pivotButton="0" quotePrefix="0" xfId="0">
      <alignment horizontal="general" vertical="bottom"/>
    </xf>
    <xf numFmtId="0" fontId="27" fillId="5" borderId="8" applyAlignment="1" pivotButton="0" quotePrefix="0" xfId="0">
      <alignment horizontal="general" vertical="bottom"/>
    </xf>
    <xf numFmtId="0" fontId="19" fillId="0" borderId="8" applyAlignment="1" pivotButton="0" quotePrefix="0" xfId="0">
      <alignment horizontal="general" vertical="bottom" wrapText="1"/>
    </xf>
    <xf numFmtId="0" fontId="19" fillId="5" borderId="7" applyAlignment="1" pivotButton="0" quotePrefix="0" xfId="0">
      <alignment horizontal="right" vertical="bottom"/>
    </xf>
    <xf numFmtId="0" fontId="19" fillId="5" borderId="9" applyAlignment="1" pivotButton="0" quotePrefix="0" xfId="0">
      <alignment horizontal="general" vertical="bottom"/>
    </xf>
    <xf numFmtId="0" fontId="26" fillId="5" borderId="8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5" borderId="7" applyAlignment="1" pivotButton="0" quotePrefix="0" xfId="0">
      <alignment horizontal="general" vertical="bottom" wrapText="1"/>
    </xf>
    <xf numFmtId="0" fontId="0" fillId="5" borderId="5" applyAlignment="1" pivotButton="0" quotePrefix="0" xfId="0">
      <alignment horizontal="left" vertical="bottom"/>
    </xf>
    <xf numFmtId="0" fontId="0" fillId="0" borderId="8" applyAlignment="1" pivotButton="0" quotePrefix="0" xfId="0">
      <alignment horizontal="general" vertical="bottom" wrapText="1"/>
    </xf>
    <xf numFmtId="0" fontId="17" fillId="11" borderId="5" applyAlignment="1" pivotButton="0" quotePrefix="0" xfId="0">
      <alignment horizontal="general" vertical="bottom"/>
    </xf>
    <xf numFmtId="0" fontId="24" fillId="11" borderId="5" applyAlignment="1" pivotButton="0" quotePrefix="0" xfId="0">
      <alignment horizontal="general" vertical="bottom" wrapText="1"/>
    </xf>
    <xf numFmtId="0" fontId="32" fillId="0" borderId="5" applyAlignment="1" pivotButton="0" quotePrefix="0" xfId="0">
      <alignment horizontal="general" vertical="bottom"/>
    </xf>
    <xf numFmtId="0" fontId="24" fillId="0" borderId="5" applyAlignment="1" pivotButton="0" quotePrefix="0" xfId="0">
      <alignment horizontal="left" vertical="bottom"/>
    </xf>
    <xf numFmtId="0" fontId="21" fillId="0" borderId="5" applyAlignment="1" pivotButton="0" quotePrefix="0" xfId="0">
      <alignment horizontal="right" vertical="bottom"/>
    </xf>
    <xf numFmtId="0" fontId="26" fillId="0" borderId="5" applyAlignment="1" pivotButton="0" quotePrefix="0" xfId="0">
      <alignment horizontal="right" vertical="bottom"/>
    </xf>
    <xf numFmtId="0" fontId="28" fillId="5" borderId="0" applyAlignment="1" pivotButton="0" quotePrefix="0" xfId="0">
      <alignment horizontal="general" vertical="bottom"/>
    </xf>
    <xf numFmtId="0" fontId="39" fillId="0" borderId="5" applyAlignment="1" pivotButton="0" quotePrefix="0" xfId="0">
      <alignment horizontal="general" vertical="bottom" wrapText="1"/>
    </xf>
    <xf numFmtId="0" fontId="39" fillId="0" borderId="5" applyAlignment="1" pivotButton="0" quotePrefix="0" xfId="0">
      <alignment horizontal="general" vertical="bottom"/>
    </xf>
    <xf numFmtId="0" fontId="17" fillId="23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 wrapText="1"/>
    </xf>
    <xf numFmtId="0" fontId="17" fillId="0" borderId="6" applyAlignment="1" pivotButton="0" quotePrefix="0" xfId="0">
      <alignment horizontal="general" vertical="bottom"/>
    </xf>
    <xf numFmtId="0" fontId="17" fillId="0" borderId="12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17" fillId="23" borderId="7" applyAlignment="1" pivotButton="0" quotePrefix="0" xfId="0">
      <alignment horizontal="general" vertical="bottom"/>
    </xf>
    <xf numFmtId="0" fontId="40" fillId="5" borderId="0" applyAlignment="1" pivotButton="0" quotePrefix="0" xfId="0">
      <alignment horizontal="general" vertical="bottom"/>
    </xf>
    <xf numFmtId="0" fontId="0" fillId="21" borderId="5" applyAlignment="1" pivotButton="0" quotePrefix="0" xfId="0">
      <alignment horizontal="left" vertical="bottom"/>
    </xf>
    <xf numFmtId="0" fontId="0" fillId="21" borderId="5" applyAlignment="1" pivotButton="0" quotePrefix="0" xfId="0">
      <alignment horizontal="general" vertical="bottom"/>
    </xf>
    <xf numFmtId="0" fontId="0" fillId="11" borderId="5" applyAlignment="1" pivotButton="0" quotePrefix="0" xfId="0">
      <alignment horizontal="left" vertical="bottom"/>
    </xf>
    <xf numFmtId="0" fontId="19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left" vertical="bottom"/>
    </xf>
    <xf numFmtId="0" fontId="19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8" fillId="23" borderId="0" applyAlignment="1" pivotButton="0" quotePrefix="0" xfId="0">
      <alignment horizontal="general" vertical="bottom"/>
    </xf>
    <xf numFmtId="0" fontId="9" fillId="23" borderId="2" applyAlignment="1" pivotButton="0" quotePrefix="0" xfId="0">
      <alignment horizontal="left" vertical="center" wrapText="1"/>
    </xf>
    <xf numFmtId="0" fontId="9" fillId="23" borderId="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general" vertical="bottom"/>
    </xf>
    <xf numFmtId="0" fontId="9" fillId="20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6D9EEB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1F1F1F"/>
        </patternFill>
      </fill>
    </dxf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F8F5FC"/>
      <rgbColor rgb="FF800080"/>
      <rgbColor rgb="FF006464"/>
      <rgbColor rgb="FFBFBFBF"/>
      <rgbColor rgb="FF5B9BD5"/>
      <rgbColor rgb="FF6D9EEB"/>
      <rgbColor rgb="FFA64D79"/>
      <rgbColor rgb="FFFFF2CC"/>
      <rgbColor rgb="FFF0F9F5"/>
      <rgbColor rgb="FF660066"/>
      <rgbColor rgb="FFF2F2F2"/>
      <rgbColor rgb="FF2F5597"/>
      <rgbColor rgb="FFD9D9D9"/>
      <rgbColor rgb="FF000080"/>
      <rgbColor rgb="FFFF00FF"/>
      <rgbColor rgb="FFEDEDED"/>
      <rgbColor rgb="FFF5F8FC"/>
      <rgbColor rgb="FF800080"/>
      <rgbColor rgb="FF800000"/>
      <rgbColor rgb="FF4A86E8"/>
      <rgbColor rgb="FF0000FF"/>
      <rgbColor rgb="FF00CCFF"/>
      <rgbColor rgb="FFF2F7FA"/>
      <rgbColor rgb="FFE2EFDA"/>
      <rgbColor rgb="FFFFFBF0"/>
      <rgbColor rgb="FFA2C4C9"/>
      <rgbColor rgb="FFFCE4D6"/>
      <rgbColor rgb="FFD9E1F2"/>
      <rgbColor rgb="FFF4CCCC"/>
      <rgbColor rgb="FF3C78D8"/>
      <rgbColor rgb="FFF2F4F8"/>
      <rgbColor rgb="FFB6D7A8"/>
      <rgbColor rgb="FFFFC000"/>
      <rgbColor rgb="FFFDF5F5"/>
      <rgbColor rgb="FFFFF5FB"/>
      <rgbColor rgb="FF595959"/>
      <rgbColor rgb="FF93C47D"/>
      <rgbColor rgb="FF0F243E"/>
      <rgbColor rgb="FF6AA84F"/>
      <rgbColor rgb="FF003300"/>
      <rgbColor rgb="FF1F1F1F"/>
      <rgbColor rgb="FF833C0C"/>
      <rgbColor rgb="FF993366"/>
      <rgbColor rgb="FF1F4E78"/>
      <rgbColor rgb="FF3B3B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Relationships xmlns="http://schemas.openxmlformats.org/package/2006/relationships"><Relationship Type="http://schemas.openxmlformats.org/officeDocument/2006/relationships/hyperlink" Target="http://los.id/" TargetMode="External" Id="rId1"/><Relationship Type="http://schemas.openxmlformats.org/officeDocument/2006/relationships/hyperlink" Target="http://d.id/" TargetMode="External" Id="rId2"/><Relationship Type="http://schemas.openxmlformats.org/officeDocument/2006/relationships/hyperlink" Target="http://los.id/" TargetMode="External" Id="rId3"/><Relationship Type="http://schemas.openxmlformats.org/officeDocument/2006/relationships/hyperlink" Target="http://d.id/" TargetMode="External" Id="rId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34" min="1" max="1"/>
    <col width="32" customWidth="1" style="334" min="2" max="2"/>
    <col width="28" customWidth="1" style="334" min="3" max="3"/>
    <col width="30" customWidth="1" style="334" min="4" max="4"/>
    <col width="38" customWidth="1" style="334" min="5" max="5"/>
    <col width="42" customWidth="1" style="334" min="6" max="6"/>
    <col width="28" customWidth="1" style="334" min="7" max="7"/>
    <col width="26" customWidth="1" style="334" min="8" max="8"/>
    <col width="56" customWidth="1" style="334" min="9" max="9"/>
    <col width="62" customWidth="1" style="334" min="10" max="10"/>
  </cols>
  <sheetData>
    <row r="1" ht="36" customHeight="1" s="335">
      <c r="A1" s="336" t="inlineStr">
        <is>
          <t>MASTER GUIDE — CẨM NANG Ý NGHĨA CÁC SHEET &amp; HƯỚNG DẪN THAO TÁC DÀNH CHO FRESHER DATA ENGINEER</t>
        </is>
      </c>
    </row>
    <row r="2" ht="24" customHeight="1" s="335">
      <c r="A2" s="337" t="inlineStr">
        <is>
          <t>Dự án Training Data Engineer (Airflow + Spark SQL) | Kiến trúc Medallion: Landing/Source -&gt; PG_BRONZE (1:1) -&gt; PG_SILVER (Temp 1 Tech &amp; Temp 2 Business) -&gt; PG_GOLD (DIM_*, FCT_*, INF_*, INTF_*)</t>
        </is>
      </c>
    </row>
    <row r="3" ht="9.75" customHeight="1" s="335"/>
    <row r="4" ht="27.75" customHeight="1" s="335">
      <c r="A4" s="338" t="inlineStr">
        <is>
          <t>PHẦN I. QUY TRÌNH 6 BƯỚC THAO TÁC CHUẨN DÀNH CHO FRESHER (STANDARD OPERATING PROCEDURE)</t>
        </is>
      </c>
    </row>
    <row r="5" ht="27.75" customHeight="1" s="335">
      <c r="A5" s="339" t="inlineStr">
        <is>
          <t>Bước</t>
        </is>
      </c>
      <c r="B5" s="339" t="inlineStr">
        <is>
          <t>Giai Đoạn Thao Tác</t>
        </is>
      </c>
      <c r="C5" s="339" t="inlineStr">
        <is>
          <t>Sheet Cần Mở</t>
        </is>
      </c>
      <c r="D5" s="339" t="inlineStr">
        <is>
          <t>Mục Tiêu Của Bước</t>
        </is>
      </c>
      <c r="E5" s="339" t="inlineStr">
        <is>
          <t>Hướng Dẫn Thao Tác Chi Tiết Từng Bước Cho Fresher</t>
        </is>
      </c>
      <c r="F5" s="339" t="inlineStr">
        <is>
          <t>Công Cụ / Câu Lệnh / Tham Số Chuẩn</t>
        </is>
      </c>
      <c r="G5" s="339" t="inlineStr">
        <is>
          <t>Đầu Ra (Deliverables)</t>
        </is>
      </c>
      <c r="H5" s="339" t="inlineStr">
        <is>
          <t>Tiêu Chí Nghiệm Thu (Checklist Pass)</t>
        </is>
      </c>
      <c r="I5" s="339" t="inlineStr">
        <is>
          <t>Lỗi Thường Gặp Cần Tránh</t>
        </is>
      </c>
      <c r="J5" s="339" t="inlineStr">
        <is>
          <t>Người Kiểm Duyệt</t>
        </is>
      </c>
    </row>
    <row r="6" ht="67.5" customHeight="1" s="335">
      <c r="A6" s="340" t="n">
        <v>1</v>
      </c>
      <c r="B6" s="341" t="inlineStr">
        <is>
          <t>Nhận Task &amp; Xác định phạm vi Domain</t>
        </is>
      </c>
      <c r="C6" s="341" t="inlineStr">
        <is>
          <t>Phan_Cong_Task</t>
        </is>
      </c>
      <c r="D6" s="342" t="inlineStr">
        <is>
          <t>Nắm rõ danh sách bảng mình phụ trách (Track 0 -&gt; Track 7) và phân tầng Medallion của từng bảng.</t>
        </is>
      </c>
      <c r="E6" s="342" t="inlineStr">
        <is>
          <t>1. Mở sheet 'Phan_Cong_Task', lọc cột B (Người Phụ Trách) theo tên Fresher của bạn (Fresher 1 -&gt; Fresher 7).
2. Ghi nhận danh sách 'Sheet Mapping Excel' (cột E), 'Bảng Đích Target' (cột F) và 'Phân Tầng Medallion Architecture' (cột G).
3. Lưu ý: Cả nhóm Fresher 1-6 cùng phối hợp thực hiện Track 0 (Ingest 1:1 28 bảng nguồn lên PG_BRONZE).</t>
        </is>
      </c>
      <c r="F6" s="343" t="inlineStr">
        <is>
          <t>Excel Filter theo cột 'Người Phụ Trách' &amp; 'Track Domain'</t>
        </is>
      </c>
      <c r="G6" s="342" t="inlineStr">
        <is>
          <t>Danh sách bảng phụ trách cá nhân (Bronze, Silver Temp 1, Silver Temp 2, Gold)</t>
        </is>
      </c>
      <c r="H6" s="342" t="inlineStr">
        <is>
          <t>Xác định đúng 100% tên bảng đích, schema đích (PG_BRONZE / PG_SILVER / PG_GOLD) và sheet thiết kế tương ứng.</t>
        </is>
      </c>
      <c r="I6" s="342" t="inlineStr">
        <is>
          <t>Nhầm lẫn giữa bảng thuộc Silver Temp 1 (Tech) và Silver Temp 2 (Business), hoặc bỏ sót task chung ở Track 0.</t>
        </is>
      </c>
      <c r="J6" s="340" t="inlineStr">
        <is>
          <t>Tech Lead / Mentor</t>
        </is>
      </c>
    </row>
    <row r="7" ht="67.5" customHeight="1" s="335">
      <c r="A7" s="344" t="n">
        <v>2</v>
      </c>
      <c r="B7" s="345" t="inlineStr">
        <is>
          <t>Kiểm tra thứ tự chạy &amp; Phụ thuộc DAG</t>
        </is>
      </c>
      <c r="C7" s="345" t="inlineStr">
        <is>
          <t>Job_dependence</t>
        </is>
      </c>
      <c r="D7" s="346" t="inlineStr">
        <is>
          <t>Hiểu rõ bảng nào phải chạy trước (Upstream), bảng nào chạy sau (Downstream) để cấu hình Airflow DAG.</t>
        </is>
      </c>
      <c r="E7" s="346" t="inlineStr">
        <is>
          <t>1. Mở sheet 'Job_dependence', lọc cột I (PIC) hoặc cột B (OBJECT_NAME) theo bảng bạn phụ trách.
2. Xem cột C (GRP_OBJ) để biết bảng thuộc Wave mấy (WAVE_0_BRONZE_1_1 -&gt; WAVE_4_GOLD_FACT).
3. Xem cột D (WAITING) để biết các bảng nguồn/bảng trung gian bắt buộc phải hoàn thành trước khi job của bạn được phép chạy.
4. Đặt đường dẫn file SQL đúng theo cột G (SQL_EXC) và cron schedule theo cột F (SCHEDULE).</t>
        </is>
      </c>
      <c r="F7" s="347" t="inlineStr">
        <is>
          <t>Airflow ExternalTaskSensor / TaskGroup; Cron: Wave 0 (00:30), Wave 1 (01:00), Wave 2 (01:30-01:45), Wave 3 (02:00), Wave 4 (02:15-02:45)</t>
        </is>
      </c>
      <c r="G7" s="346" t="inlineStr">
        <is>
          <t>File cấu hình Airflow DAG &amp; thứ tự dependency giữa các task</t>
        </is>
      </c>
      <c r="H7" s="346" t="inlineStr">
        <is>
          <t>Không có vòng lặp dependency (circular dependency); các bảng cùng Wave độc lập chạy song song, khác Wave chạy tuần tự.</t>
        </is>
      </c>
      <c r="I7" s="346" t="inlineStr">
        <is>
          <t>Cho chạy bảng Gold hoặc Silver Temp 2 trước khi bảng Bronze / Silver Temp 1 nạp xong dữ liệu ngày ${ETL_DATE}.</t>
        </is>
      </c>
      <c r="J7" s="344" t="inlineStr">
        <is>
          <t>Data Platform Lead</t>
        </is>
      </c>
    </row>
    <row r="8" ht="67.5" customHeight="1" s="335">
      <c r="A8" s="340" t="n">
        <v>3</v>
      </c>
      <c r="B8" s="341" t="inlineStr">
        <is>
          <t>Khởi tạo bảng &amp; Viết job Ingest 1:1 tầng Bronze (Wave 0)</t>
        </is>
      </c>
      <c r="C8" s="341" t="inlineStr">
        <is>
          <t>Bronze_Mapping_1_1 &amp; DDL</t>
        </is>
      </c>
      <c r="D8" s="342" t="inlineStr">
        <is>
          <t>Tạo bảng vật lý trên PG_BRONZE và kéo nguyên bản 1:1 dữ liệu từ 5 schema nguồn (T24CORE, FLEXBO, LOS_APP, SMY, SOURCE, EBANKING) về Bronze.</t>
        </is>
      </c>
      <c r="E8" s="342" t="inlineStr">
        <is>
          <t>1. Mở sheet 'DDL' (dòng 2 đến 393) để lấy cấu trúc cột, kiểu dữ liệu và câu lệnh COMMENT ON COLUMN cho 28 bảng PG_BRONZE (392 cột nguồn).
2. Mở sheet 'Bronze_Mapping_1_1' để lấy câu lệnh SELECT 1:1 mẫu tại cột H (Bảng tổng hợp đầu sheet) và chi tiết 392 cột bên dưới.
3. Khi ingest lên PG_BRONZE, giữ nguyên 100% tên cột nguồn, không join, không lọc rớt bản ghi nghiệp vụ, và bắt buộc gắn thêm 3 cột Audit: ETL_DATE, INGEST_TMS, SRC_STM_CODE.</t>
        </is>
      </c>
      <c r="F8" s="343" t="inlineStr">
        <is>
          <t>SELECT src.*, ${ETL_DATE} AS ETL_DATE, CURRENT_TIMESTAMP() AS INGEST_TMS, '&lt;BRONZE_TABLE&gt;' AS SRC_STM_CODE FROM &lt;SCHEMA&gt;.&lt;TABLE&gt; src</t>
        </is>
      </c>
      <c r="G8" s="342" t="inlineStr">
        <is>
          <t>28 scripts sql/bronze/*.sql &amp; DAG dag_wave0_bronze_ingest.py</t>
        </is>
      </c>
      <c r="H8" s="342" t="inlineStr">
        <is>
          <t>Số lượng dòng (Row count) và số cột gốc trên PG_BRONZE khớp 1:1 với bảng nguồn theo ngày chạy ${ETL_DATE}.</t>
        </is>
      </c>
      <c r="I8" s="342" t="inlineStr">
        <is>
          <t>Tự ý đổi tên cột ở tầng Bronze, ép kiểu sai làm mất độ chính xác số thập phân, hoặc quên thêm 3 cột Audit.</t>
        </is>
      </c>
      <c r="J8" s="340" t="inlineStr">
        <is>
          <t>Fresher 1 - 6 (Cross-review)</t>
        </is>
      </c>
    </row>
    <row r="9" ht="67.5" customHeight="1" s="335">
      <c r="A9" s="344" t="n">
        <v>4</v>
      </c>
      <c r="B9" s="345" t="inlineStr">
        <is>
          <t>Phát triển ETL tầng Silver Temp 1 &amp; Silver Temp 2 (Wave 1 &amp; 2)</t>
        </is>
      </c>
      <c r="C9" s="345" t="inlineStr">
        <is>
          <t>Map_SRC2TRG &amp; 23 Sheet Silver</t>
        </is>
      </c>
      <c r="D9" s="346" t="inlineStr">
        <is>
          <t>Chuẩn hóa kỹ thuật ở Silver Temp 1 và xử lý logic nghiệp vụ ngân hàng (SCD1, SCD2, Snapshot, TXN, UNION ALL đa nhánh) ở Silver Temp 2.</t>
        </is>
      </c>
      <c r="E9" s="346" t="inlineStr">
        <is>
          <t>1. Với 4 bảng theo dõi lịch/sao kê (CUST_INFO_DAILY, Saoke_GIAINGAN, SAOKE_TINDUNG, sk_lich_tra_no): mở sheet 'Map_SRC2TRG', lọc cột B (TRG) theo tên bảng để lấy điều kiện JOIN (cột M) và hàm Transform (cột N).
2. Với các bảng Entity chuẩn (CST, IDV_PRFL, LOAN_AR, LOAN_AR_PRFL, PST_ENTR, AR_BAL...): mở từng sheet riêng của bảng đó.
3. Đọc bảng 'Business Rule / Join Condition' ở phần đầu sheet để viết mệnh đề FROM / LEFT JOIN / WHERE (và các khối UNION ALL nếu có nhiều nhánh như LOAN_AR, LOAN_AR_PRFL, AR_RATE_HIST, IP_ELC_ADR, IP_PST_ADR, CV).
4. Đọc bảng Mapping cột bên dưới để viết mệnh đề SELECT: áp dụng đúng công thức cột D (Transform) sang cột H (Cột đích) với kiểu dữ liệu cột I-J.</t>
        </is>
      </c>
      <c r="F9" s="347" t="inlineStr">
        <is>
          <t>Hàm khóa: fn_hash("PREFIX", COL) (không có dấu '|'); Biến ngày: ${ETL_DATE}; Đóng/mở bản ghi SCD2 bằng SYS_EFF_DT, SYS_EXP_DT, SYS_UDT_DT</t>
        </is>
      </c>
      <c r="G9" s="346" t="inlineStr">
        <is>
          <t>12 scripts sql/silver_temp1/*.sql &amp; 15 scripts sql/silver_temp2/*.sql</t>
        </is>
      </c>
      <c r="H9" s="346" t="inlineStr">
        <is>
          <t>Không trùng khóa chính (AR_ID, CST_ID, PST_ENTR_ID...); các bảng SCD2 chỉ có duy nhất 1 dòng hiệu lực (SYS_EXP_DT IS NULL) trên mỗi Business Key.</t>
        </is>
      </c>
      <c r="I9" s="346" t="inlineStr">
        <is>
          <t>Dùng dấu '|' trong fn_hash làm lệch khóa join; quên END trong CASE WHEN; gọi nhầm alias giữa các nhánh UNION ALL.</t>
        </is>
      </c>
      <c r="J9" s="344" t="inlineStr">
        <is>
          <t>Mentor phụ trách Track</t>
        </is>
      </c>
    </row>
    <row r="10" ht="67.5" customHeight="1" s="335">
      <c r="A10" s="340" t="n">
        <v>5</v>
      </c>
      <c r="B10" s="341" t="inlineStr">
        <is>
          <t>Phát triển ETL tầng Gold Dimensions, Fact &amp; Interfaces (Wave 3 &amp; 4)</t>
        </is>
      </c>
      <c r="C10" s="341" t="inlineStr">
        <is>
          <t>13 Sheet Gold (DIM_*, FCT_*, INF_*, INTF_*)</t>
        </is>
      </c>
      <c r="D10" s="342" t="inlineStr">
        <is>
          <t>Xây dựng các chiều phân tích (DIM_*), bảng sự kiện trung tâm (FCT_LOAN_AR) và các bảng giao diện báo cáo (INF_CST, INTF_LOAN_*).</t>
        </is>
      </c>
      <c r="E10" s="342" t="inlineStr">
        <is>
          <t>1. Wave 3 (DIM_*): Mở 8 sheet Dimension (DIM_LOAN_AR, DIM_CST, DIM_PD, DIM_OU, DIM_CCY, DIM_LMT, DIM_RSTC_TP, DIM_FNC_ST). Tạo khóa Surrogate Key DIM_KEY = CONCAT(TO_CHAR(ETL_CHANGE_DATE,'YYYYMMDD'), &lt;ENTITY&gt;_ID).
2. Wave 4 (INF_*, INTF_*, FCT_*): Mở các sheet Interface Customer, Interface Loan Arrangement, Interface Loan Disbursement, Interface Loan Repayment Schedu và Fact Loan Arrangement.
3. Đặc biệt lưu ý: Khi JOIN từ Fact/Interface sang bất kỳ bảng Silver SCD2 hoặc Gold DIM nào, BẮT BUỘC phải có điều kiện lọc `SYS_EXP_DT IS NULL` để không bị nhân bản dòng (Fan-out).</t>
        </is>
      </c>
      <c r="F10" s="343" t="inlineStr">
        <is>
          <t>Surrogate Key: CONCAT(TO_CHAR(ETL_CHANGE_DATE,'YYYYMMDD'), ID); Anti-fanout: AND dim.SYS_EXP_DT IS NULL</t>
        </is>
      </c>
      <c r="G10" s="342" t="inlineStr">
        <is>
          <t>8 scripts DIM + 4 scripts INF/INTF + 1 script FCT trong sql/gold/*.sql</t>
        </is>
      </c>
      <c r="H10" s="342" t="inlineStr">
        <is>
          <t>Báo cáo tổng dư nợ (CLS_BAL_LCY, OTSND_AMT_LCY) trên INTF_LOAN_AR và FCT_LOAN_AR khớp 100% với tổng dư nợ trên PG_SILVER.AR_BAL.</t>
        </is>
      </c>
      <c r="I10" s="342" t="inlineStr">
        <is>
          <t>Join vào bảng SCD2/DIM mà quên `SYS_EXP_DT IS NULL` gây nhân bản gấp đôi/gấp ba số tiền dư nợ; dùng SUM thay vì MAX khi tính số ngày quá hạn.</t>
        </is>
      </c>
      <c r="J10" s="340" t="inlineStr">
        <is>
          <t>QA / BA &amp; Tech Lead</t>
        </is>
      </c>
    </row>
    <row r="11" ht="67.5" customHeight="1" s="335">
      <c r="A11" s="344" t="n">
        <v>6</v>
      </c>
      <c r="B11" s="345" t="inlineStr">
        <is>
          <t>Kiểm thử đối soát (Reconciliation) &amp; Nghiệm thu code</t>
        </is>
      </c>
      <c r="C11" s="345" t="inlineStr">
        <is>
          <t>Cột 'Ghi chú kỹ thuật &amp; Business Rule' trên các Sheet</t>
        </is>
      </c>
      <c r="D11" s="346" t="inlineStr">
        <is>
          <t>Đảm bảo code SQL không mắc lại các lỗi lịch sử đã được Argon rà soát và đạt chuẩn chất lượng trước khi tạo Pull Request.</t>
        </is>
      </c>
      <c r="E11" s="346" t="inlineStr">
        <is>
          <t>1. Đọc kỹ cột ngoài cùng bên phải ('Ghi chú kỹ thuật &amp; Business Rule') trên từng sheet bạn code để kiểm tra từng điểm bẫy kỹ thuật.
2. Chạy bộ câu lệnh SQL đối soát: (a) Check duplicate Primary Key; (b) Check lệch khóa fn_hash khi join giữa các bảng (tỷ lệ match &gt; 99.9%); (c) Check tổng tiền (SUM amount) trước và sau khi join.
3. Cập nhật cột 'Trạng Thái' trong sheet 'Phan_Cong_Task' từ 'Ready' -&gt; 'In Progress' -&gt; 'Done'.</t>
        </is>
      </c>
      <c r="F11" s="347" t="inlineStr">
        <is>
          <t>Spark SQL Test Script / Great Expectations / Airflow Data Quality Check</t>
        </is>
      </c>
      <c r="G11" s="346" t="inlineStr">
        <is>
          <t>Báo cáo kết quả Unit Test &amp; Pull Request (PR) đã pass review</t>
        </is>
      </c>
      <c r="H11" s="346" t="inlineStr">
        <is>
          <t>0 lỗi cú pháp SQL, 0 dòng duplicate PK, 0 lệch tổng dư nợ nguyên tệ/quy đổi, 100% cột có COMMENT đầy đủ.</t>
        </is>
      </c>
      <c r="I11" s="346" t="inlineStr">
        <is>
          <t>Không đối chiếu kỹ cột 'Ghi chú kỹ thuật &amp; Business Rule'; hardcode ngày chạy thay vì dùng ${ETL_DATE}.</t>
        </is>
      </c>
      <c r="J11" s="344" t="inlineStr">
        <is>
          <t>Tech Lead / Hội đồng nghiệm thu</t>
        </is>
      </c>
    </row>
    <row r="12" ht="12" customHeight="1" s="335"/>
    <row r="13" ht="27.75" customHeight="1" s="335">
      <c r="A13" s="338" t="inlineStr">
        <is>
          <t>PHẦN II. GIẢI THÍCH CẤU TRÚC BẢNG TRONG MỖI SHEET MAPPING &amp; QUY ƯỚC CODE SQL BẮT BUỘC</t>
        </is>
      </c>
    </row>
    <row r="14" ht="27.75" customHeight="1" s="335">
      <c r="A14" s="339" t="inlineStr">
        <is>
          <t>STT</t>
        </is>
      </c>
      <c r="B14" s="339" t="inlineStr">
        <is>
          <t>Tên Khối / Tên Cột Trong Sheet Mapping</t>
        </is>
      </c>
      <c r="C14" s="339" t="inlineStr">
        <is>
          <t>Vị Trí Xuất Hiện</t>
        </is>
      </c>
      <c r="D14" s="339" t="inlineStr">
        <is>
          <t>Ý Nghĩa Kỹ Thuật &amp; Nghiệp Vụ</t>
        </is>
      </c>
      <c r="E14" s="339" t="inlineStr">
        <is>
          <t>Cách Fresher Đọc &amp; Chuyển Thành Code Spark SQL / Oracle SQL</t>
        </is>
      </c>
      <c r="F14" s="339" t="inlineStr">
        <is>
          <t>Ví Dụ Thực Tế Trong Workbook</t>
        </is>
      </c>
      <c r="G14" s="339" t="inlineStr">
        <is>
          <t>Quy Tắc Bắt Buộc Khi Thao Tác</t>
        </is>
      </c>
      <c r="H14" s="339" t="inlineStr">
        <is>
          <t>Mức Độ Bắt Buộc</t>
        </is>
      </c>
      <c r="I14" s="339" t="inlineStr">
        <is>
          <t>Tầng Áp Dụng</t>
        </is>
      </c>
      <c r="J14" s="339" t="inlineStr">
        <is>
          <t>Ghi Chú Bổ Sung</t>
        </is>
      </c>
    </row>
    <row r="15" ht="63.75" customHeight="1" s="335">
      <c r="A15" s="340" t="n">
        <v>1</v>
      </c>
      <c r="B15" s="341" t="inlineStr">
        <is>
          <t>Dòng TYPE (SCD TYPE 1 / SCD TYPE 2 / SNAPSHOT / TXN)</t>
        </is>
      </c>
      <c r="C15" s="342" t="inlineStr">
        <is>
          <t>Dòng 1 của mọi sheet Mapping</t>
        </is>
      </c>
      <c r="D15" s="342" t="inlineStr">
        <is>
          <t>Xác định chiến lược nạp dữ liệu (Load Strategy) và cách lưu trữ lịch sử của bảng đích.</t>
        </is>
      </c>
      <c r="E15" s="342" t="inlineStr">
        <is>
          <t>- SNAPSHOT: Xóa/ghi đè theo phân vùng ngày chạy `CDR_DT = ${ETL_DATE}` (hoặc `SNPST_DT = ${ETL_DATE}`).
- SCD TYPE 1: Merge theo khóa chính (ID), cập nhật đè giá trị mới nhất, giữ `SYS_EFF_DT` lần đầu và cập nhật `SYS_UDT_DT = ${ETL_DATE}`.
- SCD TYPE 2: Khi phát hiện thay đổi thuộc tính nghiệp vụ, đóng dòng cũ (`SYS_EXP_DT = ${ETL_DATE}`) và chèn dòng mới (`SYS_EFF_DT = ${ETL_DATE}`, `SYS_EXP_DT = NULL`).
- TXN: Bảng giao dịch phát sinh theo ngày (`BOOKING_DATE = ${ETL_DATE}`), nạp nối tiếp (Append/Partition Overwrite theo ngày).</t>
        </is>
      </c>
      <c r="F15" s="343" t="inlineStr">
        <is>
          <t>TYPE : SCD TYPE 2 (trên sheet Loan Arrangement Profile), TYPE : SNAPSHOT (trên sheet Interface Loan Arrangement)</t>
        </is>
      </c>
      <c r="G15" s="342" t="inlineStr">
        <is>
          <t>Phải kiểm tra kỹ dòng TYPE trước khi viết câu lệnh INSERT OVERWRITE hay MERGE INTO.</t>
        </is>
      </c>
      <c r="H15" s="340" t="inlineStr">
        <is>
          <t>Bắt buộc 100%</t>
        </is>
      </c>
      <c r="I15" s="340" t="inlineStr">
        <is>
          <t>Silver &amp; Gold</t>
        </is>
      </c>
      <c r="J15" s="342" t="inlineStr">
        <is>
          <t>Quyết định cấu trúc cột Audit cuối bảng</t>
        </is>
      </c>
    </row>
    <row r="16" ht="63.75" customHeight="1" s="335">
      <c r="A16" s="344" t="n">
        <v>2</v>
      </c>
      <c r="B16" s="345" t="inlineStr">
        <is>
          <t>Khối Bảng Nguồn &amp; Điều Kiện Join (Header Block)</t>
        </is>
      </c>
      <c r="C16" s="346" t="inlineStr">
        <is>
          <t>Các dòng đầu sheet (trước bảng Mapping cột)</t>
        </is>
      </c>
      <c r="D16" s="346" t="inlineStr">
        <is>
          <t>Khai báo bảng chính (`Main Table`), các bảng phụ (`sub`), loại kết nối (`JOIN` / `LEFT JOIN`), điều kiện `ON` và bộ lọc `WHERE`.</t>
        </is>
      </c>
      <c r="E16" s="346" t="inlineStr">
        <is>
          <t>Dùng để dựng khung mệnh đề `FROM &lt;Main Table&gt; &lt;Short table&gt;` kết hợp với chuỗi `LEFT JOIN &lt;Sub Table&gt; &lt;Short table&gt; ON &lt;Condition JOIN&gt;` và `WHERE &lt;Condition where&gt;`.</t>
        </is>
      </c>
      <c r="F16" s="347" t="inlineStr">
        <is>
          <t>Bảng 1: PG_SILVER.AR_BAL a (main, WHERE a.CDR_DT = ${ETL_DATE}) LEFT JOIN PG_SILVER.LOAN_AR_PRFL c ON a.AR_ID = c.AR_ID AND c.SYS_EXP_DT IS NULL</t>
        </is>
      </c>
      <c r="G16" s="346" t="inlineStr">
        <is>
          <t>Nếu trong sheet có từ khóa `UNION ALL`, mỗi khối `UNION ALL` có bộ bảng nguồn và alias riêng biệt; phải viết thành các nhánh SELECT độc lập rồi UNION ALL lại.</t>
        </is>
      </c>
      <c r="H16" s="344" t="inlineStr">
        <is>
          <t>Bắt buộc 100%</t>
        </is>
      </c>
      <c r="I16" s="344" t="inlineStr">
        <is>
          <t>Silver &amp; Gold</t>
        </is>
      </c>
      <c r="J16" s="346" t="inlineStr">
        <is>
          <t>Luôn lọc SYS_EXP_DT IS NULL khi join bảng SCD2</t>
        </is>
      </c>
    </row>
    <row r="17" ht="63.75" customHeight="1" s="335">
      <c r="A17" s="340" t="n">
        <v>3</v>
      </c>
      <c r="B17" s="341" t="inlineStr">
        <is>
          <t>Cột 'Nguồn' + 'Bảng nguồn' + 'Cột nguồn'</t>
        </is>
      </c>
      <c r="C17" s="342" t="inlineStr">
        <is>
          <t>3 cột đầu (A, B, C) của bảng Mapping chi tiết</t>
        </is>
      </c>
      <c r="D17" s="342" t="inlineStr">
        <is>
          <t>Chỉ rõ dữ liệu đầu vào lấy từ Schema nào (`PG_BRONZE`, `PG_SILVER`, `PG_GOLD` hoặc tên hệ thống gốc), bảng nào và tên cột vật lý nào.</t>
        </is>
      </c>
      <c r="E17" s="342" t="inlineStr">
        <is>
          <t>Khi viết SQL ở tầng Silver Temp 1: đọc từ `PG_BRONZE.&lt;SHORTER_PREFIX&gt;_&lt;TABLE&gt;`. Khi viết SQL ở tầng Silver Temp 2 và Gold: đọc từ `PG_BRONZE` hoặc `PG_SILVER` theo đúng tên bảng khai báo ở khối Join phía trên.</t>
        </is>
      </c>
      <c r="F17" s="343" t="inlineStr">
        <is>
          <t>Nguồn: PG_SILVER | Bảng nguồn: LOAN_AR | Cột nguồn: ORIG_AMT_FCY</t>
        </is>
      </c>
      <c r="G17" s="342" t="inlineStr">
        <is>
          <t>Không để trống bất kỳ ô Nguồn / Bảng nguồn / Cột nguồn nào; với cột gán hằng số hoặc NULL, vẫn gắn cột khóa của bảng chính để đảm bảo lineage.</t>
        </is>
      </c>
      <c r="H17" s="340" t="inlineStr">
        <is>
          <t>Bắt buộc 100%</t>
        </is>
      </c>
      <c r="I17" s="340" t="inlineStr">
        <is>
          <t>Bronze, Silver, Gold</t>
        </is>
      </c>
      <c r="J17" s="342" t="inlineStr">
        <is>
          <t>100% dòng trong file đã được điền đủ 3 cột này</t>
        </is>
      </c>
    </row>
    <row r="18" ht="63.75" customHeight="1" s="335">
      <c r="A18" s="344" t="n">
        <v>4</v>
      </c>
      <c r="B18" s="345" t="inlineStr">
        <is>
          <t>Cột 'Transform' (Quy tắc biến đổi dữ liệu)</t>
        </is>
      </c>
      <c r="C18" s="346" t="inlineStr">
        <is>
          <t>Cột D của bảng Mapping chi tiết</t>
        </is>
      </c>
      <c r="D18" s="346" t="inlineStr">
        <is>
          <t>Chứa biểu thức SQL hoặc quy tắc ánh xạ từ cột nguồn sang cột đích.</t>
        </is>
      </c>
      <c r="E18" s="346" t="inlineStr">
        <is>
          <t>- Nếu ghi `1:1`: lấy trực tiếp `&lt;alias&gt;.&lt;Cột nguồn&gt;` (có thể bọc `TRIM()` với chuỗi ở tầng Silver).
- Nếu ghi công thức (`CASE WHEN... END`, `NVL(...)`, `COALESCE(...)`, `SUM(...)`, `MIN(...)`, `fn_hash(...)`): đưa nguyên biểu thức đó vào mệnh đề `SELECT &lt;Transform&gt; AS &lt;Cột đích&gt;`.
- Nếu ghi `'...'` (chuỗi trong nháy đơn) hoặc `NULL`: gán hằng số hoặc `CAST(NULL AS &lt;Kiểu dữ liệu&gt;)`.</t>
        </is>
      </c>
      <c r="F18" s="347" t="inlineStr">
        <is>
          <t>fn_hash("T24_LD_LOANS_AND_DEPOSITS", a.RECID) hoặc NVL(b.ORIG_AMT_FCY, 0)</t>
        </is>
      </c>
      <c r="G18" s="346" t="inlineStr">
        <is>
          <t>Tuyệt đối tuân thủ hàm băm `fn_hash("&lt;SYSTEM_PREFIX&gt;", &lt;COL&gt;)` KHÔNG có dấu gạch đứng `|` ở cuối prefix để khớp khóa giữa mọi bảng.</t>
        </is>
      </c>
      <c r="H18" s="344" t="inlineStr">
        <is>
          <t>Bắt buộc 100%</t>
        </is>
      </c>
      <c r="I18" s="344" t="inlineStr">
        <is>
          <t>Bronze, Silver, Gold</t>
        </is>
      </c>
      <c r="J18" s="346" t="inlineStr">
        <is>
          <t>Kiểm tra kỹ tên alias bảng trong công thức Transform</t>
        </is>
      </c>
    </row>
    <row r="19" ht="63.75" customHeight="1" s="335">
      <c r="A19" s="340" t="n">
        <v>5</v>
      </c>
      <c r="B19" s="341" t="inlineStr">
        <is>
          <t>Cột 'Entity' &amp; 'Attribute'</t>
        </is>
      </c>
      <c r="C19" s="342" t="inlineStr">
        <is>
          <t>Cột E &amp; F của bảng Mapping chi tiết</t>
        </is>
      </c>
      <c r="D19" s="342" t="inlineStr">
        <is>
          <t>Tên thực thể và thuộc tính theo mô hình dữ liệu chuẩn ngân hàng (Enterprise Data Model / BIAN / IBM IFW).</t>
        </is>
      </c>
      <c r="E19" s="342" t="inlineStr">
        <is>
          <t>Dùng để hiểu bản chất nghiệp vụ của trường dữ liệu (ví dụ phân biệt giữa `Original Arrangement Id` và `Arrangement Id` đối với hợp đồng quá hạn `PDLD...`) và đối chiếu với từ điển dữ liệu (Glossary).</t>
        </is>
      </c>
      <c r="F19" s="343" t="inlineStr">
        <is>
          <t>Entity: Arrangement Delinquency Summary | Attribute: Principal Arrears (Số tiền quá hạn gốc)</t>
        </is>
      </c>
      <c r="G19" s="342" t="inlineStr">
        <is>
          <t>Không đổi tên Entity/Attribute tùy tiện; dùng để tra cứu chéo sang sheet `DDL` và `Map_SRC2TRG`.</t>
        </is>
      </c>
      <c r="H19" s="340" t="inlineStr">
        <is>
          <t>Tham chiếu chuẩn</t>
        </is>
      </c>
      <c r="I19" s="340" t="inlineStr">
        <is>
          <t>Bronze, Silver, Gold</t>
        </is>
      </c>
      <c r="J19" s="342" t="inlineStr">
        <is>
          <t>Giúp BA và DE đồng nhất thuật ngữ nghiệp vụ</t>
        </is>
      </c>
    </row>
    <row r="20" ht="63.75" customHeight="1" s="335">
      <c r="A20" s="344" t="n">
        <v>6</v>
      </c>
      <c r="B20" s="345" t="inlineStr">
        <is>
          <t>Cột 'Bảng đích' + 'Cột đích' + 'Kiểu dữ liệu' + 'Độ dài'</t>
        </is>
      </c>
      <c r="C20" s="346" t="inlineStr">
        <is>
          <t>Cột G, H, I, J của bảng Mapping chi tiết</t>
        </is>
      </c>
      <c r="D20" s="346" t="inlineStr">
        <is>
          <t>Định nghĩa tên bảng vật lý đầu ra, tên cột đích chuẩn hóa, kiểu dữ liệu (`VARCHAR2`, `CHAR`, `NUMBER`, `DATE`, `TIMESTAMP`) và độ dài/độ chính xác (`25.5`, `13.7`, `32`, `100`...).</t>
        </is>
      </c>
      <c r="E20" s="346" t="inlineStr">
        <is>
          <t>Dùng để viết câu lệnh `CREATE TABLE` (DDL) và đặt tên alias chuẩn `AS &lt;Cột đích&gt;` trong câu lệnh `SELECT`. Lưu ý độ dài `25.5` trong Excel tương ứng với `NUMBER(25,5)` hoặc `DECIMAL(25,5)` trong SQL.</t>
        </is>
      </c>
      <c r="F20" s="347" t="inlineStr">
        <is>
          <t>Bảng đích: INTF_LOAN_AR | Cột đích: APRV_AMT_LCY | Kiểu: NUMBER | Độ dài: 25.5 -&gt; DECIMAL(25,5)</t>
        </is>
      </c>
      <c r="G20" s="346" t="inlineStr">
        <is>
          <t>Trong các bảng có `UNION ALL` (như `INF_CST`, `LOAN_AR`, `LOAN_AR_PRFL`), thứ tự cột đích, tên cột đích và kiểu dữ liệu giữa các nhánh phải khớp nhau 100%.</t>
        </is>
      </c>
      <c r="H20" s="344" t="inlineStr">
        <is>
          <t>Bắt buộc 100%</t>
        </is>
      </c>
      <c r="I20" s="344" t="inlineStr">
        <is>
          <t>Bronze, Silver, Gold</t>
        </is>
      </c>
      <c r="J20" s="346" t="inlineStr">
        <is>
          <t>Không được gán chuỗi '0' vào cột kiểu NUMBER</t>
        </is>
      </c>
    </row>
    <row r="21" ht="63.75" customHeight="1" s="335">
      <c r="A21" s="340" t="n">
        <v>7</v>
      </c>
      <c r="B21" s="341" t="inlineStr">
        <is>
          <t>Cột 'Diễn giải' + 'DDL Comment' + 'Ghi chú kỹ thuật &amp; Business Rule'</t>
        </is>
      </c>
      <c r="C21" s="342" t="inlineStr">
        <is>
          <t>Các cột cuối bên phải của bảng Mapping</t>
        </is>
      </c>
      <c r="D21" s="342" t="inlineStr">
        <is>
          <t>Giải nghĩa tiếng Việt của trường dữ liệu, câu lệnh `COMMENT ON COLUMN` tạo metadata DB, và ghi chú chi tiết các quy tắc nghiệp vụ &amp; xử lý kỹ thuật.</t>
        </is>
      </c>
      <c r="E21" s="342" t="inlineStr">
        <is>
          <t>1. Chạy câu lệnh `COMMENT ON COLUMN` sau khi tạo bảng.
2. Đọc cột `Ghi chú kỹ thuật &amp; Business Rule` như một checklist bắt buộc để đảm bảo code SQL của bạn tuân thủ đúng chuẩn thiết kế.</t>
        </is>
      </c>
      <c r="F21" s="343" t="inlineStr">
        <is>
          <t>Đổi từ MIN(...) sang SUM(...) cho PNP_ARS để tính đúng tổng dư nợ gốc quá hạn.</t>
        </is>
      </c>
      <c r="G21" s="342" t="inlineStr">
        <is>
          <t>Mọi quy tắc ghi tại cột `Ghi chú kỹ thuật &amp; Business Rule` là yêu cầu bắt buộc khi viết code ETL.</t>
        </is>
      </c>
      <c r="H21" s="340" t="inlineStr">
        <is>
          <t>Bắt buộc đọc kỹ</t>
        </is>
      </c>
      <c r="I21" s="340" t="inlineStr">
        <is>
          <t>Toàn bộ các tầng</t>
        </is>
      </c>
      <c r="J21" s="342" t="inlineStr">
        <is>
          <t>Giúp Fresher hiểu rõ 'vì sao phải viết SQL như vậy'</t>
        </is>
      </c>
    </row>
    <row r="22" ht="12" customHeight="1" s="335"/>
    <row r="23" ht="27.75" customHeight="1" s="335">
      <c r="A23" s="338" t="inlineStr">
        <is>
          <t>PHẦN III. DANH MỤC TỔNG HỢP &amp; HƯỚNG DẪN THAO TÁC CHI TIẾT CHO TOÀN BỘ 48 SHEET TRONG WORKBOOK (CLICK VÀO TÊN SHEET ĐỂ DI CHUYỂN NHANH)</t>
        </is>
      </c>
    </row>
    <row r="24" ht="27.75" customHeight="1" s="335">
      <c r="A24" s="339" t="inlineStr">
        <is>
          <t>STT</t>
        </is>
      </c>
      <c r="B24" s="339" t="inlineStr">
        <is>
          <t>Tên Sheet (Click Để Mở)</t>
        </is>
      </c>
      <c r="C24" s="339" t="inlineStr">
        <is>
          <t>Nhóm Sheet / Phân Loại</t>
        </is>
      </c>
      <c r="D24" s="339" t="inlineStr">
        <is>
          <t>Tầng Medallion &amp; Wave Chạy</t>
        </is>
      </c>
      <c r="E24" s="339" t="inlineStr">
        <is>
          <t>Schema &amp; Bảng Đích (Target Table)</t>
        </is>
      </c>
      <c r="F24" s="339" t="inlineStr">
        <is>
          <t>Các Bảng Nguồn Tham Gia (Source / Upstream)</t>
        </is>
      </c>
      <c r="G24" s="339" t="inlineStr">
        <is>
          <t>Track &amp; Fresher Phụ Trách</t>
        </is>
      </c>
      <c r="H24" s="339" t="inlineStr">
        <is>
          <t>Chiến Lược Load (Type)</t>
        </is>
      </c>
      <c r="I24" s="339" t="inlineStr">
        <is>
          <t>Ý Nghĩa Nghiệp Vụ &amp; Kỹ Thuật Của Sheet</t>
        </is>
      </c>
      <c r="J24" s="339" t="inlineStr">
        <is>
          <t>Hướng Dẫn Thao Tác Cụ Thể Dành Cho Fresher Trên Sheet Này</t>
        </is>
      </c>
    </row>
    <row r="25" ht="63.75" customHeight="1" s="335">
      <c r="A25" s="348" t="n">
        <v>1</v>
      </c>
      <c r="B25" s="349">
        <f>HYPERLINK("#'Master'!A1", "Master")</f>
        <v/>
      </c>
      <c r="C25" s="350" t="inlineStr">
        <is>
          <t>0. Quản trị &amp; Hướng dẫn (Master Guide)</t>
        </is>
      </c>
      <c r="D25" s="350" t="inlineStr">
        <is>
          <t>Toàn bộ các tầng (Wave 0 -&gt; Wave 4)</t>
        </is>
      </c>
      <c r="E25" s="351" t="inlineStr">
        <is>
          <t>Tài liệu hướng dẫn tổng thể (48 Sheets)</t>
        </is>
      </c>
      <c r="F25" s="352" t="inlineStr">
        <is>
          <t>Tổng hợp từ toàn bộ 47 sheet dự án</t>
        </is>
      </c>
      <c r="G25" s="350" t="inlineStr">
        <is>
          <t>Toàn bộ Fresher 1 - 7 &amp; Mentor</t>
        </is>
      </c>
      <c r="H25" s="348" t="inlineStr">
        <is>
          <t>Master Directory &amp; SOP</t>
        </is>
      </c>
      <c r="I25" s="352" t="inlineStr">
        <is>
          <t>Cẩm nang trung tâm giải thích quy trình làm việc 6 bước (SOP), ý nghĩa từng cột trong tài liệu mapping, các quy ước kỹ thuật bắt buộc (fn_hash, SCD2, ${ETL_DATE}) và danh mục tra cứu nhanh toàn bộ 48 sheet.</t>
        </is>
      </c>
      <c r="J25" s="352" t="inlineStr">
        <is>
          <t>Đọc kỹ Phần I và Phần II trước khi bắt tay vào code. Dùng bảng Danh mục ở Phần III để tra cứu nhanh ý nghĩa của bất kỳ sheet nào và bấm trực tiếp vào link ở cột B để di chuyển tới sheet đó.</t>
        </is>
      </c>
    </row>
    <row r="26" ht="63.75" customHeight="1" s="335">
      <c r="A26" s="348" t="n">
        <v>2</v>
      </c>
      <c r="B26" s="349">
        <f>HYPERLINK("#'Phan_Cong_Task'!A1", "Phan_Cong_Task")</f>
        <v/>
      </c>
      <c r="C26" s="350" t="inlineStr">
        <is>
          <t>0. Quản trị &amp; Phân công (Governance)</t>
        </is>
      </c>
      <c r="D26" s="350" t="inlineStr">
        <is>
          <t>Wave 0 -&gt; Wave 4 (Đầy đủ 8 Track)</t>
        </is>
      </c>
      <c r="E26" s="351" t="inlineStr">
        <is>
          <t>42 đầu việc (28 bảng Bronze + 27 bảng Silver + 13 bảng Gold)</t>
        </is>
      </c>
      <c r="F26" s="352" t="inlineStr">
        <is>
          <t>Tất cả các nguồn T24CORE, FLEXBO, LOS_APP, SMY, SOURCE, EBANKING</t>
        </is>
      </c>
      <c r="G26" s="350" t="inlineStr">
        <is>
          <t>Fresher 1 -&gt; Fresher 7 (8 Track Domain)</t>
        </is>
      </c>
      <c r="H26" s="348" t="inlineStr">
        <is>
          <t>Task Assignment Matrix</t>
        </is>
      </c>
      <c r="I26" s="352" t="inlineStr">
        <is>
          <t>Bảng phân công nhiệm vụ chính thức của dự án Training Data Engineer, chia 42 đầu việc thành 8 Track nghiệp vụ gắn với từng Fresher và liên kết 1:1 tới từng Sheet Mapping riêng biệt.</t>
        </is>
      </c>
      <c r="J26" s="352" t="inlineStr">
        <is>
          <t>Lọc cột B ('Người Phụ Trách') theo tên của bạn để lấy danh sách các bảng cần code. Mở đúng sheet thiết kế tại cột E ('Sheet Mapping Excel') và cập nhật cột H ('Trạng Thái') khi hoàn thành.</t>
        </is>
      </c>
    </row>
    <row r="27" ht="63.75" customHeight="1" s="335">
      <c r="A27" s="348" t="n">
        <v>3</v>
      </c>
      <c r="B27" s="349">
        <f>HYPERLINK("#'Job_dependence'!A1", "Job_dependence")</f>
        <v/>
      </c>
      <c r="C27" s="350" t="inlineStr">
        <is>
          <t>0. Điều phối luồng chạy (DAG Orchestration)</t>
        </is>
      </c>
      <c r="D27" s="350" t="inlineStr">
        <is>
          <t>WAVE_0_BRONZE_1_1 -&gt; WAVE_4_GOLD_FACT</t>
        </is>
      </c>
      <c r="E27" s="351" t="inlineStr">
        <is>
          <t>68 Job ETL (28 Bronze + 12 Silver Temp 1 + 15 Silver Temp 2 + 8 Gold Dim + 5 Gold Fact/Intf)</t>
        </is>
      </c>
      <c r="F27" s="352" t="inlineStr">
        <is>
          <t>Phụ thuộc tuần tự giữa các bảng từ Source -&gt; Bronze -&gt; Silver -&gt; Gold</t>
        </is>
      </c>
      <c r="G27" s="350" t="inlineStr">
        <is>
          <t>Fresher 1 -&gt; Fresher 7 (theo cột PIC)</t>
        </is>
      </c>
      <c r="H27" s="348" t="inlineStr">
        <is>
          <t>Airflow DAG Dependency &amp; Cron Schedule</t>
        </is>
      </c>
      <c r="I27" s="352" t="inlineStr">
        <is>
          <t>Định nghĩa toàn bộ luồng phụ thuộc (DAG) giữa 68 job ETL trong hệ thống, bao gồm nhóm Wave chạy (GRP_OBJ), danh sách đầy đủ các bảng phải chờ hoàn tất (WAITING), lịch chạy cron (SCHEDULE) và đường dẫn file SQL chuẩn (SQL_EXC).</t>
        </is>
      </c>
      <c r="J27" s="352" t="inlineStr">
        <is>
          <t>Tra cứu bảng của bạn tại cột B (OBJECT_NAME): đặt tên file script SQL đúng cột G (SQL_EXC), cấu hình lịch chạy theo cột F (SCHEDULE) và khai báo Sensor/Upstream chờ đủ các bảng trong cột D (WAITING).</t>
        </is>
      </c>
    </row>
    <row r="28" ht="63.75" customHeight="1" s="335">
      <c r="A28" s="353" t="n">
        <v>4</v>
      </c>
      <c r="B28" s="354">
        <f>HYPERLINK("#'Bronze_Mapping_1_1'!A1", "Bronze_Mapping_1_1")</f>
        <v/>
      </c>
      <c r="C28" s="355" t="inlineStr">
        <is>
          <t>1. Ingest Tầng Bronze (1:1 Raw Mirror)</t>
        </is>
      </c>
      <c r="D28" s="355" t="inlineStr">
        <is>
          <t>Wave 0: Source -&gt; PG_BRONZE (00:30)</t>
        </is>
      </c>
      <c r="E28" s="356" t="inlineStr">
        <is>
          <t>PG_BRONZE.* (28 bảng vật lý, 392 cột)</t>
        </is>
      </c>
      <c r="F28" s="357" t="inlineStr">
        <is>
          <t>28 bảng nguồn thuộc 6 schema: EBANKING, FLEXBO, LOS_APP, SMY, SOURCE, T24CORE</t>
        </is>
      </c>
      <c r="G28" s="355" t="inlineStr">
        <is>
          <t>Track 0: Nhóm Fresher 1 - 6</t>
        </is>
      </c>
      <c r="H28" s="353" t="inlineStr">
        <is>
          <t>1:1 Raw Mirror + 3 Audit Columns</t>
        </is>
      </c>
      <c r="I28" s="357" t="inlineStr">
        <is>
          <t>Đặc tả chi tiết luồng Ingest 1:1 từ 28 bảng nguồn vào tầng PG_BRONZE. Phần đầu (dòng 3-30) tổng hợp 28 bảng kèm câu lệnh SELECT mẫu; phần dưới (dòng 33-424) liệt kê chi tiết toàn bộ 392 cột 1:1.</t>
        </is>
      </c>
      <c r="J28" s="357" t="inlineStr">
        <is>
          <t>Sử dụng bảng tổng hợp ở dòng 3-30 để viết 28 job Spark SQL ingest nguyên bản 1:1 toàn bộ các cột của bảng nguồn vào PG_BRONZE và cộng thêm 3 cột kỹ thuật: `${ETL_DATE} AS ETL_DATE, CURRENT_TIMESTAMP() AS INGEST_TMS, '&lt;TABLE&gt;' AS SRC_STM_CODE`.</t>
        </is>
      </c>
    </row>
    <row r="29" ht="63.75" customHeight="1" s="335">
      <c r="A29" s="353" t="n">
        <v>5</v>
      </c>
      <c r="B29" s="354">
        <f>HYPERLINK("#'Map_SRC2TRG'!A1", "Map_SRC2TRG")</f>
        <v/>
      </c>
      <c r="C29" s="355" t="inlineStr">
        <is>
          <t>1. Ma trận Traceability Nguồn -&gt; Bronze -&gt; Silver</t>
        </is>
      </c>
      <c r="D29" s="355" t="inlineStr">
        <is>
          <t>Wave 0 -&gt; Wave 1 &amp; Wave 2</t>
        </is>
      </c>
      <c r="E29" s="356" t="inlineStr">
        <is>
          <t>Ma trận ánh xạ 392 cột nguồn sang PG_BRONZE và PG_SILVER (0 dòng trùng)</t>
        </is>
      </c>
      <c r="F29" s="357" t="inlineStr">
        <is>
          <t>28 bảng PG_BRONZE.* (392 cột duy nhất)</t>
        </is>
      </c>
      <c r="G29" s="355" t="inlineStr">
        <is>
          <t>Toàn bộ Fresher 1 - 6</t>
        </is>
      </c>
      <c r="H29" s="353" t="inlineStr">
        <is>
          <t>End-to-End Column Lineage Matrix</t>
        </is>
      </c>
      <c r="I29" s="357" t="inlineStr">
        <is>
          <t>Bảng ma trận truy vết tổng hợp (End-to-End Lineage) của toàn bộ 392 cột nguồn từ hệ thống gốc -&gt; PG_BRONZE (1:1) -&gt; PG_SILVER, đã khử trùng 100% và chuẩn hóa tên cột đích không trùng lặp.</t>
        </is>
      </c>
      <c r="J29" s="357" t="inlineStr">
        <is>
          <t>Dùng để tra cứu nhanh một cột nguồn bất kỳ sẽ đi vào bảng Bronze nào và bảng Silver nào, kèm công thức ép kiểu / làm sạch chuẩn (`TRIM`, `CAST`, `TO_DATE`).</t>
        </is>
      </c>
    </row>
    <row r="30" ht="63.75" customHeight="1" s="335">
      <c r="A30" s="353" t="n">
        <v>6</v>
      </c>
      <c r="B30" s="354">
        <f>HYPERLINK("#'DDL'!A1", "DDL")</f>
        <v/>
      </c>
      <c r="C30" s="355" t="inlineStr">
        <is>
          <t>1. Từ điển Cột Nguồn &amp; DDL Tầng Bronze</t>
        </is>
      </c>
      <c r="D30" s="355" t="inlineStr">
        <is>
          <t>Wave 0: Khởi tạo Schema PG_BRONZE</t>
        </is>
      </c>
      <c r="E30" s="356" t="inlineStr">
        <is>
          <t>PG_BRONZE.* (28 bảng, 392 cột thuộc tính)</t>
        </is>
      </c>
      <c r="F30" s="357" t="inlineStr">
        <is>
          <t>28 bảng nguồn hệ thống Core T24, FlexCube (FLEXBO), LOS, Ebanking, SMY</t>
        </is>
      </c>
      <c r="G30" s="355" t="inlineStr">
        <is>
          <t>Track 0: Nhóm Fresher 1 - 6</t>
        </is>
      </c>
      <c r="H30" s="353" t="inlineStr">
        <is>
          <t>DDL Metadata &amp; Data Dictionary</t>
        </is>
      </c>
      <c r="I30" s="357" t="inlineStr">
        <is>
          <t>Từ điển dữ liệu gốc quản lý toàn bộ 392 cột nguồn được sử dụng trong dự án (USED = 'X'), ánh xạ sang Entity/Attribute nghiệp vụ và định nghĩa tên bảng đích, cột đích, kiểu dữ liệu, độ dài cùng câu lệnh `COMMENT ON COLUMN` cho tầng `PG_BRONZE`.</t>
        </is>
      </c>
      <c r="J30" s="357" t="inlineStr">
        <is>
          <t>Dùng cột L -&gt; Q (`Schema Đích Bronze`, `Bảng Đích Bronze`, `Cột Đích Bronze`, `Kiểu Dữ Liệu Bronze`, `Độ Dài`, `DDL Comment Bronze`) để sinh tự động các câu lệnh `CREATE TABLE PG_BRONZE.&lt;TABLE&gt;` và `COMMENT ON COLUMN`.</t>
        </is>
      </c>
    </row>
    <row r="31" ht="63.75" customHeight="1" s="335">
      <c r="A31" s="358" t="n">
        <v>7</v>
      </c>
      <c r="B31" s="359">
        <f>HYPERLINK("#'Tham khảo Interface accouting a'!A1", "Tham khảo Interface accouting a")</f>
        <v/>
      </c>
      <c r="C31" s="360" t="inlineStr">
        <is>
          <t>5. Tài liệu Tham khảo (Reference)</t>
        </is>
      </c>
      <c r="D31" s="360" t="inlineStr">
        <is>
          <t>Tham khảo mở rộng (Ngoài phạm vi 68 jobs)</t>
        </is>
      </c>
      <c r="E31" s="361" t="inlineStr">
        <is>
          <t>INTF_ACG_AR (64 cột giao diện kế toán)</t>
        </is>
      </c>
      <c r="F31" s="362" t="inlineStr">
        <is>
          <t>Tham chiếu các bảng danh mục LOV (LOV_GL, LOV_IDY, LOV_BR_INFO, LOV_CCY...)</t>
        </is>
      </c>
      <c r="G31" s="360" t="inlineStr">
        <is>
          <t>Toàn bộ Fresher (Tài liệu tra cứu thêm)</t>
        </is>
      </c>
      <c r="H31" s="358" t="inlineStr">
        <is>
          <t>Reference Specification</t>
        </is>
      </c>
      <c r="I31" s="362" t="inlineStr">
        <is>
          <t>Bảng mô tả ý nghĩa 64 trường dữ liệu và danh mục mã chuẩn (LOV Column) của giao diện hạch toán kế toán hợp đồng (`INTF_ACG_AR`), dùng để tham khảo thêm về nghiệp vụ kế toán ngân hàng.</t>
        </is>
      </c>
      <c r="J31" s="362" t="inlineStr">
        <is>
          <t>Chỉ dùng để đọc hiểu thêm các khái niệm kế toán ngân hàng và quy tắc mã hóa LOV; Fresher không cần viết job ETL cho bảng này.</t>
        </is>
      </c>
    </row>
    <row r="32" ht="63.75" customHeight="1" s="335">
      <c r="A32" s="363" t="n">
        <v>8</v>
      </c>
      <c r="B32" s="364">
        <f>HYPERLINK("#'Involved Party Alternative Iden'!A1", "Involved Party Alternative Iden")</f>
        <v/>
      </c>
      <c r="C32" s="365" t="inlineStr">
        <is>
          <t>2. Mapping Tầng Silver Temp 1 (Tech)</t>
        </is>
      </c>
      <c r="D32" s="365" t="inlineStr">
        <is>
          <t>Wave 1: Silver Temp 1 (01:00)</t>
        </is>
      </c>
      <c r="E32" s="366" t="inlineStr">
        <is>
          <t>PG_SILVER.IP_ALT_IDENTN (10 cột)</t>
        </is>
      </c>
      <c r="F32" s="367" t="inlineStr">
        <is>
          <t>PG_BRONZE.T24CORE_CUSTOMER</t>
        </is>
      </c>
      <c r="G32" s="365" t="inlineStr">
        <is>
          <t>Track 1: Customer Domain — Fresher 1</t>
        </is>
      </c>
      <c r="H32" s="363" t="inlineStr">
        <is>
          <t>SCD TYPE 2</t>
        </is>
      </c>
      <c r="I32" s="367" t="inlineStr">
        <is>
          <t>Bảng lưu trữ thông tin giấy tờ tùy thân định danh khách hàng (CCCD/CMND/Hộ chiếu: loại giấy tờ, số giấy tờ, ngày cấp, ngày hết hạn, nơi cấp).</t>
        </is>
      </c>
      <c r="J32" s="367" t="inlineStr">
        <is>
          <t>Đọc từ `PG_BRONZE.T24CORE_CUSTOMER` (`WHERE c.NATIONAL_ID IS NOT NULL`), băm khóa `CST_ID = fn_hash("T24_CUSTOMER", RECID)` và theo dõi lịch sử thay đổi giấy tờ theo SCD Type 2.</t>
        </is>
      </c>
    </row>
    <row r="33" ht="63.75" customHeight="1" s="335">
      <c r="A33" s="363" t="n">
        <v>9</v>
      </c>
      <c r="B33" s="364">
        <f>HYPERLINK("#'Involved Party Electronic Addre'!A1", "Involved Party Electronic Addre")</f>
        <v/>
      </c>
      <c r="C33" s="365" t="inlineStr">
        <is>
          <t>2. Mapping Tầng Silver Temp 1 (Tech)</t>
        </is>
      </c>
      <c r="D33" s="365" t="inlineStr">
        <is>
          <t>Wave 1: Silver Temp 1 (01:00)</t>
        </is>
      </c>
      <c r="E33" s="366" t="inlineStr">
        <is>
          <t>PG_SILVER.IP_ELC_ADR (7 cột, 3 nhánh UNION ALL)</t>
        </is>
      </c>
      <c r="F33" s="367" t="inlineStr">
        <is>
          <t>PG_BRONZE.T24CORE_CUSTOMER</t>
        </is>
      </c>
      <c r="G33" s="365" t="inlineStr">
        <is>
          <t>Track 1: Customer Domain — Fresher 1</t>
        </is>
      </c>
      <c r="H33" s="363" t="inlineStr">
        <is>
          <t>SCD TYPE 2 (Unpivot 3 nhánh UNION ALL)</t>
        </is>
      </c>
      <c r="I33" s="367" t="inlineStr">
        <is>
          <t>Bảng chuẩn hóa địa chỉ liên lạc điện tử của khách hàng (Email, Số điện thoại nhà riêng, Số điện thoại di động) bằng cách xoay dọc (Unpivot) 3 cột thành 3 dòng theo `ELC_ADR_TP`.</t>
        </is>
      </c>
      <c r="J33" s="367" t="inlineStr">
        <is>
          <t>Viết 3 nhánh `SELECT ... UNION ALL` từ `PG_BRONZE.T24CORE_CUSTOMER` ứng với 3 loại `ELC_ADR_TP`: `'EMAIL'`, `'HOME_NUMBER'`, `'MOBILE_NUMBER'`, quản lý SCD2 theo khóa tổ hợp `(CST_ID, ELC_ADR_TP)`.</t>
        </is>
      </c>
    </row>
    <row r="34" ht="63.75" customHeight="1" s="335">
      <c r="A34" s="363" t="n">
        <v>10</v>
      </c>
      <c r="B34" s="364">
        <f>HYPERLINK("#'Involved Party Postal Address'!A1", "Involved Party Postal Address")</f>
        <v/>
      </c>
      <c r="C34" s="365" t="inlineStr">
        <is>
          <t>2. Mapping Tầng Silver Temp 1 (Tech)</t>
        </is>
      </c>
      <c r="D34" s="365" t="inlineStr">
        <is>
          <t>Wave 1: Silver Temp 1 (01:00)</t>
        </is>
      </c>
      <c r="E34" s="366" t="inlineStr">
        <is>
          <t>PG_SILVER.IP_PST_ADR (10 cột, 2 nhánh UNION ALL)</t>
        </is>
      </c>
      <c r="F34" s="367" t="inlineStr">
        <is>
          <t>PG_BRONZE.T24CORE_CUSTOMER</t>
        </is>
      </c>
      <c r="G34" s="365" t="inlineStr">
        <is>
          <t>Track 1: Customer Domain — Fresher 1</t>
        </is>
      </c>
      <c r="H34" s="363" t="inlineStr">
        <is>
          <t>SCD TYPE 2 (Unpivot 2 nhánh UNION ALL)</t>
        </is>
      </c>
      <c r="I34" s="367" t="inlineStr">
        <is>
          <t>Bảng chuẩn hóa địa chỉ bưu chính của khách hàng, tách thành 2 loại địa chỉ (`PST_ADR_TP`): Địa chỉ hiện tại (`'CURRENT ADDRESS'`) và Địa chỉ thường trú (`'PERMANENT ADDRESS'`).</t>
        </is>
      </c>
      <c r="J34" s="367" t="inlineStr">
        <is>
          <t>Viết 2 nhánh `SELECT ... UNION ALL` từ `PG_BRONZE.T24CORE_CUSTOMER`, quản lý SCD2 theo khóa tổ hợp `(CST_ID, PST_ADR_TP)`.</t>
        </is>
      </c>
    </row>
    <row r="35" ht="63.75" customHeight="1" s="335">
      <c r="A35" s="368" t="n">
        <v>11</v>
      </c>
      <c r="B35" s="369">
        <f>HYPERLINK("#'Customer'!A1", "Customer")</f>
        <v/>
      </c>
      <c r="C35" s="370" t="inlineStr">
        <is>
          <t>3. Mapping Tầng Silver Temp 2 (Business)</t>
        </is>
      </c>
      <c r="D35" s="370" t="inlineStr">
        <is>
          <t>Wave 2: Silver Temp 2 (01:30)</t>
        </is>
      </c>
      <c r="E35" s="371" t="inlineStr">
        <is>
          <t>PG_SILVER.CST (22 cột)</t>
        </is>
      </c>
      <c r="F35" s="372" t="inlineStr">
        <is>
          <t>PG_BRONZE: T24CORE_CUSTOMER, T24CORE_SECTOR</t>
        </is>
      </c>
      <c r="G35" s="370" t="inlineStr">
        <is>
          <t>Track 1: Customer Domain — Fresher 1</t>
        </is>
      </c>
      <c r="H35" s="368" t="inlineStr">
        <is>
          <t>SCD TYPE 1</t>
        </is>
      </c>
      <c r="I35" s="372" t="inlineStr">
        <is>
          <t>Bảng thực thể Khách hàng trung tâm (Core Customer Hub) chứa các thông tin định danh chung cho cả KHCN và KHDN.</t>
        </is>
      </c>
      <c r="J35" s="372" t="inlineStr">
        <is>
          <t>Đọc từ `PG_BRONZE.T24CORE_CUSTOMER`, băm khóa `CST_ID = fn_hash("T24_CUSTOMER", RECID)` và áp dụng SCD Type 1.</t>
        </is>
      </c>
    </row>
    <row r="36" ht="63.75" customHeight="1" s="335">
      <c r="A36" s="368" t="n">
        <v>12</v>
      </c>
      <c r="B36" s="369">
        <f>HYPERLINK("#'Individual Profile'!A1", "Individual Profile")</f>
        <v/>
      </c>
      <c r="C36" s="370" t="inlineStr">
        <is>
          <t>3. Mapping Tầng Silver Temp 2 (Bank-wised)</t>
        </is>
      </c>
      <c r="D36" s="370" t="inlineStr">
        <is>
          <t>Wave 2: Silver Temp 2 (01:30)</t>
        </is>
      </c>
      <c r="E36" s="371" t="inlineStr">
        <is>
          <t>PG_SILVER.IDV_PRFL (27 cột)</t>
        </is>
      </c>
      <c r="F36" s="372" t="inlineStr">
        <is>
          <t>PG_BRONZE.T24CORE_CUSTOMER</t>
        </is>
      </c>
      <c r="G36" s="370" t="inlineStr">
        <is>
          <t>Track 1: Customer Domain — Fresher 1</t>
        </is>
      </c>
      <c r="H36" s="368" t="inlineStr">
        <is>
          <t>SCD TYPE 2</t>
        </is>
      </c>
      <c r="I36" s="372" t="inlineStr">
        <is>
          <t>Bảng hồ sơ chi tiết dành riêng cho Khách hàng Cá nhân (KHCN): giới tính, quốc tịch, MST, BHXH, AML/KYC, nhóm nợ (`CST_FNC_ST_CODE`).</t>
        </is>
      </c>
      <c r="J36" s="372" t="inlineStr">
        <is>
          <t>Áp dụng điều kiện lọc `WHERE c.KHOI LIKE '%INDIV%'` trên `PG_BRONZE.T24CORE_CUSTOMER` và nạp theo SCD Type 2.</t>
        </is>
      </c>
    </row>
    <row r="37" ht="63.75" customHeight="1" s="335">
      <c r="A37" s="368" t="n">
        <v>13</v>
      </c>
      <c r="B37" s="369">
        <f>HYPERLINK("#'Individual Employment Status'!A1", "Individual Employment Status")</f>
        <v/>
      </c>
      <c r="C37" s="370" t="inlineStr">
        <is>
          <t>3. Mapping Tầng Silver Temp 2 (Bank-wised)</t>
        </is>
      </c>
      <c r="D37" s="370" t="inlineStr">
        <is>
          <t>Wave 2: Silver Temp 2 (01:30)</t>
        </is>
      </c>
      <c r="E37" s="371" t="inlineStr">
        <is>
          <t>PG_SILVER.IDV_EMP_ST (8 cột)</t>
        </is>
      </c>
      <c r="F37" s="372" t="inlineStr">
        <is>
          <t>PG_BRONZE.T24CORE_CUSTOMER</t>
        </is>
      </c>
      <c r="G37" s="370" t="inlineStr">
        <is>
          <t>Track 1: Customer Domain — Fresher 1</t>
        </is>
      </c>
      <c r="H37" s="368" t="inlineStr">
        <is>
          <t>SCD TYPE 2</t>
        </is>
      </c>
      <c r="I37" s="372" t="inlineStr">
        <is>
          <t>Bảng theo dõi lịch sử tình trạng việc làm (`IDV_EMP_ST_CODE`), nghề nghiệp (`OCP_CODE`) và thu nhập (`ANUL_INCM`) của KHCN.</t>
        </is>
      </c>
      <c r="J37" s="372" t="inlineStr">
        <is>
          <t>Lọc `WHERE c.KHOI LIKE '%INDIV%'` từ `PG_BRONZE.T24CORE_CUSTOMER` và nạp theo SCD Type 2.</t>
        </is>
      </c>
    </row>
    <row r="38" ht="63.75" customHeight="1" s="335">
      <c r="A38" s="368" t="n">
        <v>14</v>
      </c>
      <c r="B38" s="369">
        <f>HYPERLINK("#'Organization Profile'!A1", "Organization Profile")</f>
        <v/>
      </c>
      <c r="C38" s="370" t="inlineStr">
        <is>
          <t>3. Mapping Tầng Silver Temp 2 (Bank-wised)</t>
        </is>
      </c>
      <c r="D38" s="370" t="inlineStr">
        <is>
          <t>Wave 2: Silver Temp 2 (01:30)</t>
        </is>
      </c>
      <c r="E38" s="371" t="inlineStr">
        <is>
          <t>PG_SILVER.ORG_PRFL (30 cột)</t>
        </is>
      </c>
      <c r="F38" s="372" t="inlineStr">
        <is>
          <t>PG_BRONZE.T24CORE_CUSTOMER</t>
        </is>
      </c>
      <c r="G38" s="370" t="inlineStr">
        <is>
          <t>Track 1: Customer Domain — Fresher 1</t>
        </is>
      </c>
      <c r="H38" s="368" t="inlineStr">
        <is>
          <t>SCD TYPE 2</t>
        </is>
      </c>
      <c r="I38" s="372" t="inlineStr">
        <is>
          <t>Bảng hồ sơ chi tiết dành riêng cho Khách hàng Doanh nghiệp / Tổ chức (KHDN): ngày thành lập, ngành kinh tế, MST, nhóm nợ.</t>
        </is>
      </c>
      <c r="J38" s="372" t="inlineStr">
        <is>
          <t>Áp dụng điều kiện lọc `WHERE c.KHOI NOT LIKE '%INDIV%'` trên `PG_BRONZE.T24CORE_CUSTOMER` và nạp theo SCD Type 2.</t>
        </is>
      </c>
    </row>
    <row r="39" ht="63.75" customHeight="1" s="335">
      <c r="A39" s="373" t="n">
        <v>15</v>
      </c>
      <c r="B39" s="374">
        <f>HYPERLINK("#'Interface Customer'!A1", "Interface Customer")</f>
        <v/>
      </c>
      <c r="C39" s="375" t="inlineStr">
        <is>
          <t>4. Mapping Tầng Gold (Reporting Interface)</t>
        </is>
      </c>
      <c r="D39" s="375" t="inlineStr">
        <is>
          <t>Wave 4: Gold Interface (02:15)</t>
        </is>
      </c>
      <c r="E39" s="376" t="inlineStr">
        <is>
          <t>PG_GOLD.INF_CST (64 cột, 2 nhánh UNION ALL)</t>
        </is>
      </c>
      <c r="F39" s="377" t="inlineStr">
        <is>
          <t>PG_SILVER: CST, IDV_PRFL, IDV_EMP_ST, ORG_PRFL, IP_ALT_IDENTN, IP_ELC_ADR, IP_PST_ADR</t>
        </is>
      </c>
      <c r="G39" s="375" t="inlineStr">
        <is>
          <t>Track 1: Customer Domain — Fresher 1</t>
        </is>
      </c>
      <c r="H39" s="373" t="inlineStr">
        <is>
          <t>SNAPSHOT (Hợp nhất KHCN &amp; KHDN)</t>
        </is>
      </c>
      <c r="I39" s="377" t="inlineStr">
        <is>
          <t>Bảng giao diện tổng hợp toàn bộ 64 thuộc tính 360-độ của Khách hàng (cả KHCN và KHDN) tại ngày báo cáo `${ETL_DATE}`.</t>
        </is>
      </c>
      <c r="J39" s="377" t="inlineStr">
        <is>
          <t>Viết 2 nhánh `UNION ALL` (Nhánh 1: `CST` JOIN `IDV_PRFL`; Nhánh 2: `CST` JOIN `ORG_PRFL`), lọc `SYS_EXP_DT IS NULL` ở mọi bảng, khử trùng `IP_ALT_IDENTN` (`RN = 1`) và gọi đúng alias `c1/c2/c3`, `d1/d2`.</t>
        </is>
      </c>
    </row>
    <row r="40" ht="63.75" customHeight="1" s="335">
      <c r="A40" s="368" t="n">
        <v>16</v>
      </c>
      <c r="B40" s="369">
        <f>HYPERLINK("#'Loan Arrangement'!A1", "Loan Arrangement")</f>
        <v/>
      </c>
      <c r="C40" s="370" t="inlineStr">
        <is>
          <t>3. Mapping Tầng Silver Temp 2 (Business)</t>
        </is>
      </c>
      <c r="D40" s="370" t="inlineStr">
        <is>
          <t>Wave 2: Silver Temp 2 (01:30)</t>
        </is>
      </c>
      <c r="E40" s="371" t="inlineStr">
        <is>
          <t>PG_SILVER.LOAN_AR (31 cột, 3 nhánh UNION ALL)</t>
        </is>
      </c>
      <c r="F40" s="372" t="inlineStr">
        <is>
          <t>PG_BRONZE: T24CORE_LD_LOANS_AND_DEPOSITS, LD_HIS, PD_PAYMENT_DUE, PD_MV, FLEXBO_PGB_LDTB_CONTRACT_MASTER, PGB_LOS_CONTRACT_FIELDS_TDATE, LOS_APP_LOAN_DISBURSEMENT, FACILITY, PRODUCT, CUSTOMER</t>
        </is>
      </c>
      <c r="G40" s="370" t="inlineStr">
        <is>
          <t>Track 2: Loan Contract Domain — Fresher 2</t>
        </is>
      </c>
      <c r="H40" s="368" t="inlineStr">
        <is>
          <t>SCD TYPE 1 / SCD2 History (3 nhánh UNION ALL)</t>
        </is>
      </c>
      <c r="I40" s="372" t="inlineStr">
        <is>
          <t>Bảng thực thể Hợp đồng tín dụng trung tâm (`LOAN_AR`), hợp nhất 3 nguồn: Hợp đồng trong hạn (`LD`), Hợp đồng lịch sử (`LD_HIS`), và Hợp đồng quá hạn (`PD_PAYMENT_DUE`).</t>
        </is>
      </c>
      <c r="J40" s="372" t="inlineStr">
        <is>
          <t>Viết 3 nhánh `UNION ALL` (31 cột) đọc từ `PG_BRONZE.*`, chuẩn hóa `AR_CODE` ở Nhánh 2 (`SUBSTR(ldh.RECID,1,INSTR(ldh.RECID,';')-1)`) và Nhánh 3 (`SUBSTR(d.RECID,1,14)`), kiểm tra `IS NOT NULL` trước khi băm `LMT_ID`.</t>
        </is>
      </c>
    </row>
    <row r="41" ht="63.75" customHeight="1" s="335">
      <c r="A41" s="368" t="n">
        <v>17</v>
      </c>
      <c r="B41" s="369">
        <f>HYPERLINK("#'Loan Arrangement Profile'!A1", "Loan Arrangement Profile")</f>
        <v/>
      </c>
      <c r="C41" s="370" t="inlineStr">
        <is>
          <t>3. Mapping Tầng Silver Temp 2 (Bank-wised)</t>
        </is>
      </c>
      <c r="D41" s="370" t="inlineStr">
        <is>
          <t>Wave 2: Silver Temp 2 (01:30)</t>
        </is>
      </c>
      <c r="E41" s="371" t="inlineStr">
        <is>
          <t>PG_SILVER.LOAN_AR_PRFL (37 cột, 3 nhánh UNION ALL)</t>
        </is>
      </c>
      <c r="F41" s="372" t="inlineStr">
        <is>
          <t>PG_BRONZE: T24CORE_LD_LOANS_AND_DEPOSITS, LD_HIS, PD_PAYMENT_DUE, PD_MV, EBANKING_COL_UDF_VALUE, FLEXBO_PGB_CONTRACT_UDF_MAP, PGB_LOS_CONTRACT_FIELDS_TDATE, PGBLD_CONTRACT_UDFIELD_HIST, MB_MG_SAVING_MULTI, PGBLD_RT_CONTRACT_UDFIELD_HIST, SOURCE_SAOKE_MVMT, CUSTOMER</t>
        </is>
      </c>
      <c r="G41" s="370" t="inlineStr">
        <is>
          <t>Track 2: Loan Contract Domain — Fresher 2</t>
        </is>
      </c>
      <c r="H41" s="368" t="inlineStr">
        <is>
          <t>SCD TYPE 2 (3 nhánh UNION ALL)</t>
        </is>
      </c>
      <c r="I41" s="372" t="inlineStr">
        <is>
          <t>Bảng hồ sơ mở rộng của Hợp đồng vay (`LOAN_AR_PRFL`): tài khoản thu gốc/lãi, thông tin hồ sơ LOS, cán bộ đề xuất/quản lý, CTKM, cơ cấu nợ Covid-19, mã GL SBV và nhóm nợ hợp đồng.</t>
        </is>
      </c>
      <c r="J41" s="372" t="inlineStr">
        <is>
          <t>Viết 3 nhánh `UNION ALL` (37 cột đồng bộ 100% thứ tự và kiểu dữ liệu giữa 3 nhánh), kiểm tra `IS NOT NULL` khi băm `INT_LQD_AR_ID`, `PNP_LQD_AR_ID`, `GL_ITM_ID` và lấy `DISTINCT TRANS_REF, SBV_CODE` từ `SOURCE_SAOKE_MVMT`.</t>
        </is>
      </c>
    </row>
    <row r="42" ht="63.75" customHeight="1" s="335">
      <c r="A42" s="368" t="n">
        <v>18</v>
      </c>
      <c r="B42" s="369">
        <f>HYPERLINK("#'Arrangement x Involved Party'!A1", "Arrangement x Involved Party")</f>
        <v/>
      </c>
      <c r="C42" s="370" t="inlineStr">
        <is>
          <t>3. Mapping Tầng Silver Temp 2 (Bank-wised)</t>
        </is>
      </c>
      <c r="D42" s="370" t="inlineStr">
        <is>
          <t>Wave 2: Silver Temp 2 (01:30)</t>
        </is>
      </c>
      <c r="E42" s="371" t="inlineStr">
        <is>
          <t>PG_SILVER.AR_X_IP_RLTNP (16 cột, 3 nhánh UNION ALL)</t>
        </is>
      </c>
      <c r="F42" s="372" t="inlineStr">
        <is>
          <t>PG_BRONZE: T24CORE_LD_LOANS_AND_DEPOSITS, LD_HIS, PD_PAYMENT_DUE, PD_MV, FLEXBO_PGB_LOS_CONTRACT_FIELDS_TDATE</t>
        </is>
      </c>
      <c r="G42" s="370" t="inlineStr">
        <is>
          <t>Track 2: Loan Contract Domain — Fresher 2</t>
        </is>
      </c>
      <c r="H42" s="368" t="inlineStr">
        <is>
          <t>SCD TYPE 2</t>
        </is>
      </c>
      <c r="I42" s="372" t="inlineStr">
        <is>
          <t>Bảng liên kết mối quan hệ giữa Hợp đồng vay và các Bên liên quan (`AR_X_IP_RLTNP`): Khách hàng vay, Maker, Checker, RM giới thiệu, Cán bộ/Trưởng phòng đề xuất &amp; quản lý khoản vay.</t>
        </is>
      </c>
      <c r="J42" s="372" t="inlineStr">
        <is>
          <t>Kết nối các bảng hợp đồng trên `PG_BRONZE` với `FLEXBO_PGB_LOS_CONTRACT_FIELDS_TDATE` theo mã hợp đồng và ngày hiệu lực `COALESCE(ORIG_VAL_DATE, VALUE_DATE)`.</t>
        </is>
      </c>
    </row>
    <row r="43" ht="63.75" customHeight="1" s="335">
      <c r="A43" s="373" t="n">
        <v>19</v>
      </c>
      <c r="B43" s="374">
        <f>HYPERLINK("#'Dimension Loan Arrangement'!A1", "Dimension Loan Arrangement")</f>
        <v/>
      </c>
      <c r="C43" s="375" t="inlineStr">
        <is>
          <t>4. Mapping Tầng Gold (Star Schema Dimension)</t>
        </is>
      </c>
      <c r="D43" s="375" t="inlineStr">
        <is>
          <t>Wave 3: Gold Dimension (02:00)</t>
        </is>
      </c>
      <c r="E43" s="376" t="inlineStr">
        <is>
          <t>PG_GOLD.DIM_LOAN_AR (18 cột)</t>
        </is>
      </c>
      <c r="F43" s="377" t="inlineStr">
        <is>
          <t>PG_SILVER.LOAN_AR (a) LEFT JOIN PG_SILVER.LOAN_AR_PRFL (b)</t>
        </is>
      </c>
      <c r="G43" s="375" t="inlineStr">
        <is>
          <t>Track 2: Loan Contract Domain — Fresher 2</t>
        </is>
      </c>
      <c r="H43" s="373" t="inlineStr">
        <is>
          <t>SCD TYPE 2</t>
        </is>
      </c>
      <c r="I43" s="377" t="inlineStr">
        <is>
          <t>Bảng chiều Hợp đồng vay (`DIM_LOAN_AR`) trong mô hình Star Schema, cung cấp `DIM_KEY` và các thuộc tính chiều hợp đồng cho `FCT_LOAN_AR`.</t>
        </is>
      </c>
      <c r="J43" s="377" t="inlineStr">
        <is>
          <t>Join `PG_SILVER.LOAN_AR a` với `PG_SILVER.LOAN_AR_PRFL b ON a.AR_ID = b.AR_ID AND b.SYS_EXP_DT IS NULL` (với `WHERE a.SYS_EXP_DT IS NULL`) và tạo khóa `CONCAT(TO_CHAR(ETL_CHANGE_DATE, 'YYYYMMDD'), a.AR_ID)`.</t>
        </is>
      </c>
    </row>
    <row r="44" ht="63.75" customHeight="1" s="335">
      <c r="A44" s="373" t="n">
        <v>20</v>
      </c>
      <c r="B44" s="374">
        <f>HYPERLINK("#'Interface Loan Arrangement'!A1", "Interface Loan Arrangement")</f>
        <v/>
      </c>
      <c r="C44" s="375" t="inlineStr">
        <is>
          <t>4. Mapping Tầng Gold (Reporting Interface)</t>
        </is>
      </c>
      <c r="D44" s="375" t="inlineStr">
        <is>
          <t>Wave 4: Gold Interface (02:30)</t>
        </is>
      </c>
      <c r="E44" s="376" t="inlineStr">
        <is>
          <t>PG_GOLD.INTF_LOAN_AR (88 cột)</t>
        </is>
      </c>
      <c r="F44" s="377" t="inlineStr">
        <is>
          <t>PG_SILVER: AR_BAL, LOAN_AR, LOAN_AR_PRFL, AR_RATE_HIST, AR_DLQ_SMY, EXG_RATE, OU, AST_AR_INT_SMY, AR_AVY_SHD_ITM + PG_GOLD.INF_CST</t>
        </is>
      </c>
      <c r="G44" s="375" t="inlineStr">
        <is>
          <t>Track 2: Loan Contract Domain — Fresher 2</t>
        </is>
      </c>
      <c r="H44" s="373" t="inlineStr">
        <is>
          <t>SNAPSHOT</t>
        </is>
      </c>
      <c r="I44" s="377" t="inlineStr">
        <is>
          <t>Bảng giao diện báo cáo hợp đồng tín dụng tổng hợp (`INTF_LOAN_AR`), tích hợp số dư, hợp đồng, lãi suất, quá hạn, lãi dự thu, tỷ giá, chi nhánh và khách hàng.</t>
        </is>
      </c>
      <c r="J44" s="377" t="inlineStr">
        <is>
          <t>Chạy sau khi `INF_CST` hoàn tất (02:15). Lọc `SYS_EXP_DT IS NULL` ở mọi bảng SCD2, lọc `CDR_DT = ${ETL_DATE}` trong các subquery `e1` và `k`, phân tách rõ `GL_ITM_CODE LIKE '2%'` (dư nợ gốc) và `'394%'` (lãi dự thu).</t>
        </is>
      </c>
    </row>
    <row r="45" ht="63.75" customHeight="1" s="335">
      <c r="A45" s="363" t="n">
        <v>21</v>
      </c>
      <c r="B45" s="364">
        <f>HYPERLINK("#'Currency'!A1", "Currency")</f>
        <v/>
      </c>
      <c r="C45" s="365" t="inlineStr">
        <is>
          <t>2. Mapping Tầng Silver Temp 1 (Tech)</t>
        </is>
      </c>
      <c r="D45" s="365" t="inlineStr">
        <is>
          <t>Wave 1: Silver Temp 1 (01:00)</t>
        </is>
      </c>
      <c r="E45" s="366" t="inlineStr">
        <is>
          <t>PG_SILVER.CCY (8 cột)</t>
        </is>
      </c>
      <c r="F45" s="367" t="inlineStr">
        <is>
          <t>PG_BRONZE.T24CORE_CURRENCY</t>
        </is>
      </c>
      <c r="G45" s="365" t="inlineStr">
        <is>
          <t>Track 3: Master Data &amp; Dims — Fresher 3</t>
        </is>
      </c>
      <c r="H45" s="363" t="inlineStr">
        <is>
          <t>SCD TYPE 1</t>
        </is>
      </c>
      <c r="I45" s="367" t="inlineStr">
        <is>
          <t>Bảng danh mục Tiền tệ chuẩn hóa trên tầng Silver (`CCY`).</t>
        </is>
      </c>
      <c r="J45" s="367" t="inlineStr">
        <is>
          <t>Đọc từ `PG_BRONZE.T24CORE_CURRENCY`, băm khóa `CCY_ID = fn_hash("T24_CURRENCY", cur.ID)` và nạp theo SCD Type 1.</t>
        </is>
      </c>
    </row>
    <row r="46" ht="63.75" customHeight="1" s="335">
      <c r="A46" s="373" t="n">
        <v>22</v>
      </c>
      <c r="B46" s="374">
        <f>HYPERLINK("#'Dimension Currency'!A1", "Dimension Currency")</f>
        <v/>
      </c>
      <c r="C46" s="375" t="inlineStr">
        <is>
          <t>4. Mapping Tầng Gold (Star Schema Dimension)</t>
        </is>
      </c>
      <c r="D46" s="375" t="inlineStr">
        <is>
          <t>Wave 3: Gold Dimension (02:00)</t>
        </is>
      </c>
      <c r="E46" s="376" t="inlineStr">
        <is>
          <t>PG_GOLD.DIM_CCY (7 cột)</t>
        </is>
      </c>
      <c r="F46" s="377" t="inlineStr">
        <is>
          <t>PG_SILVER.CCY</t>
        </is>
      </c>
      <c r="G46" s="375" t="inlineStr">
        <is>
          <t>Track 3: Master Data &amp; Dims — Fresher 3</t>
        </is>
      </c>
      <c r="H46" s="373" t="inlineStr">
        <is>
          <t>SCD TYPE 2</t>
        </is>
      </c>
      <c r="I46" s="377" t="inlineStr">
        <is>
          <t>Bảng chiều Tiền tệ (`DIM_CCY`) phục vụ phân tích đa chiều theo loại tiền trên Data Mart.</t>
        </is>
      </c>
      <c r="J46" s="377" t="inlineStr">
        <is>
          <t>Đọc từ `PG_SILVER.CCY`, tạo khóa `DIM_KEY = CONCAT(TO_CHAR(ETL_CHANGE_DATE, 'YYYYMMDD'), cur.CCY_ID)`.</t>
        </is>
      </c>
    </row>
    <row r="47" ht="63.75" customHeight="1" s="335">
      <c r="A47" s="363" t="n">
        <v>23</v>
      </c>
      <c r="B47" s="364">
        <f>HYPERLINK("#'Product'!A1", "Product")</f>
        <v/>
      </c>
      <c r="C47" s="365" t="inlineStr">
        <is>
          <t>2. Mapping Tầng Silver Temp 1 (Tech)</t>
        </is>
      </c>
      <c r="D47" s="365" t="inlineStr">
        <is>
          <t>Wave 1: Silver Temp 1 (01:00)</t>
        </is>
      </c>
      <c r="E47" s="366" t="inlineStr">
        <is>
          <t>PG_SILVER.PD (7 cột)</t>
        </is>
      </c>
      <c r="F47" s="367" t="inlineStr">
        <is>
          <t>PG_BRONZE: LOS_APP_PRODUCT, FLEXBO_PGB_LOS_CONTRACT_FIELDS_TDATE, T24CORE_LD_LOANS_AND_DEPOSITS</t>
        </is>
      </c>
      <c r="G47" s="365" t="inlineStr">
        <is>
          <t>Track 3: Master Data &amp; Dims — Fresher 3</t>
        </is>
      </c>
      <c r="H47" s="363" t="inlineStr">
        <is>
          <t>SCD TYPE 1</t>
        </is>
      </c>
      <c r="I47" s="367" t="inlineStr">
        <is>
          <t>Bảng danh mục Sản phẩm tín dụng chuẩn hóa trên tầng Silver (`PD`) lấy từ hệ thống LOS.</t>
        </is>
      </c>
      <c r="J47" s="367" t="inlineStr">
        <is>
          <t>Đọc từ `PG_BRONZE.LOS_APP_PRODUCT`, tạo khóa `PD_ID = fn_hash("T24_PRODUCT", PRODUCT_CODE)` và gắn đủ 3 cột Audit `SYS_EFF_DT`, `SYS_EXP_DT`, `SYS_UDT_DT`.</t>
        </is>
      </c>
    </row>
    <row r="48" ht="63.75" customHeight="1" s="335">
      <c r="A48" s="373" t="n">
        <v>24</v>
      </c>
      <c r="B48" s="374">
        <f>HYPERLINK("#'Dimension Product'!A1", "Dimension Product")</f>
        <v/>
      </c>
      <c r="C48" s="375" t="inlineStr">
        <is>
          <t>4. Mapping Tầng Gold (Star Schema Dimension)</t>
        </is>
      </c>
      <c r="D48" s="375" t="inlineStr">
        <is>
          <t>Wave 3: Gold Dimension (02:00)</t>
        </is>
      </c>
      <c r="E48" s="376" t="inlineStr">
        <is>
          <t>PG_GOLD.DIM_PD (6 cột)</t>
        </is>
      </c>
      <c r="F48" s="377" t="inlineStr">
        <is>
          <t>PG_SILVER.PD</t>
        </is>
      </c>
      <c r="G48" s="375" t="inlineStr">
        <is>
          <t>Track 3: Master Data &amp; Dims — Fresher 3</t>
        </is>
      </c>
      <c r="H48" s="373" t="inlineStr">
        <is>
          <t>SCD TYPE 2</t>
        </is>
      </c>
      <c r="I48" s="377" t="inlineStr">
        <is>
          <t>Bảng chiều Sản phẩm (`DIM_PD`) cung cấp `DIM_KEY` sản phẩm cho `FCT_LOAN_AR`.</t>
        </is>
      </c>
      <c r="J48" s="377" t="inlineStr">
        <is>
          <t>Đọc từ `PG_SILVER.PD`, tạo khóa `DIM_KEY = CONCAT(TO_CHAR(ETL_CHANGE_DATE, 'YYYYMMDD'), PD_ID)`.</t>
        </is>
      </c>
    </row>
    <row r="49" ht="63.75" customHeight="1" s="335">
      <c r="A49" s="363" t="n">
        <v>25</v>
      </c>
      <c r="B49" s="364">
        <f>HYPERLINK("#'Organization Unit'!A1", "Organization Unit")</f>
        <v/>
      </c>
      <c r="C49" s="365" t="inlineStr">
        <is>
          <t>2. Mapping Tầng Silver Temp 1 (Tech)</t>
        </is>
      </c>
      <c r="D49" s="365" t="inlineStr">
        <is>
          <t>Wave 1: Silver Temp 1 (01:00)</t>
        </is>
      </c>
      <c r="E49" s="366" t="inlineStr">
        <is>
          <t>PG_SILVER.OU (6 cột)</t>
        </is>
      </c>
      <c r="F49" s="367" t="inlineStr">
        <is>
          <t>PG_BRONZE.T24CORE_COMPANY</t>
        </is>
      </c>
      <c r="G49" s="365" t="inlineStr">
        <is>
          <t>Track 3: Master Data &amp; Dims — Fresher 3</t>
        </is>
      </c>
      <c r="H49" s="363" t="inlineStr">
        <is>
          <t>SCD TYPE 1</t>
        </is>
      </c>
      <c r="I49" s="367" t="inlineStr">
        <is>
          <t>Bảng danh mục Đơn vị / Chi nhánh ngân hàng (`OU`) chuẩn hóa từ `T24CORE_COMPANY`.</t>
        </is>
      </c>
      <c r="J49" s="367" t="inlineStr">
        <is>
          <t>Đọc từ `PG_BRONZE.T24CORE_COMPANY`, băm khóa `OU_ID = fn_hash("T24_COMPANY", RECID)`.</t>
        </is>
      </c>
    </row>
    <row r="50" ht="63.75" customHeight="1" s="335">
      <c r="A50" s="373" t="n">
        <v>26</v>
      </c>
      <c r="B50" s="374">
        <f>HYPERLINK("#'Dimension Organization Unit'!A1", "Dimension Organization Unit")</f>
        <v/>
      </c>
      <c r="C50" s="375" t="inlineStr">
        <is>
          <t>4. Mapping Tầng Gold (Star Schema Dimension)</t>
        </is>
      </c>
      <c r="D50" s="375" t="inlineStr">
        <is>
          <t>Wave 3: Gold Dimension (02:00)</t>
        </is>
      </c>
      <c r="E50" s="376" t="inlineStr">
        <is>
          <t>PG_GOLD.DIM_OU (6 cột)</t>
        </is>
      </c>
      <c r="F50" s="377" t="inlineStr">
        <is>
          <t>PG_SILVER.OU</t>
        </is>
      </c>
      <c r="G50" s="375" t="inlineStr">
        <is>
          <t>Track 3: Master Data &amp; Dims — Fresher 3</t>
        </is>
      </c>
      <c r="H50" s="373" t="inlineStr">
        <is>
          <t>SCD TYPE 2</t>
        </is>
      </c>
      <c r="I50" s="377" t="inlineStr">
        <is>
          <t>Bảng chiều Chi nhánh / Đơn vị kinh doanh (`DIM_OU`) trong Star Schema.</t>
        </is>
      </c>
      <c r="J50" s="377" t="inlineStr">
        <is>
          <t>Đọc từ `PG_SILVER.OU`, sinh khóa `DIM_KEY = CONCAT(TO_CHAR(ETL_CHANGE_DATE, 'YYYYMMDD'), OU_ID)`.</t>
        </is>
      </c>
    </row>
    <row r="51" ht="63.75" customHeight="1" s="335">
      <c r="A51" s="363" t="n">
        <v>27</v>
      </c>
      <c r="B51" s="364">
        <f>HYPERLINK("#'Employee'!A1", "Employee")</f>
        <v/>
      </c>
      <c r="C51" s="365" t="inlineStr">
        <is>
          <t>2. Mapping Tầng Silver Temp 1 (Tech)</t>
        </is>
      </c>
      <c r="D51" s="365" t="inlineStr">
        <is>
          <t>Wave 1: Silver Temp 1 (01:00)</t>
        </is>
      </c>
      <c r="E51" s="366" t="inlineStr">
        <is>
          <t>PG_SILVER.EMPE (6 cột)</t>
        </is>
      </c>
      <c r="F51" s="367" t="inlineStr">
        <is>
          <t>PG_BRONZE.T24CORE_DEPT_ACCT_OFFICER</t>
        </is>
      </c>
      <c r="G51" s="365" t="inlineStr">
        <is>
          <t>Track 3: Master Data &amp; Dims — Fresher 3</t>
        </is>
      </c>
      <c r="H51" s="363" t="inlineStr">
        <is>
          <t>SCD TYPE 1</t>
        </is>
      </c>
      <c r="I51" s="367" t="inlineStr">
        <is>
          <t>Bảng danh mục Nhân viên / Cán bộ ngân hàng (`EMPE`) chuẩn hóa từ `T24CORE_DEPT_ACCT_OFFICER`.</t>
        </is>
      </c>
      <c r="J51" s="367" t="inlineStr">
        <is>
          <t>Đọc từ `PG_BRONZE.T24CORE_DEPT_ACCT_OFFICER`, băm khóa `EMPE_ID = fn_hash("T24_EMPLOYEE", RECID)`.</t>
        </is>
      </c>
    </row>
    <row r="52" ht="63.75" customHeight="1" s="335">
      <c r="A52" s="363" t="n">
        <v>28</v>
      </c>
      <c r="B52" s="364">
        <f>HYPERLINK("#'Limit'!A1", "Limit")</f>
        <v/>
      </c>
      <c r="C52" s="365" t="inlineStr">
        <is>
          <t>2. Mapping Tầng Silver Temp 1 (Tech)</t>
        </is>
      </c>
      <c r="D52" s="365" t="inlineStr">
        <is>
          <t>Wave 1: Silver Temp 1 (01:00)</t>
        </is>
      </c>
      <c r="E52" s="366" t="inlineStr">
        <is>
          <t>PG_SILVER.LMT (11 cột)</t>
        </is>
      </c>
      <c r="F52" s="367" t="inlineStr">
        <is>
          <t>PG_BRONZE.T24CORE_LIMIT</t>
        </is>
      </c>
      <c r="G52" s="365" t="inlineStr">
        <is>
          <t>Track 3: Master Data &amp; Dims — Fresher 3</t>
        </is>
      </c>
      <c r="H52" s="363" t="inlineStr">
        <is>
          <t>SCD TYPE 1</t>
        </is>
      </c>
      <c r="I52" s="367" t="inlineStr">
        <is>
          <t>Bảng danh mục Hạn mức tín dụng (`LMT`) chuẩn hóa từ `T24CORE_LIMIT`.</t>
        </is>
      </c>
      <c r="J52" s="367" t="inlineStr">
        <is>
          <t>Đọc từ `PG_BRONZE.T24CORE_LIMIT`, băm khóa `LMT_ID = fn_hash("T24_LIMIT", RECID)`.</t>
        </is>
      </c>
    </row>
    <row r="53" ht="63.75" customHeight="1" s="335">
      <c r="A53" s="373" t="n">
        <v>29</v>
      </c>
      <c r="B53" s="374">
        <f>HYPERLINK("#'Dimension Limit'!A1", "Dimension Limit")</f>
        <v/>
      </c>
      <c r="C53" s="375" t="inlineStr">
        <is>
          <t>4. Mapping Tầng Gold (Star Schema Dimension)</t>
        </is>
      </c>
      <c r="D53" s="375" t="inlineStr">
        <is>
          <t>Wave 3: Gold Dimension (02:00)</t>
        </is>
      </c>
      <c r="E53" s="376" t="inlineStr">
        <is>
          <t>PG_GOLD.DIM_LMT (6 cột)</t>
        </is>
      </c>
      <c r="F53" s="377" t="inlineStr">
        <is>
          <t>PG_SILVER.LMT</t>
        </is>
      </c>
      <c r="G53" s="375" t="inlineStr">
        <is>
          <t>Track 3: Master Data &amp; Dims — Fresher 3</t>
        </is>
      </c>
      <c r="H53" s="373" t="inlineStr">
        <is>
          <t>SCD TYPE 2</t>
        </is>
      </c>
      <c r="I53" s="377" t="inlineStr">
        <is>
          <t>Bảng chiều Hạn mức tín dụng (`DIM_LMT`) kết nối với `FCT_LOAN_AR` qua `LMT_ID`.</t>
        </is>
      </c>
      <c r="J53" s="377" t="inlineStr">
        <is>
          <t>Đọc từ `PG_SILVER.LMT`, tạo khóa `DIM_KEY = CONCAT(TO_CHAR(ETL_CHANGE_DATE, 'YYYYMMDD'), l.LMT_ID)`.</t>
        </is>
      </c>
    </row>
    <row r="54" ht="63.75" customHeight="1" s="335">
      <c r="A54" s="363" t="n">
        <v>30</v>
      </c>
      <c r="B54" s="364">
        <f>HYPERLINK("#'Classification Value'!A1", "Classification Value")</f>
        <v/>
      </c>
      <c r="C54" s="365" t="inlineStr">
        <is>
          <t>2. Mapping Tầng Silver Temp 1 (Tech)</t>
        </is>
      </c>
      <c r="D54" s="365" t="inlineStr">
        <is>
          <t>Wave 1: Silver Temp 1 (01:00)</t>
        </is>
      </c>
      <c r="E54" s="366" t="inlineStr">
        <is>
          <t>PG_SILVER.CV (8 cột, 2 nhánh UNION ALL / Seed Lookup)</t>
        </is>
      </c>
      <c r="F54" s="367" t="inlineStr">
        <is>
          <t>PG_BRONZE: FLEXBO_PGBLD_RT_CONTRACT_UDFIELD_HIST &amp; T24CORE_CUSTOMER</t>
        </is>
      </c>
      <c r="G54" s="365" t="inlineStr">
        <is>
          <t>Track 3: Master Data &amp; Dims — Fresher 3</t>
        </is>
      </c>
      <c r="H54" s="363" t="inlineStr">
        <is>
          <t>SCD TYPE 1 (Lookup Master)</t>
        </is>
      </c>
      <c r="I54" s="367" t="inlineStr">
        <is>
          <t>Bảng danh mục phân loại dùng chung (`CV`), chứa 2 bộ mã chuẩn: Loại cơ cấu nợ (`LOAN_RSTC_TP`, mã 1-&gt;7) và Nhóm nợ tín dụng (`FNC_ST`, nhóm nợ 1-&gt;5).</t>
        </is>
      </c>
      <c r="J54" s="367" t="inlineStr">
        <is>
          <t>Kết hợp bảng 12 mã chuẩn ở dòng 26-38 với dữ liệu phát sinh từ `FLEXBO_PGBLD_RT_CONTRACT_UDFIELD_HIST.CO_CAU_NO` và `T24CORE_CUSTOMER.ASSET_CLASS`.</t>
        </is>
      </c>
    </row>
    <row r="55" ht="63.75" customHeight="1" s="335">
      <c r="A55" s="373" t="n">
        <v>31</v>
      </c>
      <c r="B55" s="374">
        <f>HYPERLINK("#'Dimension Loan Restructure Type'!A1", "Dimension Loan Restructure Type")</f>
        <v/>
      </c>
      <c r="C55" s="375" t="inlineStr">
        <is>
          <t>4. Mapping Tầng Gold (Star Schema Dimension)</t>
        </is>
      </c>
      <c r="D55" s="375" t="inlineStr">
        <is>
          <t>Wave 3: Gold Dimension (02:00)</t>
        </is>
      </c>
      <c r="E55" s="376" t="inlineStr">
        <is>
          <t>PG_GOLD.DIM_RSTC_TP (6 cột)</t>
        </is>
      </c>
      <c r="F55" s="377" t="inlineStr">
        <is>
          <t>PG_SILVER.CV (WHERE CL_SCM_CODE = 'LOAN_RSTC_TP')</t>
        </is>
      </c>
      <c r="G55" s="375" t="inlineStr">
        <is>
          <t>Track 3: Master Data &amp; Dims — Fresher 3</t>
        </is>
      </c>
      <c r="H55" s="373" t="inlineStr">
        <is>
          <t>SCD TYPE 2</t>
        </is>
      </c>
      <c r="I55" s="377" t="inlineStr">
        <is>
          <t>Bảng chiều Loại tái cấu trúc / cơ cấu nợ (`DIM_RSTC_TP`).</t>
        </is>
      </c>
      <c r="J55" s="377" t="inlineStr">
        <is>
          <t>Lọc từ `PG_SILVER.CV` với `WHERE CL_SCM_CODE = 'LOAN_RSTC_TP'`, sinh khóa `DIM_KEY`.</t>
        </is>
      </c>
    </row>
    <row r="56" ht="63.75" customHeight="1" s="335">
      <c r="A56" s="373" t="n">
        <v>32</v>
      </c>
      <c r="B56" s="374">
        <f>HYPERLINK("#'Dimension Financial Status'!A1", "Dimension Financial Status")</f>
        <v/>
      </c>
      <c r="C56" s="375" t="inlineStr">
        <is>
          <t>4. Mapping Tầng Gold (Star Schema Dimension)</t>
        </is>
      </c>
      <c r="D56" s="375" t="inlineStr">
        <is>
          <t>Wave 3: Gold Dimension (02:00)</t>
        </is>
      </c>
      <c r="E56" s="376" t="inlineStr">
        <is>
          <t>PG_GOLD.DIM_FNC_ST (6 cột)</t>
        </is>
      </c>
      <c r="F56" s="377" t="inlineStr">
        <is>
          <t>PG_SILVER.CV (WHERE CL_SCM_CODE = 'FNC_ST')</t>
        </is>
      </c>
      <c r="G56" s="375" t="inlineStr">
        <is>
          <t>Track 3: Master Data &amp; Dims — Fresher 3</t>
        </is>
      </c>
      <c r="H56" s="373" t="inlineStr">
        <is>
          <t>SCD TYPE 2</t>
        </is>
      </c>
      <c r="I56" s="377" t="inlineStr">
        <is>
          <t>Bảng chiều Nhóm nợ tài chính (`DIM_FNC_ST`, Nhóm 1 -&gt; Nhóm 5), đóng vai trò Role-Playing Dimension trên `FCT_LOAN_AR`.</t>
        </is>
      </c>
      <c r="J56" s="377" t="inlineStr">
        <is>
          <t>Lọc từ `PG_SILVER.CV` với `WHERE CL_SCM_CODE = 'FNC_ST'`, sinh khóa `DIM_KEY`.</t>
        </is>
      </c>
    </row>
    <row r="57" ht="63.75" customHeight="1" s="335">
      <c r="A57" s="368" t="n">
        <v>33</v>
      </c>
      <c r="B57" s="369">
        <f>HYPERLINK("#'Arrangement Activity Schedule I'!A1", "Arrangement Activity Schedule I")</f>
        <v/>
      </c>
      <c r="C57" s="370" t="inlineStr">
        <is>
          <t>3. Mapping Tầng Silver Temp 2 (Bank-wised)</t>
        </is>
      </c>
      <c r="D57" s="370" t="inlineStr">
        <is>
          <t>Wave 2: Silver Temp 2 (01:30)</t>
        </is>
      </c>
      <c r="E57" s="371" t="inlineStr">
        <is>
          <t>PG_SILVER.AR_AVY_SHD_ITM (19 cột)</t>
        </is>
      </c>
      <c r="F57" s="372" t="inlineStr">
        <is>
          <t>PG_BRONZE: T24CORE_STMT_ENTRY, T24CORE_LD_LOANS_AND_DEPOSITS, T24CORE_PD_PAYMENT_DUE_MV, T24CORE_LD_SCHEDULE_DEFINE_MV</t>
        </is>
      </c>
      <c r="G57" s="370" t="inlineStr">
        <is>
          <t>Track 4: Disbursement &amp; Schedule — Fresher 4</t>
        </is>
      </c>
      <c r="H57" s="368" t="inlineStr">
        <is>
          <t>SCD TYPE 2</t>
        </is>
      </c>
      <c r="I57" s="372" t="inlineStr">
        <is>
          <t>Bảng chi tiết các dòng lịch thanh toán / thu nợ của hợp đồng vay (`AR_AVY_SHD_ITM`), bóc tách từ bút toán `STMT_ENTRY` có `RECID LIKE 'F%'`.</t>
        </is>
      </c>
      <c r="J57" s="372" t="inlineStr">
        <is>
          <t>Lọc `stmt.RECID LIKE 'F%' AND stmt.COMMIT_ACTION &lt;&gt; 'D' AND stmt.BOOKING_DATE = ${ETL_DATE}`, dùng đúng alias `pdp` và hàm `fn_hash` chuẩn.</t>
        </is>
      </c>
    </row>
    <row r="58" ht="63.75" customHeight="1" s="335">
      <c r="A58" s="363" t="n">
        <v>34</v>
      </c>
      <c r="B58" s="364">
        <f>HYPERLINK("#'sk_lich_tra_no'!A1", "sk_lich_tra_no")</f>
        <v/>
      </c>
      <c r="C58" s="365" t="inlineStr">
        <is>
          <t>2. Mapping Tầng Silver Temp 1 (Tech)</t>
        </is>
      </c>
      <c r="D58" s="365" t="inlineStr">
        <is>
          <t>Wave 1: Silver Temp 1 (01:00)</t>
        </is>
      </c>
      <c r="E58" s="366" t="inlineStr">
        <is>
          <t>PG_SILVER.sk_lich_tra_no (117 cột duy nhất)</t>
        </is>
      </c>
      <c r="F58" s="367" t="inlineStr">
        <is>
          <t>10 bảng PG_BRONZE: PD_PAYMENT_DUE_MV, PD_PAYMENT_DUE, PD_HIS_MV, PD_HIS, LD_SCHEDULE_DEFINE_MV, LD, LD_HIS, MB_MG_SAVING_MULTI, SECTOR, STMT_ENTRY</t>
        </is>
      </c>
      <c r="G58" s="365" t="inlineStr">
        <is>
          <t>Track 4: Disbursement &amp; Schedule — Fresher 4</t>
        </is>
      </c>
      <c r="H58" s="363" t="inlineStr">
        <is>
          <t>SNAPSHOT (Technical Schedule Staging)</t>
        </is>
      </c>
      <c r="I58" s="367" t="inlineStr">
        <is>
          <t>Sheet thiết kế chuyên biệt cho bảng tổng hợp lịch trả nợ &amp; quá hạn kỹ thuật (`PG_SILVER.sk_lich_tra_no`), kết nối 11 bảng nguồn T24 trên tầng Bronze với 117 cột đích đã được chuẩn hóa tiền tố chống trùng lặp.</t>
        </is>
      </c>
      <c r="J58" s="367" t="inlineStr">
        <is>
          <t>Dựa vào khối Header Join 11 bảng ở dòng 2-12 và danh sách 117 cột ở dòng 14-130 để viết script `sql/silver_temp1/sk_lich_tra_no.sql`.</t>
        </is>
      </c>
    </row>
    <row r="59" ht="63.75" customHeight="1" s="335">
      <c r="A59" s="368" t="n">
        <v>35</v>
      </c>
      <c r="B59" s="369">
        <f>HYPERLINK("#'Saoke_GIAINGAN'!A1", "Saoke_GIAINGAN")</f>
        <v/>
      </c>
      <c r="C59" s="370" t="inlineStr">
        <is>
          <t>3. Mapping Tầng Silver Temp 2 (Business)</t>
        </is>
      </c>
      <c r="D59" s="370" t="inlineStr">
        <is>
          <t>Wave 2: Silver Temp 2 (01:30)</t>
        </is>
      </c>
      <c r="E59" s="371" t="inlineStr">
        <is>
          <t>PG_SILVER.Saoke_GIAINGAN (73 cột duy nhất)</t>
        </is>
      </c>
      <c r="F59" s="372" t="inlineStr">
        <is>
          <t>5 bảng PG_BRONZE: SOURCE_SAOKE_CRB, SMY_STMT_DAILY, SOURCE_SAOKE_MVMT, T24CORE_CUSTOMER, T24CORE_COMPANY</t>
        </is>
      </c>
      <c r="G59" s="370" t="inlineStr">
        <is>
          <t>Track 4: Disbursement &amp; Schedule — Fresher 4</t>
        </is>
      </c>
      <c r="H59" s="368" t="inlineStr">
        <is>
          <t>SNAPSHOT (Business Disbursement Statement)</t>
        </is>
      </c>
      <c r="I59" s="372" t="inlineStr">
        <is>
          <t>Sheet thiết kế chuyên biệt cho bảng sao kê giải ngân (`PG_SILVER.Saoke_GIAINGAN`), kết hợp sao kê cân đối `SAOKE_CRB`, giao dịch giải ngân `STMT_DAILY` (`402`), `SAOKE_MVMT`, `CUSTOMER` và `COMPANY`.</t>
        </is>
      </c>
      <c r="J59" s="372" t="inlineStr">
        <is>
          <t>Dựa vào khối Header Join 5 bảng ở dòng 2-7 và danh sách 73 cột ở dòng 9-82 để viết script `sql/silver_temp2/saoke_giaingan.sql`.</t>
        </is>
      </c>
    </row>
    <row r="60" ht="63.75" customHeight="1" s="335">
      <c r="A60" s="373" t="n">
        <v>36</v>
      </c>
      <c r="B60" s="374">
        <f>HYPERLINK("#'Interface Loan Disbursement'!A1", "Interface Loan Disbursement")</f>
        <v/>
      </c>
      <c r="C60" s="375" t="inlineStr">
        <is>
          <t>4. Mapping Tầng Gold (Reporting Interface)</t>
        </is>
      </c>
      <c r="D60" s="375" t="inlineStr">
        <is>
          <t>Wave 4: Gold Interface (02:30)</t>
        </is>
      </c>
      <c r="E60" s="376" t="inlineStr">
        <is>
          <t>PG_GOLD.INTF_LOAN_DSBR (24 cột)</t>
        </is>
      </c>
      <c r="F60" s="377" t="inlineStr">
        <is>
          <t>PG_SILVER: LOAN_AR, LOAN_AR_PRFL, AR_X_IP_RLTNP, EMPE, AR_RATE_HIST, PD</t>
        </is>
      </c>
      <c r="G60" s="375" t="inlineStr">
        <is>
          <t>Track 4: Disbursement &amp; Schedule — Fresher 4</t>
        </is>
      </c>
      <c r="H60" s="373" t="inlineStr">
        <is>
          <t>SNAPSHOT</t>
        </is>
      </c>
      <c r="I60" s="377" t="inlineStr">
        <is>
          <t>Bảng giao diện báo cáo Giải ngân khoản vay (`INTF_LOAN_DSBR`) trên tầng Gold.</t>
        </is>
      </c>
      <c r="J60" s="377" t="inlineStr">
        <is>
          <t>Join từ `PG_SILVER.LOAN_AR a` sang `LOAN_AR_PRFL b`, `AR_X_IP_RLTNP c`, `EMPE d`, `AR_RATE_HIST e`, `PD f` với điều kiện lọc `SYS_EXP_DT IS NULL` đầy đủ.</t>
        </is>
      </c>
    </row>
    <row r="61" ht="63.75" customHeight="1" s="335">
      <c r="A61" s="373" t="n">
        <v>37</v>
      </c>
      <c r="B61" s="374">
        <f>HYPERLINK("#'Interface Loan Repayment Schedu'!A1", "Interface Loan Repayment Schedu")</f>
        <v/>
      </c>
      <c r="C61" s="375" t="inlineStr">
        <is>
          <t>4. Mapping Tầng Gold (Reporting Interface)</t>
        </is>
      </c>
      <c r="D61" s="375" t="inlineStr">
        <is>
          <t>Wave 4: Gold Interface (02:30)</t>
        </is>
      </c>
      <c r="E61" s="376" t="inlineStr">
        <is>
          <t>PG_GOLD.INTF_LOAN_REPYMT_SHD (20 cột)</t>
        </is>
      </c>
      <c r="F61" s="377" t="inlineStr">
        <is>
          <t>PG_SILVER: AR_AVY_SHD_ITM, LOAN_AR, LOAN_AR_PRFL, CST, IDV_PRFL, ORG_PRFL</t>
        </is>
      </c>
      <c r="G61" s="375" t="inlineStr">
        <is>
          <t>Track 4: Disbursement &amp; Schedule — Fresher 4</t>
        </is>
      </c>
      <c r="H61" s="373" t="inlineStr">
        <is>
          <t>SNAPSHOT</t>
        </is>
      </c>
      <c r="I61" s="377" t="inlineStr">
        <is>
          <t>Bảng giao diện báo cáo Lịch trả nợ khoản vay (`INTF_LOAN_REPYMT_SHD`) trên tầng Gold.</t>
        </is>
      </c>
      <c r="J61" s="377" t="inlineStr">
        <is>
          <t>Join 6 bảng Silver theo đúng 6 dòng khai báo ở Header Join Block (dòng 3-8), lọc `${ETL_DATE} &lt;= arr_shd.EFF_MAT_DT` và `SYS_EXP_DT IS NULL`.</t>
        </is>
      </c>
    </row>
    <row r="62" ht="63.75" customHeight="1" s="335">
      <c r="A62" s="363" t="n">
        <v>38</v>
      </c>
      <c r="B62" s="364">
        <f>HYPERLINK("#'Exchange Rate'!A1", "Exchange Rate")</f>
        <v/>
      </c>
      <c r="C62" s="365" t="inlineStr">
        <is>
          <t>2. Mapping Tầng Silver Temp 1 (Tech)</t>
        </is>
      </c>
      <c r="D62" s="365" t="inlineStr">
        <is>
          <t>Wave 1: Silver Temp 1 (01:00)</t>
        </is>
      </c>
      <c r="E62" s="366" t="inlineStr">
        <is>
          <t>PG_SILVER.EXG_RATE (5 cột)</t>
        </is>
      </c>
      <c r="F62" s="367" t="inlineStr">
        <is>
          <t>PG_BRONZE: T24CORE_CURRENCY &amp; T24CORE_CURRENCY_HIS</t>
        </is>
      </c>
      <c r="G62" s="365" t="inlineStr">
        <is>
          <t>Track 5: Accounting &amp; Posting — Fresher 5</t>
        </is>
      </c>
      <c r="H62" s="363" t="inlineStr">
        <is>
          <t>SNAPSHOT</t>
        </is>
      </c>
      <c r="I62" s="367" t="inlineStr">
        <is>
          <t>Bảng Tỷ giá hối đoái hàng ngày (`EXG_RATE`), lấy tỷ giá đánh giá lại trung bình (`MID_RATE`) mới nhất tính đến `${ETL_DATE}`.</t>
        </is>
      </c>
      <c r="J62" s="367" t="inlineStr">
        <is>
          <t>Đọc từ `PG_BRONZE.T24CORE_CURRENCY` và `PG_BRONZE.T24CORE_CURRENCY_HIS`, ép kiểu `CAST(... AS DECIMAL(13,7))` để bảo toàn phần thập phân.</t>
        </is>
      </c>
    </row>
    <row r="63" ht="63.75" customHeight="1" s="335">
      <c r="A63" s="368" t="n">
        <v>39</v>
      </c>
      <c r="B63" s="369">
        <f>HYPERLINK("#'Posting Entry'!A1", "Posting Entry")</f>
        <v/>
      </c>
      <c r="C63" s="370" t="inlineStr">
        <is>
          <t>3. Mapping Tầng Silver Temp 2 (Business)</t>
        </is>
      </c>
      <c r="D63" s="370" t="inlineStr">
        <is>
          <t>Wave 2: Silver Temp 2 (01:30)</t>
        </is>
      </c>
      <c r="E63" s="371" t="inlineStr">
        <is>
          <t>PG_SILVER.PST_ENTR (52 cột)</t>
        </is>
      </c>
      <c r="F63" s="372" t="inlineStr">
        <is>
          <t>PG_BRONZE: T24CORE_STMT_ENTRY, T24CORE_LD_LOANS_AND_DEPOSITS, T24CORE_PD_PAYMENT_DUE_MV</t>
        </is>
      </c>
      <c r="G63" s="370" t="inlineStr">
        <is>
          <t>Track 5: Accounting &amp; Posting — Fresher 5</t>
        </is>
      </c>
      <c r="H63" s="368" t="inlineStr">
        <is>
          <t>TXN (Giao dịch phát sinh trong ngày)</t>
        </is>
      </c>
      <c r="I63" s="372" t="inlineStr">
        <is>
          <t>Bảng Bút toán hạch toán giao dịch chi tiết (`PST_ENTR` - 52 cột), lưu trữ các giao dịch thực tế phát sinh trong ngày (`RECID NOT LIKE 'F%'`).</t>
        </is>
      </c>
      <c r="J63" s="372" t="inlineStr">
        <is>
          <t>Đọc từ `PG_BRONZE.T24CORE_STMT_ENTRY` join `T24CORE_LD_LOANS_AND_DEPOSITS` và `T24CORE_PD_PAYMENT_DUE_MV`, phân loại `PST_ENTR_CMPT`.</t>
        </is>
      </c>
    </row>
    <row r="64" ht="63.75" customHeight="1" s="335">
      <c r="A64" s="368" t="n">
        <v>40</v>
      </c>
      <c r="B64" s="369">
        <f>HYPERLINK("#'SAOKE_TINDUNG'!A1", "SAOKE_TINDUNG")</f>
        <v/>
      </c>
      <c r="C64" s="370" t="inlineStr">
        <is>
          <t>3. Mapping Tầng Silver Temp 2 (Bank-wised)</t>
        </is>
      </c>
      <c r="D64" s="370" t="inlineStr">
        <is>
          <t>Wave 2: Silver Temp 2 (01:30)</t>
        </is>
      </c>
      <c r="E64" s="371" t="inlineStr">
        <is>
          <t>PG_SILVER.SAOKE_TINDUNG (67 cột duy nhất)</t>
        </is>
      </c>
      <c r="F64" s="372" t="inlineStr">
        <is>
          <t>3 bảng PG_BRONZE: T24CORE_LD_LOANS_AND_DEPOSITS, T24CORE_CUSTOMER, T24CORE_DEPT_ACCT_OFFICER</t>
        </is>
      </c>
      <c r="G64" s="370" t="inlineStr">
        <is>
          <t>Track 5: Accounting &amp; Posting — Fresher 5</t>
        </is>
      </c>
      <c r="H64" s="368" t="inlineStr">
        <is>
          <t>SNAPSHOT (Business Credit Statement)</t>
        </is>
      </c>
      <c r="I64" s="372" t="inlineStr">
        <is>
          <t>Sheet thiết kế chuyên biệt cho bảng sao kê tín dụng tổng hợp (`PG_SILVER.SAOKE_TINDUNG`), kết nối hợp đồng `LD_LOANS_AND_DEPOSITS` với `CUSTOMER` và cán bộ `DEPT_ACCT_OFFICER`.</t>
        </is>
      </c>
      <c r="J64" s="372" t="inlineStr">
        <is>
          <t>Dựa vào khối Header Join 3 bảng ở dòng 2-5 và danh sách 67 cột ở dòng 7-74 để viết script `sql/silver_temp2/saoke_tindung.sql`.</t>
        </is>
      </c>
    </row>
    <row r="65" ht="63.75" customHeight="1" s="335">
      <c r="A65" s="363" t="n">
        <v>41</v>
      </c>
      <c r="B65" s="364">
        <f>HYPERLINK("#'CUST_INFO_DAILY'!A1", "CUST_INFO_DAILY")</f>
        <v/>
      </c>
      <c r="C65" s="365" t="inlineStr">
        <is>
          <t>2. Mapping Tầng Silver Temp 1 (Tech)</t>
        </is>
      </c>
      <c r="D65" s="365" t="inlineStr">
        <is>
          <t>Wave 1: Silver Temp 1 (01:00)</t>
        </is>
      </c>
      <c r="E65" s="366" t="inlineStr">
        <is>
          <t>PG_SILVER.CUST_INFO_DAILY (63 cột duy nhất)</t>
        </is>
      </c>
      <c r="F65" s="367" t="inlineStr">
        <is>
          <t>10 bảng PG_BRONZE: SMY_STMT_DAILY, PGB_LDTB_CONTRACT_MASTER, PGB_LOS_CONTRACT_FIELDS_TDATE, PGB_CONTRACT_UDF_MAP, PGBLD_CONTRACT_UDFIELD_HIST, PGBLD_RT_CONTRACT_UDFIELD_HIST, COL_UDF_VALUE, LOAN_DISBURSEMENT, FACILITY, PRODUCT</t>
        </is>
      </c>
      <c r="G65" s="365" t="inlineStr">
        <is>
          <t>Track 5: Accounting &amp; Posting — Fresher 5</t>
        </is>
      </c>
      <c r="H65" s="363" t="inlineStr">
        <is>
          <t>SNAPSHOT (Daily Customer &amp; Contract Staging)</t>
        </is>
      </c>
      <c r="I65" s="367" t="inlineStr">
        <is>
          <t>Sheet thiết kế chuyên biệt cho bảng thông tin giao dịch &amp; hợp đồng hàng ngày (`PG_SILVER.CUST_INFO_DAILY`), kết nối `SMY_STMT_DAILY` với 9 bảng phụ trên `PG_BRONZE`.</t>
        </is>
      </c>
      <c r="J65" s="367" t="inlineStr">
        <is>
          <t>Dựa vào khối Header Join 10 bảng ở dòng 2-12 và danh sách 63 cột ở dòng 14-77 để viết script `sql/silver_temp1/cust_info_daily.sql`.</t>
        </is>
      </c>
    </row>
    <row r="66" ht="63.75" customHeight="1" s="335">
      <c r="A66" s="368" t="n">
        <v>42</v>
      </c>
      <c r="B66" s="369">
        <f>HYPERLINK("#'Arrangement Balance'!A1", "Arrangement Balance")</f>
        <v/>
      </c>
      <c r="C66" s="370" t="inlineStr">
        <is>
          <t>3. Mapping Tầng Silver Temp 2 (Bank-wised)</t>
        </is>
      </c>
      <c r="D66" s="370" t="inlineStr">
        <is>
          <t>Wave 2: Silver Temp 2 (01:30)</t>
        </is>
      </c>
      <c r="E66" s="371" t="inlineStr">
        <is>
          <t>PG_SILVER.AR_BAL (16 cột)</t>
        </is>
      </c>
      <c r="F66" s="372" t="inlineStr">
        <is>
          <t>PG_BRONZE.SOURCE_SAOKE_CRB</t>
        </is>
      </c>
      <c r="G66" s="370" t="inlineStr">
        <is>
          <t>Track 6: Balance &amp; Summaries — Fresher 6</t>
        </is>
      </c>
      <c r="H66" s="368" t="inlineStr">
        <is>
          <t>SNAPSHOT</t>
        </is>
      </c>
      <c r="I66" s="372" t="inlineStr">
        <is>
          <t>Bảng Số dư hợp đồng hàng ngày theo từng mã GL (`AR_BAL`), chuẩn hóa từ `PG_BRONZE.SOURCE_SAOKE_CRB` cho hai phân hệ `LD` và `PD`.</t>
        </is>
      </c>
      <c r="J66" s="372" t="inlineStr">
        <is>
          <t>Lọc `WHERE a.APP_CODE IN ('LD', 'PD') AND a.TXN_DATE = ${ETL_DATE}` từ `PG_BRONZE.SOURCE_SAOKE_CRB`, băm khóa `AR_ID`, `CST_ID`, `GL_ITM_ID`.</t>
        </is>
      </c>
    </row>
    <row r="67" ht="63.75" customHeight="1" s="335">
      <c r="A67" s="363" t="n">
        <v>43</v>
      </c>
      <c r="B67" s="364">
        <f>HYPERLINK("#'Arrangement Rate History'!A1", "Arrangement Rate History")</f>
        <v/>
      </c>
      <c r="C67" s="365" t="inlineStr">
        <is>
          <t>2. Mapping Tầng Silver Temp 1 (Tech)</t>
        </is>
      </c>
      <c r="D67" s="365" t="inlineStr">
        <is>
          <t>Wave 1: Silver Temp 1 (01:00)</t>
        </is>
      </c>
      <c r="E67" s="366" t="inlineStr">
        <is>
          <t>PG_SILVER.AR_RATE_HIST (12 cột, 3 nhánh UNION ALL)</t>
        </is>
      </c>
      <c r="F67" s="367" t="inlineStr">
        <is>
          <t>PG_BRONZE: T24CORE_LD_LOANS_AND_DEPOSITS, LD_HIS, PD_PAYMENT_DUE, FLEXBO_PGB_LOS_CONTRACT_FIELDS_TDATE</t>
        </is>
      </c>
      <c r="G67" s="365" t="inlineStr">
        <is>
          <t>Track 6: Balance &amp; Summaries — Fresher 6</t>
        </is>
      </c>
      <c r="H67" s="363" t="inlineStr">
        <is>
          <t>SCD TYPE 2 (3 nhánh UNION ALL)</t>
        </is>
      </c>
      <c r="I67" s="367" t="inlineStr">
        <is>
          <t>Bảng Lịch sử lãi suất hợp đồng vay (`AR_RATE_HIST`), theo dõi loại lãi suất, lãi suất hiệu lực, biên độ, lãi phạt và lãi quá hạn.</t>
        </is>
      </c>
      <c r="J67" s="367" t="inlineStr">
        <is>
          <t>Viết 3 nhánh `UNION ALL` đọc từ `PG_BRONZE.*`, chuẩn hóa `AR_CODE` ở Nhánh 2 (`SUBSTR(ldh.RECID,1,INSTR(ldh.RECID,';')-1)`) và Nhánh 3 (`SUBSTR(d.RECID,1,14)`).</t>
        </is>
      </c>
    </row>
    <row r="68" ht="63.75" customHeight="1" s="335">
      <c r="A68" s="368" t="n">
        <v>44</v>
      </c>
      <c r="B68" s="369">
        <f>HYPERLINK("#'Arrangement Delinquency Summary'!A1", "Arrangement Delinquency Summary")</f>
        <v/>
      </c>
      <c r="C68" s="370" t="inlineStr">
        <is>
          <t>3. Mapping Tầng Silver Temp 2 (Bank-wised)</t>
        </is>
      </c>
      <c r="D68" s="370" t="inlineStr">
        <is>
          <t>Wave 2: Silver Temp 2 (01:30)</t>
        </is>
      </c>
      <c r="E68" s="371" t="inlineStr">
        <is>
          <t>PG_SILVER.AR_DLQ_SMY (11 cột)</t>
        </is>
      </c>
      <c r="F68" s="372" t="inlineStr">
        <is>
          <t>PG_BRONZE: T24CORE_PD_PAYMENT_DUE_HIS_MV (a) LEFT JOIN T24CORE_PD_PAYMENT_DUE (b)</t>
        </is>
      </c>
      <c r="G68" s="370" t="inlineStr">
        <is>
          <t>Track 6: Balance &amp; Summaries — Fresher 6</t>
        </is>
      </c>
      <c r="H68" s="368" t="inlineStr">
        <is>
          <t>SNAPSHOT (Aggregate theo SUBSTR(a.RECID, 1, 14))</t>
        </is>
      </c>
      <c r="I68" s="372" t="inlineStr">
        <is>
          <t>Bảng Tổng hợp tình trạng quá hạn theo hợp đồng (`AR_DLQ_SMY`), tính ngày bắt đầu quá hạn gốc/lãi (`MIN`), tổng tiền quá hạn gốc/lãi (`SUM`) và số ngày quá hạn chuyển đổi (`MAX`).</t>
        </is>
      </c>
      <c r="J68" s="372" t="inlineStr">
        <is>
          <t>Đọc từ `PG_BRONZE.T24CORE_PD_PAYMENT_DUE_HIS_MV` join `PG_BRONZE.T24CORE_PD_PAYMENT_DUE`, `GROUP BY SUBSTR(a.RECID, 1, 14)`.</t>
        </is>
      </c>
    </row>
    <row r="69" ht="63.75" customHeight="1" s="335">
      <c r="A69" s="368" t="n">
        <v>45</v>
      </c>
      <c r="B69" s="369">
        <f>HYPERLINK("#'Arrangement Turnover Summary'!A1", "Arrangement Turnover Summary")</f>
        <v/>
      </c>
      <c r="C69" s="370" t="inlineStr">
        <is>
          <t>3. Mapping Tầng Silver Temp 2 (Bank-wised)</t>
        </is>
      </c>
      <c r="D69" s="370" t="inlineStr">
        <is>
          <t>Wave 2: Silver Temp 2 (01:45 — chạy sau PST_ENTR, AR_DLQ_SMY, LOAN_AR)</t>
        </is>
      </c>
      <c r="E69" s="371" t="inlineStr">
        <is>
          <t>PG_SILVER.AR_TVR_SMY (24 cột)</t>
        </is>
      </c>
      <c r="F69" s="372" t="inlineStr">
        <is>
          <t>PG_BRONZE.SOURCE_SAOKE_CRB (a) LEFT JOIN PG_SILVER: PST_ENTR (stmt), AR_DLQ_SMY (dlq), LOAN_AR (la)</t>
        </is>
      </c>
      <c r="G69" s="370" t="inlineStr">
        <is>
          <t>Track 6: Balance &amp; Summaries — Fresher 6</t>
        </is>
      </c>
      <c r="H69" s="368" t="inlineStr">
        <is>
          <t>Fact Snapshot (Daily / MTD / YTD Aggregation)</t>
        </is>
      </c>
      <c r="I69" s="372" t="inlineStr">
        <is>
          <t>Bảng Tổng hợp doanh số hoạt động và dư nợ của hợp đồng (`AR_TVR_SMY`), tính dư nợ gốc trong hạn/đến hạn/quá hạn và doanh số Ghi Nợ/Ghi Có Ngày, Tháng (MTD), Năm (YTD).</t>
        </is>
      </c>
      <c r="J69" s="372" t="inlineStr">
        <is>
          <t>Gom nhóm trước `PST_ENTR` theo `AR_CODE` trong subquery `stmt` để tránh bẫy nhân bản $N \times M$, bọc `SUM(...)` cho các chỉ tiêu dư nợ gốc từ `SOURCE_SAOKE_CRB` và `GROUP BY a.APP_ID`.</t>
        </is>
      </c>
    </row>
    <row r="70" ht="63.75" customHeight="1" s="335">
      <c r="A70" s="368" t="n">
        <v>46</v>
      </c>
      <c r="B70" s="369">
        <f>HYPERLINK("#'Asset Arrangement Interest Summ'!A1", "Asset Arrangement Interest Summ")</f>
        <v/>
      </c>
      <c r="C70" s="370" t="inlineStr">
        <is>
          <t>3. Mapping Tầng Silver Temp 2 (Bank-wised)</t>
        </is>
      </c>
      <c r="D70" s="370" t="inlineStr">
        <is>
          <t>Wave 2: Silver Temp 2 (01:30)</t>
        </is>
      </c>
      <c r="E70" s="371" t="inlineStr">
        <is>
          <t>PG_SILVER.AST_AR_INT_SMY (10 cột)</t>
        </is>
      </c>
      <c r="F70" s="372" t="inlineStr">
        <is>
          <t>PG_BRONZE: SOURCE_SAOKE_CRB (a) LEFT JOIN T24CORE_STMT_ENTRY (b)</t>
        </is>
      </c>
      <c r="G70" s="370" t="inlineStr">
        <is>
          <t>Track 6: Balance &amp; Summaries — Fresher 6</t>
        </is>
      </c>
      <c r="H70" s="368" t="inlineStr">
        <is>
          <t>SNAPSHOT</t>
        </is>
      </c>
      <c r="I70" s="372" t="inlineStr">
        <is>
          <t>Bảng Tổng hợp lãi của hợp đồng tín dụng (`AST_AR_INT_SMY`): Lãi dự thu (`394%` + `94%`), Lãi đã trả (`STMT_ENTRY`), Lãi trong hạn (`394%`) và Lãi quá hạn ngoại bảng (`94%`).</t>
        </is>
      </c>
      <c r="J70" s="372" t="inlineStr">
        <is>
          <t>Gom nhóm `GROUP BY a.TXN_DATE, a.APP_ID, b.SUM_REPAID_AMT` và lọc đúng `SBV_CODE LIKE '394%'` / `'94%'` trong hàm `SUM(...)` để không cộng nhầm dư nợ gốc (`2%`) và không nhân bản `TOT_INT_PAID_AMT_FCY`.</t>
        </is>
      </c>
    </row>
    <row r="71" ht="63.75" customHeight="1" s="335">
      <c r="A71" s="373" t="n">
        <v>47</v>
      </c>
      <c r="B71" s="374">
        <f>HYPERLINK("#'Dimension Customer'!A1", "Dimension Customer")</f>
        <v/>
      </c>
      <c r="C71" s="375" t="inlineStr">
        <is>
          <t>4. Mapping Tầng Gold (Star Schema Dimension)</t>
        </is>
      </c>
      <c r="D71" s="375" t="inlineStr">
        <is>
          <t>Wave 3: Gold Dimension (02:00)</t>
        </is>
      </c>
      <c r="E71" s="376" t="inlineStr">
        <is>
          <t>PG_GOLD.DIM_CST (9 cột)</t>
        </is>
      </c>
      <c r="F71" s="377" t="inlineStr">
        <is>
          <t>PG_SILVER: CST (cst) LEFT JOIN IDV_PRFL (idv) LEFT JOIN ORG_PRFL (org)</t>
        </is>
      </c>
      <c r="G71" s="375" t="inlineStr">
        <is>
          <t>Track 7: Data Mart &amp; Star Schema — Fresher 7</t>
        </is>
      </c>
      <c r="H71" s="373" t="inlineStr">
        <is>
          <t>SCD TYPE 2</t>
        </is>
      </c>
      <c r="I71" s="377" t="inlineStr">
        <is>
          <t>Bảng chiều Khách hàng (`DIM_CST`) trong mô hình Star Schema, hợp nhất mã ngành kinh tế cấp 1 &amp; cấp 2 từ `IDV_PRFL` và `ORG_PRFL`.</t>
        </is>
      </c>
      <c r="J71" s="377" t="inlineStr">
        <is>
          <t>Join `CST cst` với `IDV_PRFL idv` và `ORG_PRFL org` kèm điều kiện lọc `SYS_EXP_DT IS NULL` ở cả 3 bảng.</t>
        </is>
      </c>
    </row>
    <row r="72" ht="63.75" customHeight="1" s="335">
      <c r="A72" s="373" t="n">
        <v>48</v>
      </c>
      <c r="B72" s="374">
        <f>HYPERLINK("#'Fact Loan Arrangement'!A1", "Fact Loan Arrangement")</f>
        <v/>
      </c>
      <c r="C72" s="375" t="inlineStr">
        <is>
          <t>4. Mapping Tầng Gold (Star Schema Fact)</t>
        </is>
      </c>
      <c r="D72" s="375" t="inlineStr">
        <is>
          <t>Wave 4: Gold Fact (02:45 — Chạy cuối cùng trong toàn bộ pipeline)</t>
        </is>
      </c>
      <c r="E72" s="376" t="inlineStr">
        <is>
          <t>PG_GOLD.FCT_LOAN_AR (22 cột: 10 Dimension Keys + 12 Measures)</t>
        </is>
      </c>
      <c r="F72" s="377" t="inlineStr">
        <is>
          <t>10 bảng PG_SILVER + 8 bảng PG_GOLD (DIM_*)</t>
        </is>
      </c>
      <c r="G72" s="375" t="inlineStr">
        <is>
          <t>Track 7: Data Mart &amp; Star Schema — Fresher 7</t>
        </is>
      </c>
      <c r="H72" s="373" t="inlineStr">
        <is>
          <t>SNAPSHOT (Star Schema Fact Table)</t>
        </is>
      </c>
      <c r="I72" s="377" t="inlineStr">
        <is>
          <t>Bảng Fact trung tâm của kho dữ liệu (`FCT_LOAN_AR`), kết nối 10 khóa chiều (`*_DIM_KEY`) với 12 chỉ số đo lường dư nợ, lãi, tỷ giá và số ngày quá hạn.</t>
        </is>
      </c>
      <c r="J72" s="377" t="inlineStr">
        <is>
          <t>Khử trùng `AR_BAL b` theo `(AR_ID, CDR_DT, MUD_CODE)`, lọc `WHERE CDR_DT = ${ETL_DATE}` trong mọi subquery (`e`, `h`, `k`), và lọc `SYS_EXP_DT IS NULL` khi join vào 8 bảng `DIM_*`.</t>
        </is>
      </c>
    </row>
    <row r="73" ht="25.5" customHeight="1" s="335">
      <c r="A73" s="378" t="inlineStr">
        <is>
          <t>TỔNG</t>
        </is>
      </c>
      <c r="B73" s="378">
        <f>COUNTA(A25:A72)</f>
        <v/>
      </c>
      <c r="C73" s="379" t="inlineStr">
        <is>
          <t>48 Sheets (7 Quản trị/Hệ thống/Tham khảo + 12 Silver Temp 1 + 15 Silver Temp 2 + 8 Gold Dim + 6 Gold Fact/Interface)</t>
        </is>
      </c>
      <c r="D73" s="380" t="n"/>
      <c r="E73" s="380" t="n"/>
      <c r="F73" s="380" t="n"/>
      <c r="G73" s="380" t="n"/>
      <c r="H73" s="380" t="n"/>
      <c r="I73" s="380" t="n"/>
      <c r="J73" s="381" t="n"/>
    </row>
  </sheetData>
  <mergeCells count="6">
    <mergeCell ref="A1:J1"/>
    <mergeCell ref="A23:J23"/>
    <mergeCell ref="A4:J4"/>
    <mergeCell ref="A2:J2"/>
    <mergeCell ref="A13:J13"/>
    <mergeCell ref="C73:J7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6" customWidth="1" style="334" min="1" max="1"/>
    <col width="13" customWidth="1" style="334" min="2" max="2"/>
    <col width="26" customWidth="1" style="334" min="3" max="3"/>
    <col width="22" customWidth="1" style="334" min="4" max="4"/>
    <col width="30" customWidth="1" style="334" min="5" max="5"/>
    <col width="21.33" customWidth="1" style="334" min="6" max="6"/>
    <col width="26" customWidth="1" style="334" min="7" max="7"/>
    <col width="12" customWidth="1" style="334" min="8" max="8"/>
  </cols>
  <sheetData>
    <row r="1" ht="18" customHeight="1" s="335">
      <c r="A1" s="382" t="inlineStr">
        <is>
          <t>BẢNG PHÂN CÔNG TASK DỰ ÁN TRAINING DATA ENGINEER (AIRFLOW + SPARK SQL)</t>
        </is>
      </c>
    </row>
    <row r="2" ht="14.25" customHeight="1" s="335">
      <c r="A2" s="383" t="inlineStr">
        <is>
          <t>Kiến trúc: Landing -&gt; Bronze -&gt; Silver Temp 1 (Technical Logic) -&gt; Silver Temp 2 (Bank-wised Business Logic) -&gt; Gold Dimensions (DIM_*) -&gt; Gold Fact &amp; Reporting Interfaces (FCT_*, INF_*, INTF_*). Chạy tuần tự theo luồng phụ thuộc DAG (chạy song song các bảng độc lập trong cùng tầng).</t>
        </is>
      </c>
    </row>
    <row r="4" ht="27.75" customHeight="1" s="335">
      <c r="A4" s="384" t="inlineStr">
        <is>
          <t>STT</t>
        </is>
      </c>
      <c r="B4" s="384" t="inlineStr">
        <is>
          <t>Người Phụ Trách</t>
        </is>
      </c>
      <c r="C4" s="384" t="inlineStr">
        <is>
          <t>Track Domain</t>
        </is>
      </c>
      <c r="D4" s="384" t="inlineStr">
        <is>
          <t>Nghiệp Vụ Phụ Trách</t>
        </is>
      </c>
      <c r="E4" s="384" t="inlineStr">
        <is>
          <t>Sheet Mapping Excel</t>
        </is>
      </c>
      <c r="F4" s="384" t="inlineStr">
        <is>
          <t>Bảng Đích Target</t>
        </is>
      </c>
      <c r="G4" s="384" t="inlineStr">
        <is>
          <t>Phân Tầng Medallion Architecture</t>
        </is>
      </c>
      <c r="H4" s="384" t="inlineStr">
        <is>
          <t>Trạng Thái</t>
        </is>
      </c>
    </row>
    <row r="5" ht="27" customHeight="1" s="335">
      <c r="A5" s="385" t="n">
        <v>1</v>
      </c>
      <c r="B5" s="386" t="inlineStr">
        <is>
          <t>Fresher 1 - 6</t>
        </is>
      </c>
      <c r="C5" s="386" t="inlineStr">
        <is>
          <t>Track 0: Source to Bronze (1:1)</t>
        </is>
      </c>
      <c r="D5" s="386" t="inlineStr">
        <is>
          <t>Ingest 1:1 Bảng nguồn lên Bronze</t>
        </is>
      </c>
      <c r="E5" s="386" t="inlineStr">
        <is>
          <t>Bronze_Mapping_1_1 / DDL</t>
        </is>
      </c>
      <c r="F5" s="386" t="inlineStr">
        <is>
          <t>PG_BRONZE.* (28 bảng)</t>
        </is>
      </c>
      <c r="G5" s="386" t="inlineStr">
        <is>
          <t>Landing / Source -&gt; Bronze (1:1)</t>
        </is>
      </c>
      <c r="H5" s="385" t="inlineStr">
        <is>
          <t>Ready</t>
        </is>
      </c>
    </row>
    <row r="6" ht="27" customHeight="1" s="335">
      <c r="A6" s="387" t="n">
        <v>2</v>
      </c>
      <c r="B6" s="387" t="inlineStr">
        <is>
          <t>Fresher 1</t>
        </is>
      </c>
      <c r="C6" s="388" t="inlineStr">
        <is>
          <t>Track 1: Customer Domain</t>
        </is>
      </c>
      <c r="D6" s="388" t="inlineStr">
        <is>
          <t>Khách hàng &amp; Bên liên quan</t>
        </is>
      </c>
      <c r="E6" s="388" t="inlineStr">
        <is>
          <t>Interface Customer</t>
        </is>
      </c>
      <c r="F6" s="388" t="inlineStr">
        <is>
          <t>INF_CST</t>
        </is>
      </c>
      <c r="G6" s="389" t="inlineStr">
        <is>
          <t>Silver -&gt; Gold (Interface / Reporting)</t>
        </is>
      </c>
      <c r="H6" s="387" t="inlineStr">
        <is>
          <t>Ready</t>
        </is>
      </c>
    </row>
    <row r="7" ht="27" customHeight="1" s="335">
      <c r="A7" s="387" t="n">
        <v>3</v>
      </c>
      <c r="B7" s="387" t="inlineStr">
        <is>
          <t>Fresher 1</t>
        </is>
      </c>
      <c r="C7" s="388" t="inlineStr">
        <is>
          <t>Track 1: Customer Domain</t>
        </is>
      </c>
      <c r="D7" s="388" t="inlineStr">
        <is>
          <t>Khách hàng &amp; Bên liên quan</t>
        </is>
      </c>
      <c r="E7" s="388" t="inlineStr">
        <is>
          <t>Customer</t>
        </is>
      </c>
      <c r="F7" s="388" t="inlineStr">
        <is>
          <t>CST</t>
        </is>
      </c>
      <c r="G7" s="388" t="inlineStr">
        <is>
          <t>Silver Temp 2 (Business)</t>
        </is>
      </c>
      <c r="H7" s="387" t="inlineStr">
        <is>
          <t>Ready</t>
        </is>
      </c>
    </row>
    <row r="8" ht="27" customHeight="1" s="335">
      <c r="A8" s="387" t="n">
        <v>4</v>
      </c>
      <c r="B8" s="387" t="inlineStr">
        <is>
          <t>Fresher 1</t>
        </is>
      </c>
      <c r="C8" s="388" t="inlineStr">
        <is>
          <t>Track 1: Customer Domain</t>
        </is>
      </c>
      <c r="D8" s="388" t="inlineStr">
        <is>
          <t>Khách hàng &amp; Bên liên quan</t>
        </is>
      </c>
      <c r="E8" s="388" t="inlineStr">
        <is>
          <t>Individual Profile</t>
        </is>
      </c>
      <c r="F8" s="388" t="inlineStr">
        <is>
          <t>IDV_PRFL</t>
        </is>
      </c>
      <c r="G8" s="388" t="inlineStr">
        <is>
          <t>Silver Temp 2 (Bank-wised)</t>
        </is>
      </c>
      <c r="H8" s="387" t="inlineStr">
        <is>
          <t>Ready</t>
        </is>
      </c>
    </row>
    <row r="9" ht="27" customHeight="1" s="335">
      <c r="A9" s="387" t="n">
        <v>5</v>
      </c>
      <c r="B9" s="387" t="inlineStr">
        <is>
          <t>Fresher 1</t>
        </is>
      </c>
      <c r="C9" s="388" t="inlineStr">
        <is>
          <t>Track 1: Customer Domain</t>
        </is>
      </c>
      <c r="D9" s="388" t="inlineStr">
        <is>
          <t>Khách hàng &amp; Bên liên quan</t>
        </is>
      </c>
      <c r="E9" s="388" t="inlineStr">
        <is>
          <t>Individual Employment Status</t>
        </is>
      </c>
      <c r="F9" s="388" t="inlineStr">
        <is>
          <t>IDV_EMP_ST</t>
        </is>
      </c>
      <c r="G9" s="388" t="inlineStr">
        <is>
          <t>Silver Temp 2 (Bank-wised)</t>
        </is>
      </c>
      <c r="H9" s="387" t="inlineStr">
        <is>
          <t>Ready</t>
        </is>
      </c>
    </row>
    <row r="10" ht="27" customHeight="1" s="335">
      <c r="A10" s="387" t="n">
        <v>6</v>
      </c>
      <c r="B10" s="387" t="inlineStr">
        <is>
          <t>Fresher 1</t>
        </is>
      </c>
      <c r="C10" s="388" t="inlineStr">
        <is>
          <t>Track 1: Customer Domain</t>
        </is>
      </c>
      <c r="D10" s="388" t="inlineStr">
        <is>
          <t>Khách hàng &amp; Bên liên quan</t>
        </is>
      </c>
      <c r="E10" s="388" t="inlineStr">
        <is>
          <t>Organization Profile</t>
        </is>
      </c>
      <c r="F10" s="388" t="inlineStr">
        <is>
          <t>ORG_PRFL</t>
        </is>
      </c>
      <c r="G10" s="388" t="inlineStr">
        <is>
          <t>Silver Temp 2 (Bank-wised)</t>
        </is>
      </c>
      <c r="H10" s="387" t="inlineStr">
        <is>
          <t>Ready</t>
        </is>
      </c>
    </row>
    <row r="11" ht="27" customHeight="1" s="335">
      <c r="A11" s="387" t="n">
        <v>7</v>
      </c>
      <c r="B11" s="387" t="inlineStr">
        <is>
          <t>Fresher 1</t>
        </is>
      </c>
      <c r="C11" s="388" t="inlineStr">
        <is>
          <t>Track 1: Customer Domain</t>
        </is>
      </c>
      <c r="D11" s="388" t="inlineStr">
        <is>
          <t>Khách hàng &amp; Bên liên quan</t>
        </is>
      </c>
      <c r="E11" s="388" t="inlineStr">
        <is>
          <t>Involved Party Alternative Iden</t>
        </is>
      </c>
      <c r="F11" s="388" t="inlineStr">
        <is>
          <t>IP_ALT_IDENTN</t>
        </is>
      </c>
      <c r="G11" s="388" t="inlineStr">
        <is>
          <t>Silver Temp 1 (Tech)</t>
        </is>
      </c>
      <c r="H11" s="387" t="inlineStr">
        <is>
          <t>Ready</t>
        </is>
      </c>
    </row>
    <row r="12" ht="27" customHeight="1" s="335">
      <c r="A12" s="387" t="n">
        <v>8</v>
      </c>
      <c r="B12" s="387" t="inlineStr">
        <is>
          <t>Fresher 1</t>
        </is>
      </c>
      <c r="C12" s="388" t="inlineStr">
        <is>
          <t>Track 1: Customer Domain</t>
        </is>
      </c>
      <c r="D12" s="388" t="inlineStr">
        <is>
          <t>Khách hàng &amp; Bên liên quan</t>
        </is>
      </c>
      <c r="E12" s="388" t="inlineStr">
        <is>
          <t>Involved Party Electronic Addre</t>
        </is>
      </c>
      <c r="F12" s="388" t="inlineStr">
        <is>
          <t>IP_ELC_ADR</t>
        </is>
      </c>
      <c r="G12" s="388" t="inlineStr">
        <is>
          <t>Silver Temp 1 (Tech)</t>
        </is>
      </c>
      <c r="H12" s="387" t="inlineStr">
        <is>
          <t>Ready</t>
        </is>
      </c>
    </row>
    <row r="13" ht="27" customHeight="1" s="335">
      <c r="A13" s="387" t="n">
        <v>9</v>
      </c>
      <c r="B13" s="387" t="inlineStr">
        <is>
          <t>Fresher 1</t>
        </is>
      </c>
      <c r="C13" s="388" t="inlineStr">
        <is>
          <t>Track 1: Customer Domain</t>
        </is>
      </c>
      <c r="D13" s="388" t="inlineStr">
        <is>
          <t>Khách hàng &amp; Bên liên quan</t>
        </is>
      </c>
      <c r="E13" s="388" t="inlineStr">
        <is>
          <t>Involved Party Postal Address</t>
        </is>
      </c>
      <c r="F13" s="388" t="inlineStr">
        <is>
          <t>IP_PST_ADR</t>
        </is>
      </c>
      <c r="G13" s="388" t="inlineStr">
        <is>
          <t>Silver Temp 1 (Tech)</t>
        </is>
      </c>
      <c r="H13" s="387" t="inlineStr">
        <is>
          <t>Ready</t>
        </is>
      </c>
    </row>
    <row r="14" ht="27" customHeight="1" s="335">
      <c r="A14" s="390" t="n">
        <v>10</v>
      </c>
      <c r="B14" s="390" t="inlineStr">
        <is>
          <t>Fresher 2</t>
        </is>
      </c>
      <c r="C14" s="391" t="inlineStr">
        <is>
          <t>Track 2: Loan Contract Domain</t>
        </is>
      </c>
      <c r="D14" s="391" t="inlineStr">
        <is>
          <t>Hợp đồng Khoản vay</t>
        </is>
      </c>
      <c r="E14" s="391" t="inlineStr">
        <is>
          <t>Interface Loan Arrangement</t>
        </is>
      </c>
      <c r="F14" s="391" t="inlineStr">
        <is>
          <t>INTF_LOAN_AR</t>
        </is>
      </c>
      <c r="G14" s="389" t="inlineStr">
        <is>
          <t>Silver -&gt; Gold (Interface / Reporting)</t>
        </is>
      </c>
      <c r="H14" s="390" t="inlineStr">
        <is>
          <t>Ready</t>
        </is>
      </c>
    </row>
    <row r="15" ht="14.25" customHeight="1" s="335">
      <c r="A15" s="390" t="n">
        <v>11</v>
      </c>
      <c r="B15" s="390" t="inlineStr">
        <is>
          <t>Fresher 2</t>
        </is>
      </c>
      <c r="C15" s="391" t="inlineStr">
        <is>
          <t>Track 2: Loan Contract Domain</t>
        </is>
      </c>
      <c r="D15" s="391" t="inlineStr">
        <is>
          <t>Hợp đồng Khoản vay</t>
        </is>
      </c>
      <c r="E15" s="391" t="inlineStr">
        <is>
          <t>Loan Arrangement</t>
        </is>
      </c>
      <c r="F15" s="391" t="inlineStr">
        <is>
          <t>LOAN_AR</t>
        </is>
      </c>
      <c r="G15" s="391" t="inlineStr">
        <is>
          <t>Silver Temp 2 (Business)</t>
        </is>
      </c>
      <c r="H15" s="390" t="inlineStr">
        <is>
          <t>Ready</t>
        </is>
      </c>
    </row>
    <row r="16" ht="14.25" customHeight="1" s="335">
      <c r="A16" s="390" t="n">
        <v>12</v>
      </c>
      <c r="B16" s="390" t="inlineStr">
        <is>
          <t>Fresher 2</t>
        </is>
      </c>
      <c r="C16" s="391" t="inlineStr">
        <is>
          <t>Track 2: Loan Contract Domain</t>
        </is>
      </c>
      <c r="D16" s="391" t="inlineStr">
        <is>
          <t>Hợp đồng Khoản vay</t>
        </is>
      </c>
      <c r="E16" s="391" t="inlineStr">
        <is>
          <t>Loan Arrangement Profile</t>
        </is>
      </c>
      <c r="F16" s="391" t="inlineStr">
        <is>
          <t>LOAN_AR_PRFL</t>
        </is>
      </c>
      <c r="G16" s="391" t="inlineStr">
        <is>
          <t>Silver Temp 2 (Bank-wised)</t>
        </is>
      </c>
      <c r="H16" s="390" t="inlineStr">
        <is>
          <t>Ready</t>
        </is>
      </c>
    </row>
    <row r="17" ht="14.25" customHeight="1" s="335">
      <c r="A17" s="392" t="n">
        <v>13</v>
      </c>
      <c r="B17" s="392" t="inlineStr">
        <is>
          <t>Fresher 2</t>
        </is>
      </c>
      <c r="C17" s="389" t="inlineStr">
        <is>
          <t>Track 2: Loan Contract Domain</t>
        </is>
      </c>
      <c r="D17" s="389" t="inlineStr">
        <is>
          <t>Hợp đồng Khoản vay</t>
        </is>
      </c>
      <c r="E17" s="389" t="inlineStr">
        <is>
          <t>Arrangement x Involved Party</t>
        </is>
      </c>
      <c r="F17" s="389" t="inlineStr">
        <is>
          <t>AR_X_IP_RLTNP</t>
        </is>
      </c>
      <c r="G17" s="389" t="inlineStr">
        <is>
          <t>Silver Temp 2 (Bank-wised)</t>
        </is>
      </c>
      <c r="H17" s="392" t="inlineStr">
        <is>
          <t>Ready</t>
        </is>
      </c>
    </row>
    <row r="18" ht="14.25" customHeight="1" s="335">
      <c r="A18" s="390" t="n">
        <v>14</v>
      </c>
      <c r="B18" s="390" t="inlineStr">
        <is>
          <t>Fresher 2</t>
        </is>
      </c>
      <c r="C18" s="391" t="inlineStr">
        <is>
          <t>Track 2: Loan Contract Domain</t>
        </is>
      </c>
      <c r="D18" s="391" t="inlineStr">
        <is>
          <t>Hợp đồng Khoản vay</t>
        </is>
      </c>
      <c r="E18" s="391" t="inlineStr">
        <is>
          <t>Dimension Loan Arrangement</t>
        </is>
      </c>
      <c r="F18" s="391" t="inlineStr">
        <is>
          <t>DIM_LOAN_AR</t>
        </is>
      </c>
      <c r="G18" s="389" t="inlineStr">
        <is>
          <t>Gold / Mart (Dimension)</t>
        </is>
      </c>
      <c r="H18" s="390" t="inlineStr">
        <is>
          <t>Ready</t>
        </is>
      </c>
    </row>
    <row r="19" ht="27" customHeight="1" s="335">
      <c r="A19" s="393" t="n">
        <v>15</v>
      </c>
      <c r="B19" s="393" t="inlineStr">
        <is>
          <t>Fresher 3</t>
        </is>
      </c>
      <c r="C19" s="394" t="inlineStr">
        <is>
          <t>Track 3: Master Data &amp; Dims Domain</t>
        </is>
      </c>
      <c r="D19" s="394" t="inlineStr">
        <is>
          <t>Danh mục &amp; Chiều tra cứu</t>
        </is>
      </c>
      <c r="E19" s="394" t="inlineStr">
        <is>
          <t>Currency</t>
        </is>
      </c>
      <c r="F19" s="394" t="inlineStr">
        <is>
          <t>CCY</t>
        </is>
      </c>
      <c r="G19" s="394" t="inlineStr">
        <is>
          <t>Silver Temp 1 (Tech)</t>
        </is>
      </c>
      <c r="H19" s="393" t="inlineStr">
        <is>
          <t>Ready</t>
        </is>
      </c>
    </row>
    <row r="20" ht="27" customHeight="1" s="335">
      <c r="A20" s="393" t="n">
        <v>16</v>
      </c>
      <c r="B20" s="393" t="inlineStr">
        <is>
          <t>Fresher 3</t>
        </is>
      </c>
      <c r="C20" s="394" t="inlineStr">
        <is>
          <t>Track 3: Master Data &amp; Dims Domain</t>
        </is>
      </c>
      <c r="D20" s="394" t="inlineStr">
        <is>
          <t>Danh mục &amp; Chiều tra cứu</t>
        </is>
      </c>
      <c r="E20" s="394" t="inlineStr">
        <is>
          <t>Dimension Currency</t>
        </is>
      </c>
      <c r="F20" s="394" t="inlineStr">
        <is>
          <t>DIM_CCY</t>
        </is>
      </c>
      <c r="G20" s="389" t="inlineStr">
        <is>
          <t>Gold / Mart (Dimension)</t>
        </is>
      </c>
      <c r="H20" s="393" t="inlineStr">
        <is>
          <t>Ready</t>
        </is>
      </c>
    </row>
    <row r="21" ht="27" customHeight="1" s="335">
      <c r="A21" s="393" t="n">
        <v>17</v>
      </c>
      <c r="B21" s="393" t="inlineStr">
        <is>
          <t>Fresher 3</t>
        </is>
      </c>
      <c r="C21" s="394" t="inlineStr">
        <is>
          <t>Track 3: Master Data &amp; Dims Domain</t>
        </is>
      </c>
      <c r="D21" s="394" t="inlineStr">
        <is>
          <t>Danh mục &amp; Chiều tra cứu</t>
        </is>
      </c>
      <c r="E21" s="394" t="inlineStr">
        <is>
          <t>Product</t>
        </is>
      </c>
      <c r="F21" s="394" t="inlineStr">
        <is>
          <t>PD</t>
        </is>
      </c>
      <c r="G21" s="394" t="inlineStr">
        <is>
          <t>Silver Temp 1 (Tech)</t>
        </is>
      </c>
      <c r="H21" s="393" t="inlineStr">
        <is>
          <t>Ready</t>
        </is>
      </c>
    </row>
    <row r="22" ht="27" customHeight="1" s="335">
      <c r="A22" s="393" t="n">
        <v>18</v>
      </c>
      <c r="B22" s="393" t="inlineStr">
        <is>
          <t>Fresher 3</t>
        </is>
      </c>
      <c r="C22" s="394" t="inlineStr">
        <is>
          <t>Track 3: Master Data &amp; Dims Domain</t>
        </is>
      </c>
      <c r="D22" s="394" t="inlineStr">
        <is>
          <t>Danh mục &amp; Chiều tra cứu</t>
        </is>
      </c>
      <c r="E22" s="394" t="inlineStr">
        <is>
          <t>Dimension Product</t>
        </is>
      </c>
      <c r="F22" s="394" t="inlineStr">
        <is>
          <t>DIM_PD</t>
        </is>
      </c>
      <c r="G22" s="389" t="inlineStr">
        <is>
          <t>Gold / Mart (Dimension)</t>
        </is>
      </c>
      <c r="H22" s="393" t="inlineStr">
        <is>
          <t>Ready</t>
        </is>
      </c>
    </row>
    <row r="23" ht="27" customHeight="1" s="335">
      <c r="A23" s="393" t="n">
        <v>19</v>
      </c>
      <c r="B23" s="393" t="inlineStr">
        <is>
          <t>Fresher 3</t>
        </is>
      </c>
      <c r="C23" s="394" t="inlineStr">
        <is>
          <t>Track 3: Master Data &amp; Dims Domain</t>
        </is>
      </c>
      <c r="D23" s="394" t="inlineStr">
        <is>
          <t>Danh mục &amp; Chiều tra cứu</t>
        </is>
      </c>
      <c r="E23" s="394" t="inlineStr">
        <is>
          <t>Organization Unit</t>
        </is>
      </c>
      <c r="F23" s="394" t="inlineStr">
        <is>
          <t>OU</t>
        </is>
      </c>
      <c r="G23" s="394" t="inlineStr">
        <is>
          <t>Silver Temp 1 (Tech)</t>
        </is>
      </c>
      <c r="H23" s="393" t="inlineStr">
        <is>
          <t>Ready</t>
        </is>
      </c>
    </row>
    <row r="24" ht="27" customHeight="1" s="335">
      <c r="A24" s="393" t="n">
        <v>20</v>
      </c>
      <c r="B24" s="393" t="inlineStr">
        <is>
          <t>Fresher 3</t>
        </is>
      </c>
      <c r="C24" s="394" t="inlineStr">
        <is>
          <t>Track 3: Master Data &amp; Dims Domain</t>
        </is>
      </c>
      <c r="D24" s="394" t="inlineStr">
        <is>
          <t>Danh mục &amp; Chiều tra cứu</t>
        </is>
      </c>
      <c r="E24" s="394" t="inlineStr">
        <is>
          <t>Dimension Organization Unit</t>
        </is>
      </c>
      <c r="F24" s="394" t="inlineStr">
        <is>
          <t>DIM_OU</t>
        </is>
      </c>
      <c r="G24" s="389" t="inlineStr">
        <is>
          <t>Gold / Mart (Dimension)</t>
        </is>
      </c>
      <c r="H24" s="393" t="inlineStr">
        <is>
          <t>Ready</t>
        </is>
      </c>
    </row>
    <row r="25" ht="27" customHeight="1" s="335">
      <c r="A25" s="393" t="n">
        <v>21</v>
      </c>
      <c r="B25" s="393" t="inlineStr">
        <is>
          <t>Fresher 3</t>
        </is>
      </c>
      <c r="C25" s="394" t="inlineStr">
        <is>
          <t>Track 3: Master Data &amp; Dims Domain</t>
        </is>
      </c>
      <c r="D25" s="394" t="inlineStr">
        <is>
          <t>Danh mục &amp; Chiều tra cứu</t>
        </is>
      </c>
      <c r="E25" s="394" t="inlineStr">
        <is>
          <t>Employee</t>
        </is>
      </c>
      <c r="F25" s="394" t="inlineStr">
        <is>
          <t>EMPE</t>
        </is>
      </c>
      <c r="G25" s="394" t="inlineStr">
        <is>
          <t>Silver Temp 1 (Tech)</t>
        </is>
      </c>
      <c r="H25" s="393" t="inlineStr">
        <is>
          <t>Ready</t>
        </is>
      </c>
    </row>
    <row r="26" ht="27" customHeight="1" s="335">
      <c r="A26" s="393" t="n">
        <v>22</v>
      </c>
      <c r="B26" s="393" t="inlineStr">
        <is>
          <t>Fresher 3</t>
        </is>
      </c>
      <c r="C26" s="394" t="inlineStr">
        <is>
          <t>Track 3: Master Data &amp; Dims Domain</t>
        </is>
      </c>
      <c r="D26" s="394" t="inlineStr">
        <is>
          <t>Danh mục &amp; Chiều tra cứu</t>
        </is>
      </c>
      <c r="E26" s="394" t="inlineStr">
        <is>
          <t>Limit</t>
        </is>
      </c>
      <c r="F26" s="394" t="inlineStr">
        <is>
          <t>LMT</t>
        </is>
      </c>
      <c r="G26" s="394" t="inlineStr">
        <is>
          <t>Silver Temp 1 (Tech)</t>
        </is>
      </c>
      <c r="H26" s="393" t="inlineStr">
        <is>
          <t>Ready</t>
        </is>
      </c>
    </row>
    <row r="27" ht="27" customHeight="1" s="335">
      <c r="A27" s="393" t="n">
        <v>23</v>
      </c>
      <c r="B27" s="393" t="inlineStr">
        <is>
          <t>Fresher 3</t>
        </is>
      </c>
      <c r="C27" s="394" t="inlineStr">
        <is>
          <t>Track 3: Master Data &amp; Dims Domain</t>
        </is>
      </c>
      <c r="D27" s="394" t="inlineStr">
        <is>
          <t>Danh mục &amp; Chiều tra cứu</t>
        </is>
      </c>
      <c r="E27" s="394" t="inlineStr">
        <is>
          <t>Dimension Limit</t>
        </is>
      </c>
      <c r="F27" s="394" t="inlineStr">
        <is>
          <t>DIM_LMT</t>
        </is>
      </c>
      <c r="G27" s="389" t="inlineStr">
        <is>
          <t>Gold / Mart (Dimension)</t>
        </is>
      </c>
      <c r="H27" s="393" t="inlineStr">
        <is>
          <t>Ready</t>
        </is>
      </c>
    </row>
    <row r="28" ht="27" customHeight="1" s="335">
      <c r="A28" s="393" t="n">
        <v>24</v>
      </c>
      <c r="B28" s="393" t="inlineStr">
        <is>
          <t>Fresher 3</t>
        </is>
      </c>
      <c r="C28" s="394" t="inlineStr">
        <is>
          <t>Track 3: Master Data &amp; Dims Domain</t>
        </is>
      </c>
      <c r="D28" s="394" t="inlineStr">
        <is>
          <t>Danh mục &amp; Chiều tra cứu</t>
        </is>
      </c>
      <c r="E28" s="394" t="inlineStr">
        <is>
          <t>Classification Value</t>
        </is>
      </c>
      <c r="F28" s="394" t="inlineStr">
        <is>
          <t>CV</t>
        </is>
      </c>
      <c r="G28" s="394" t="inlineStr">
        <is>
          <t>Silver Temp 1 (Tech)</t>
        </is>
      </c>
      <c r="H28" s="393" t="inlineStr">
        <is>
          <t>Ready</t>
        </is>
      </c>
    </row>
    <row r="29" ht="27" customHeight="1" s="335">
      <c r="A29" s="393" t="n">
        <v>25</v>
      </c>
      <c r="B29" s="393" t="inlineStr">
        <is>
          <t>Fresher 3</t>
        </is>
      </c>
      <c r="C29" s="394" t="inlineStr">
        <is>
          <t>Track 3: Master Data &amp; Dims Domain</t>
        </is>
      </c>
      <c r="D29" s="394" t="inlineStr">
        <is>
          <t>Danh mục &amp; Chiều tra cứu</t>
        </is>
      </c>
      <c r="E29" s="394" t="inlineStr">
        <is>
          <t>Dimension Loan Restructure Type</t>
        </is>
      </c>
      <c r="F29" s="394" t="inlineStr">
        <is>
          <t>DIM_RSTC_TP</t>
        </is>
      </c>
      <c r="G29" s="389" t="inlineStr">
        <is>
          <t>Gold / Mart (Dimension)</t>
        </is>
      </c>
      <c r="H29" s="393" t="inlineStr">
        <is>
          <t>Ready</t>
        </is>
      </c>
    </row>
    <row r="30" ht="27" customHeight="1" s="335">
      <c r="A30" s="393" t="n">
        <v>26</v>
      </c>
      <c r="B30" s="393" t="inlineStr">
        <is>
          <t>Fresher 3</t>
        </is>
      </c>
      <c r="C30" s="394" t="inlineStr">
        <is>
          <t>Track 3: Master Data &amp; Dims Domain</t>
        </is>
      </c>
      <c r="D30" s="394" t="inlineStr">
        <is>
          <t>Danh mục &amp; Chiều tra cứu</t>
        </is>
      </c>
      <c r="E30" s="394" t="inlineStr">
        <is>
          <t>Dimension Financial Status</t>
        </is>
      </c>
      <c r="F30" s="394" t="inlineStr">
        <is>
          <t>DIM_FNC_ST</t>
        </is>
      </c>
      <c r="G30" s="389" t="inlineStr">
        <is>
          <t>Gold / Mart (Dimension)</t>
        </is>
      </c>
      <c r="H30" s="393" t="inlineStr">
        <is>
          <t>Ready</t>
        </is>
      </c>
    </row>
    <row r="31" ht="27" customHeight="1" s="335">
      <c r="A31" s="395" t="n">
        <v>27</v>
      </c>
      <c r="B31" s="395" t="inlineStr">
        <is>
          <t>Fresher 4</t>
        </is>
      </c>
      <c r="C31" s="396" t="inlineStr">
        <is>
          <t>Track 4: Disbursement &amp; Schedule Domain</t>
        </is>
      </c>
      <c r="D31" s="396" t="inlineStr">
        <is>
          <t>Giải ngân &amp; Lịch trả nợ</t>
        </is>
      </c>
      <c r="E31" s="396" t="inlineStr">
        <is>
          <t>Interface Loan Disbursement</t>
        </is>
      </c>
      <c r="F31" s="396" t="inlineStr">
        <is>
          <t>INTF_LOAN_DSBR</t>
        </is>
      </c>
      <c r="G31" s="389" t="inlineStr">
        <is>
          <t>Silver -&gt; Gold (Interface / Reporting)</t>
        </is>
      </c>
      <c r="H31" s="395" t="inlineStr">
        <is>
          <t>Ready</t>
        </is>
      </c>
    </row>
    <row r="32" ht="27" customHeight="1" s="335">
      <c r="A32" s="395" t="n">
        <v>28</v>
      </c>
      <c r="B32" s="395" t="inlineStr">
        <is>
          <t>Fresher 4</t>
        </is>
      </c>
      <c r="C32" s="396" t="inlineStr">
        <is>
          <t>Track 4: Disbursement &amp; Schedule Domain</t>
        </is>
      </c>
      <c r="D32" s="396" t="inlineStr">
        <is>
          <t>Giải ngân &amp; Lịch trả nợ</t>
        </is>
      </c>
      <c r="E32" s="396" t="inlineStr">
        <is>
          <t>Interface Loan Repayment Schedu</t>
        </is>
      </c>
      <c r="F32" s="396" t="inlineStr">
        <is>
          <t>INTF_LOAN_REPYMT_SHD</t>
        </is>
      </c>
      <c r="G32" s="389" t="inlineStr">
        <is>
          <t>Silver -&gt; Gold (Interface / Reporting)</t>
        </is>
      </c>
      <c r="H32" s="395" t="inlineStr">
        <is>
          <t>Ready</t>
        </is>
      </c>
    </row>
    <row r="33" ht="27" customHeight="1" s="335">
      <c r="A33" s="395" t="n">
        <v>29</v>
      </c>
      <c r="B33" s="395" t="inlineStr">
        <is>
          <t>Fresher 4</t>
        </is>
      </c>
      <c r="C33" s="396" t="inlineStr">
        <is>
          <t>Track 4: Disbursement &amp; Schedule Domain</t>
        </is>
      </c>
      <c r="D33" s="396" t="inlineStr">
        <is>
          <t>Giải ngân &amp; Lịch trả nợ</t>
        </is>
      </c>
      <c r="E33" s="396" t="inlineStr">
        <is>
          <t>Arrangement Activity Schedule I</t>
        </is>
      </c>
      <c r="F33" s="396" t="inlineStr">
        <is>
          <t>AR_AVY_SHD_ITM</t>
        </is>
      </c>
      <c r="G33" s="396" t="inlineStr">
        <is>
          <t>Silver Temp 2 (Bank-wised)</t>
        </is>
      </c>
      <c r="H33" s="395" t="inlineStr">
        <is>
          <t>Ready</t>
        </is>
      </c>
    </row>
    <row r="34" ht="27" customHeight="1" s="335">
      <c r="A34" s="395" t="n">
        <v>30</v>
      </c>
      <c r="B34" s="395" t="inlineStr">
        <is>
          <t>Fresher 4</t>
        </is>
      </c>
      <c r="C34" s="396" t="inlineStr">
        <is>
          <t>Track 4: Disbursement &amp; Schedule Domain</t>
        </is>
      </c>
      <c r="D34" s="396" t="inlineStr">
        <is>
          <t>Giải ngân &amp; Lịch trả nợ</t>
        </is>
      </c>
      <c r="E34" s="396" t="inlineStr">
        <is>
          <t>sk_lich_tra_no</t>
        </is>
      </c>
      <c r="F34" s="396" t="inlineStr">
        <is>
          <t>sk_lich_tra_no</t>
        </is>
      </c>
      <c r="G34" s="396" t="inlineStr">
        <is>
          <t>Silver Temp 1 (Tech)</t>
        </is>
      </c>
      <c r="H34" s="395" t="inlineStr">
        <is>
          <t>Ready</t>
        </is>
      </c>
    </row>
    <row r="35" ht="27" customHeight="1" s="335">
      <c r="A35" s="395" t="n">
        <v>31</v>
      </c>
      <c r="B35" s="395" t="inlineStr">
        <is>
          <t>Fresher 4</t>
        </is>
      </c>
      <c r="C35" s="396" t="inlineStr">
        <is>
          <t>Track 4: Disbursement &amp; Schedule Domain</t>
        </is>
      </c>
      <c r="D35" s="396" t="inlineStr">
        <is>
          <t>Giải ngân &amp; Lịch trả nợ</t>
        </is>
      </c>
      <c r="E35" s="396" t="inlineStr">
        <is>
          <t>Saoke_GIAINGAN</t>
        </is>
      </c>
      <c r="F35" s="396" t="inlineStr">
        <is>
          <t>Saoke_GIAINGAN</t>
        </is>
      </c>
      <c r="G35" s="396" t="inlineStr">
        <is>
          <t>Silver Temp 2 (Business)</t>
        </is>
      </c>
      <c r="H35" s="395" t="inlineStr">
        <is>
          <t>Ready</t>
        </is>
      </c>
    </row>
    <row r="36" ht="27" customHeight="1" s="335">
      <c r="A36" s="397" t="n">
        <v>32</v>
      </c>
      <c r="B36" s="397" t="inlineStr">
        <is>
          <t>Fresher 5</t>
        </is>
      </c>
      <c r="C36" s="398" t="inlineStr">
        <is>
          <t>Track 5: Accounting &amp; Posting Domain</t>
        </is>
      </c>
      <c r="D36" s="398" t="inlineStr">
        <is>
          <t>Hạch toán &amp; Giao dịch</t>
        </is>
      </c>
      <c r="E36" s="398" t="inlineStr">
        <is>
          <t>Exchange Rate</t>
        </is>
      </c>
      <c r="F36" s="398" t="inlineStr">
        <is>
          <t>EXG_RATE</t>
        </is>
      </c>
      <c r="G36" s="398" t="inlineStr">
        <is>
          <t>Silver Temp 1 (Tech)</t>
        </is>
      </c>
      <c r="H36" s="397" t="inlineStr">
        <is>
          <t>Ready</t>
        </is>
      </c>
    </row>
    <row r="37" ht="27" customHeight="1" s="335">
      <c r="A37" s="397" t="n">
        <v>33</v>
      </c>
      <c r="B37" s="397" t="inlineStr">
        <is>
          <t>Fresher 5</t>
        </is>
      </c>
      <c r="C37" s="398" t="inlineStr">
        <is>
          <t>Track 5: Accounting &amp; Transactions</t>
        </is>
      </c>
      <c r="D37" s="398" t="inlineStr">
        <is>
          <t>Hạch toán &amp; Giao dịch</t>
        </is>
      </c>
      <c r="E37" s="398" t="inlineStr">
        <is>
          <t>Posting Entry</t>
        </is>
      </c>
      <c r="F37" s="398" t="inlineStr">
        <is>
          <t>PST_ENTR</t>
        </is>
      </c>
      <c r="G37" s="398" t="inlineStr">
        <is>
          <t>Silver Temp 2 (Business)</t>
        </is>
      </c>
      <c r="H37" s="397" t="inlineStr">
        <is>
          <t>Ready</t>
        </is>
      </c>
    </row>
    <row r="38" ht="27" customHeight="1" s="335">
      <c r="A38" s="397" t="n">
        <v>34</v>
      </c>
      <c r="B38" s="397" t="inlineStr">
        <is>
          <t>Fresher 5</t>
        </is>
      </c>
      <c r="C38" s="398" t="inlineStr">
        <is>
          <t>Track 5: Accounting &amp; Transactions</t>
        </is>
      </c>
      <c r="D38" s="398" t="inlineStr">
        <is>
          <t>Hạch toán &amp; Giao dịch</t>
        </is>
      </c>
      <c r="E38" s="398" t="inlineStr">
        <is>
          <t>SAOKE_TINDUNG</t>
        </is>
      </c>
      <c r="F38" s="398" t="inlineStr">
        <is>
          <t>SAOKE_TINDUNG</t>
        </is>
      </c>
      <c r="G38" s="398" t="inlineStr">
        <is>
          <t>Silver Temp 2 (Bank-wised)</t>
        </is>
      </c>
      <c r="H38" s="397" t="inlineStr">
        <is>
          <t>Ready</t>
        </is>
      </c>
    </row>
    <row r="39" ht="27" customHeight="1" s="335">
      <c r="A39" s="397" t="n">
        <v>35</v>
      </c>
      <c r="B39" s="397" t="inlineStr">
        <is>
          <t>Fresher 5</t>
        </is>
      </c>
      <c r="C39" s="398" t="inlineStr">
        <is>
          <t>Track 5: Accounting &amp; Transactions</t>
        </is>
      </c>
      <c r="D39" s="398" t="inlineStr">
        <is>
          <t>Hạch toán &amp; Giao dịch</t>
        </is>
      </c>
      <c r="E39" s="398" t="inlineStr">
        <is>
          <t>CUST_INFO_DAILY</t>
        </is>
      </c>
      <c r="F39" s="398" t="inlineStr">
        <is>
          <t>CUST_INFO_DAILY</t>
        </is>
      </c>
      <c r="G39" s="398" t="inlineStr">
        <is>
          <t>Silver Temp 1 (Tech)</t>
        </is>
      </c>
      <c r="H39" s="397" t="inlineStr">
        <is>
          <t>Ready</t>
        </is>
      </c>
    </row>
    <row r="40" ht="27" customHeight="1" s="335">
      <c r="A40" s="399" t="n">
        <v>36</v>
      </c>
      <c r="B40" s="399" t="inlineStr">
        <is>
          <t>Fresher 6</t>
        </is>
      </c>
      <c r="C40" s="400" t="inlineStr">
        <is>
          <t>Track 6: Balance &amp; Summaries Domain</t>
        </is>
      </c>
      <c r="D40" s="400" t="inlineStr">
        <is>
          <t>Số dư, Doanh số &amp; Quá hạn</t>
        </is>
      </c>
      <c r="E40" s="400" t="inlineStr">
        <is>
          <t>Arrangement Balance</t>
        </is>
      </c>
      <c r="F40" s="400" t="inlineStr">
        <is>
          <t>AR_BAL</t>
        </is>
      </c>
      <c r="G40" s="400" t="inlineStr">
        <is>
          <t>Silver Temp 2 (Bank-wised)</t>
        </is>
      </c>
      <c r="H40" s="399" t="inlineStr">
        <is>
          <t>Ready</t>
        </is>
      </c>
    </row>
    <row r="41" ht="27" customHeight="1" s="335">
      <c r="A41" s="399" t="n">
        <v>37</v>
      </c>
      <c r="B41" s="399" t="inlineStr">
        <is>
          <t>Fresher 6</t>
        </is>
      </c>
      <c r="C41" s="400" t="inlineStr">
        <is>
          <t>Track 6: Balance &amp; Summaries Domain</t>
        </is>
      </c>
      <c r="D41" s="400" t="inlineStr">
        <is>
          <t>Số dư, Doanh số &amp; Quá hạn</t>
        </is>
      </c>
      <c r="E41" s="400" t="inlineStr">
        <is>
          <t>Arrangement Rate History</t>
        </is>
      </c>
      <c r="F41" s="400" t="inlineStr">
        <is>
          <t>AR_RATE_HIST</t>
        </is>
      </c>
      <c r="G41" s="400" t="inlineStr">
        <is>
          <t>Silver Temp 1 (Tech)</t>
        </is>
      </c>
      <c r="H41" s="399" t="inlineStr">
        <is>
          <t>Ready</t>
        </is>
      </c>
    </row>
    <row r="42" ht="27" customHeight="1" s="335">
      <c r="A42" s="399" t="n">
        <v>38</v>
      </c>
      <c r="B42" s="399" t="inlineStr">
        <is>
          <t>Fresher 6</t>
        </is>
      </c>
      <c r="C42" s="400" t="inlineStr">
        <is>
          <t>Track 6: Balance &amp; Summaries Domain</t>
        </is>
      </c>
      <c r="D42" s="400" t="inlineStr">
        <is>
          <t>Số dư, Doanh số &amp; Quá hạn</t>
        </is>
      </c>
      <c r="E42" s="400" t="inlineStr">
        <is>
          <t>Arrangement Delinquency Summary</t>
        </is>
      </c>
      <c r="F42" s="400" t="inlineStr">
        <is>
          <t>AR_DLQ_SMY</t>
        </is>
      </c>
      <c r="G42" s="400" t="inlineStr">
        <is>
          <t>Silver Temp 2 (Bank-wised)</t>
        </is>
      </c>
      <c r="H42" s="399" t="inlineStr">
        <is>
          <t>Ready</t>
        </is>
      </c>
    </row>
    <row r="43" ht="27.75" customHeight="1" s="335">
      <c r="A43" s="399" t="n">
        <v>39</v>
      </c>
      <c r="B43" s="399" t="inlineStr">
        <is>
          <t>Fresher 6</t>
        </is>
      </c>
      <c r="C43" s="400" t="inlineStr">
        <is>
          <t>Track 6: Balance &amp; Summaries Domain</t>
        </is>
      </c>
      <c r="D43" s="400" t="inlineStr">
        <is>
          <t>Số dư, Doanh số &amp; Quá hạn</t>
        </is>
      </c>
      <c r="E43" s="400" t="inlineStr">
        <is>
          <t>Arrangement Turnover Summary</t>
        </is>
      </c>
      <c r="F43" s="400" t="inlineStr">
        <is>
          <t>AR_TVR_SMY</t>
        </is>
      </c>
      <c r="G43" s="400" t="inlineStr">
        <is>
          <t>Silver Temp 2 (Bank-wised)</t>
        </is>
      </c>
      <c r="H43" s="399" t="inlineStr">
        <is>
          <t>Ready</t>
        </is>
      </c>
    </row>
    <row r="44" ht="35.25" customHeight="1" s="335">
      <c r="A44" s="399" t="n">
        <v>40</v>
      </c>
      <c r="B44" s="399" t="inlineStr">
        <is>
          <t>Fresher 6</t>
        </is>
      </c>
      <c r="C44" s="400" t="inlineStr">
        <is>
          <t>Track 6: Balance &amp; Summaries Domain</t>
        </is>
      </c>
      <c r="D44" s="400" t="inlineStr">
        <is>
          <t>Số dư, Doanh số &amp; Quá hạn</t>
        </is>
      </c>
      <c r="E44" s="400" t="inlineStr">
        <is>
          <t>Asset Arrangement Interest Summ</t>
        </is>
      </c>
      <c r="F44" s="400" t="inlineStr">
        <is>
          <t>AST_AR_INT_SMY</t>
        </is>
      </c>
      <c r="G44" s="400" t="inlineStr">
        <is>
          <t>Silver Temp 2 (Bank-wised)</t>
        </is>
      </c>
      <c r="H44" s="399" t="inlineStr">
        <is>
          <t>Ready</t>
        </is>
      </c>
    </row>
    <row r="45" ht="27" customHeight="1" s="335">
      <c r="A45" s="401" t="n">
        <v>41</v>
      </c>
      <c r="B45" s="401" t="inlineStr">
        <is>
          <t>Fresher 7</t>
        </is>
      </c>
      <c r="C45" s="402" t="inlineStr">
        <is>
          <t>Track 7: Data Mart &amp; Star Schema Domain</t>
        </is>
      </c>
      <c r="D45" s="402" t="inlineStr">
        <is>
          <t>Star Schema &amp; Data Mart</t>
        </is>
      </c>
      <c r="E45" s="402" t="inlineStr">
        <is>
          <t>Dimension Customer</t>
        </is>
      </c>
      <c r="F45" s="402" t="inlineStr">
        <is>
          <t>DIM_CST</t>
        </is>
      </c>
      <c r="G45" s="402" t="inlineStr">
        <is>
          <t>Gold / Mart (Optional)</t>
        </is>
      </c>
      <c r="H45" s="401" t="inlineStr">
        <is>
          <t>Ready</t>
        </is>
      </c>
    </row>
    <row r="46" ht="27" customHeight="1" s="335">
      <c r="A46" s="401" t="n">
        <v>42</v>
      </c>
      <c r="B46" s="401" t="inlineStr">
        <is>
          <t>Fresher 7</t>
        </is>
      </c>
      <c r="C46" s="402" t="inlineStr">
        <is>
          <t>Track 7: Data Mart &amp; Star Schema Domain</t>
        </is>
      </c>
      <c r="D46" s="402" t="inlineStr">
        <is>
          <t>Star Schema &amp; Data Mart</t>
        </is>
      </c>
      <c r="E46" s="402" t="inlineStr">
        <is>
          <t>Fact Loan Arrangement</t>
        </is>
      </c>
      <c r="F46" s="402" t="inlineStr">
        <is>
          <t>FCT_LOAN_AR</t>
        </is>
      </c>
      <c r="G46" s="402" t="inlineStr">
        <is>
          <t>Gold / Mart (Optional)</t>
        </is>
      </c>
      <c r="H46" s="401" t="inlineStr">
        <is>
          <t>Ready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2.56" customWidth="1" style="334" min="1" max="1"/>
    <col width="38.44" customWidth="1" style="334" min="2" max="2"/>
    <col width="21.33" customWidth="1" style="334" min="3" max="3"/>
    <col width="45" customWidth="1" style="334" min="4" max="4"/>
    <col width="12" customWidth="1" style="334" min="5" max="5"/>
    <col width="12.56" customWidth="1" style="334" min="6" max="6"/>
    <col width="34.88" customWidth="1" style="334" min="7" max="7"/>
    <col width="14.44" customWidth="1" style="403" min="8" max="8"/>
  </cols>
  <sheetData>
    <row r="1" ht="14.25" customHeight="1" s="335">
      <c r="A1" s="404" t="inlineStr">
        <is>
          <t>SYSTEM_TYPE</t>
        </is>
      </c>
      <c r="B1" s="404" t="inlineStr">
        <is>
          <t>OBJECT_NAME</t>
        </is>
      </c>
      <c r="C1" s="404" t="inlineStr">
        <is>
          <t>GRP_OBJ</t>
        </is>
      </c>
      <c r="D1" s="404" t="inlineStr">
        <is>
          <t>WAITING</t>
        </is>
      </c>
      <c r="E1" s="404" t="inlineStr">
        <is>
          <t>STATUS</t>
        </is>
      </c>
      <c r="F1" s="404" t="inlineStr">
        <is>
          <t>SCHEDULE</t>
        </is>
      </c>
      <c r="G1" s="404" t="inlineStr">
        <is>
          <t>SQL_EXC</t>
        </is>
      </c>
      <c r="H1" s="405" t="inlineStr">
        <is>
          <t>LAST UPDATE</t>
        </is>
      </c>
      <c r="I1" s="404" t="inlineStr">
        <is>
          <t>PIC</t>
        </is>
      </c>
    </row>
    <row r="2" ht="14.25" customHeight="1" s="335">
      <c r="A2" s="385" t="inlineStr">
        <is>
          <t>PG_DWH</t>
        </is>
      </c>
      <c r="B2" s="386" t="inlineStr">
        <is>
          <t>PG_BRONZE.EBANKING_COL_UDF_VALUE</t>
        </is>
      </c>
      <c r="C2" s="386" t="inlineStr">
        <is>
          <t>WAVE_0_BRONZE_1_1</t>
        </is>
      </c>
      <c r="D2" s="386" t="inlineStr">
        <is>
          <t>EBANKING.COL_UDF_VALUE@PGDB</t>
        </is>
      </c>
      <c r="E2" s="385" t="inlineStr">
        <is>
          <t>ACTIVE</t>
        </is>
      </c>
      <c r="F2" s="385" t="inlineStr">
        <is>
          <t>30 0 * * *</t>
        </is>
      </c>
      <c r="G2" s="386" t="inlineStr">
        <is>
          <t>sql/bronze/ebanking_col_udf_value.sql</t>
        </is>
      </c>
      <c r="H2" s="385" t="inlineStr">
        <is>
          <t>2025-11-26</t>
        </is>
      </c>
      <c r="I2" s="386" t="inlineStr">
        <is>
          <t>Fresher 2</t>
        </is>
      </c>
    </row>
    <row r="3" ht="27" customHeight="1" s="335">
      <c r="A3" s="385" t="inlineStr">
        <is>
          <t>PG_DWH</t>
        </is>
      </c>
      <c r="B3" s="386" t="inlineStr">
        <is>
          <t>PG_BRONZE.FLEXBO_PGBLD_CONTRACT_UDFIELD_HIST</t>
        </is>
      </c>
      <c r="C3" s="386" t="inlineStr">
        <is>
          <t>WAVE_0_BRONZE_1_1</t>
        </is>
      </c>
      <c r="D3" s="386" t="inlineStr">
        <is>
          <t>FLEXBO.PGBLD_CONTRACT_UDFIELD_HIST</t>
        </is>
      </c>
      <c r="E3" s="385" t="inlineStr">
        <is>
          <t>ACTIVE</t>
        </is>
      </c>
      <c r="F3" s="385" t="inlineStr">
        <is>
          <t>30 0 * * *</t>
        </is>
      </c>
      <c r="G3" s="386" t="inlineStr">
        <is>
          <t>sql/bronze/flexbo_pgbld_contract_udfield_hist.sql</t>
        </is>
      </c>
      <c r="H3" s="406" t="inlineStr">
        <is>
          <t>2025-11-26</t>
        </is>
      </c>
      <c r="I3" s="386" t="inlineStr">
        <is>
          <t>Fresher 2</t>
        </is>
      </c>
    </row>
    <row r="4" ht="27" customHeight="1" s="335">
      <c r="A4" s="385" t="inlineStr">
        <is>
          <t>PG_DWH</t>
        </is>
      </c>
      <c r="B4" s="386" t="inlineStr">
        <is>
          <t>PG_BRONZE.FLEXBO_PGBLD_RT_CONTRACT_UDFIELD_HIST</t>
        </is>
      </c>
      <c r="C4" s="386" t="inlineStr">
        <is>
          <t>WAVE_0_BRONZE_1_1</t>
        </is>
      </c>
      <c r="D4" s="386" t="inlineStr">
        <is>
          <t>FLEXBO.PGBLD_RT_CONTRACT_UDFIELD_HIST</t>
        </is>
      </c>
      <c r="E4" s="385" t="inlineStr">
        <is>
          <t>ACTIVE</t>
        </is>
      </c>
      <c r="F4" s="385" t="inlineStr">
        <is>
          <t>30 0 * * *</t>
        </is>
      </c>
      <c r="G4" s="386" t="inlineStr">
        <is>
          <t>sql/bronze/flexbo_pgbld_rt_contract_udfield_hist.sql</t>
        </is>
      </c>
      <c r="H4" s="406" t="inlineStr">
        <is>
          <t>2025-11-26</t>
        </is>
      </c>
      <c r="I4" s="386" t="inlineStr">
        <is>
          <t>Fresher 2</t>
        </is>
      </c>
    </row>
    <row r="5" ht="27" customHeight="1" s="335">
      <c r="A5" s="385" t="inlineStr">
        <is>
          <t>PG_DWH</t>
        </is>
      </c>
      <c r="B5" s="386" t="inlineStr">
        <is>
          <t>PG_BRONZE.FLEXBO_PGB_CONTRACT_UDF_MAP</t>
        </is>
      </c>
      <c r="C5" s="386" t="inlineStr">
        <is>
          <t>WAVE_0_BRONZE_1_1</t>
        </is>
      </c>
      <c r="D5" s="386" t="inlineStr">
        <is>
          <t>FLEXBO.PGB_CONTRACT_UDF_MAP</t>
        </is>
      </c>
      <c r="E5" s="385" t="inlineStr">
        <is>
          <t>ACTIVE</t>
        </is>
      </c>
      <c r="F5" s="385" t="inlineStr">
        <is>
          <t>30 0 * * *</t>
        </is>
      </c>
      <c r="G5" s="386" t="inlineStr">
        <is>
          <t>sql/bronze/flexbo_pgb_contract_udf_map.sql</t>
        </is>
      </c>
      <c r="H5" s="406" t="inlineStr">
        <is>
          <t>2025-11-26</t>
        </is>
      </c>
      <c r="I5" s="386" t="inlineStr">
        <is>
          <t>Fresher 2</t>
        </is>
      </c>
    </row>
    <row r="6" ht="27" customHeight="1" s="335">
      <c r="A6" s="385" t="inlineStr">
        <is>
          <t>PG_DWH</t>
        </is>
      </c>
      <c r="B6" s="386" t="inlineStr">
        <is>
          <t>PG_BRONZE.FLEXBO_PGB_LDTB_CONTRACT_MASTER</t>
        </is>
      </c>
      <c r="C6" s="386" t="inlineStr">
        <is>
          <t>WAVE_0_BRONZE_1_1</t>
        </is>
      </c>
      <c r="D6" s="386" t="inlineStr">
        <is>
          <t>FLEXBO.PGB_LDTB_CONTRACT_MASTER</t>
        </is>
      </c>
      <c r="E6" s="385" t="inlineStr">
        <is>
          <t>ACTIVE</t>
        </is>
      </c>
      <c r="F6" s="385" t="inlineStr">
        <is>
          <t>30 0 * * *</t>
        </is>
      </c>
      <c r="G6" s="386" t="inlineStr">
        <is>
          <t>sql/bronze/flexbo_pgb_ldtb_contract_master.sql</t>
        </is>
      </c>
      <c r="H6" s="406" t="inlineStr">
        <is>
          <t>2025-11-26</t>
        </is>
      </c>
      <c r="I6" s="386" t="inlineStr">
        <is>
          <t>Fresher 2</t>
        </is>
      </c>
    </row>
    <row r="7" ht="27" customHeight="1" s="335">
      <c r="A7" s="385" t="inlineStr">
        <is>
          <t>PG_DWH</t>
        </is>
      </c>
      <c r="B7" s="386" t="inlineStr">
        <is>
          <t>PG_BRONZE.FLEXBO_PGB_LOS_CONTRACT_FIELDS_TDATE</t>
        </is>
      </c>
      <c r="C7" s="386" t="inlineStr">
        <is>
          <t>WAVE_0_BRONZE_1_1</t>
        </is>
      </c>
      <c r="D7" s="386" t="inlineStr">
        <is>
          <t>FLEXBO.PGB_LOS_CONTRACT_FIELDS_TDATE</t>
        </is>
      </c>
      <c r="E7" s="385" t="inlineStr">
        <is>
          <t>ACTIVE</t>
        </is>
      </c>
      <c r="F7" s="385" t="inlineStr">
        <is>
          <t>30 0 * * *</t>
        </is>
      </c>
      <c r="G7" s="386" t="inlineStr">
        <is>
          <t>sql/bronze/flexbo_pgb_los_contract_fields_tdate.sql</t>
        </is>
      </c>
      <c r="H7" s="406" t="inlineStr">
        <is>
          <t>2025-11-26</t>
        </is>
      </c>
      <c r="I7" s="386" t="inlineStr">
        <is>
          <t>Fresher 2</t>
        </is>
      </c>
    </row>
    <row r="8" ht="14.25" customHeight="1" s="335">
      <c r="A8" s="385" t="inlineStr">
        <is>
          <t>PG_DWH</t>
        </is>
      </c>
      <c r="B8" s="386" t="inlineStr">
        <is>
          <t>PG_BRONZE.LOS_APP_FACILITY</t>
        </is>
      </c>
      <c r="C8" s="386" t="inlineStr">
        <is>
          <t>WAVE_0_BRONZE_1_1</t>
        </is>
      </c>
      <c r="D8" s="386" t="inlineStr">
        <is>
          <t>LOS_APP.FACILITY@TO_LOS</t>
        </is>
      </c>
      <c r="E8" s="385" t="inlineStr">
        <is>
          <t>ACTIVE</t>
        </is>
      </c>
      <c r="F8" s="385" t="inlineStr">
        <is>
          <t>30 0 * * *</t>
        </is>
      </c>
      <c r="G8" s="386" t="inlineStr">
        <is>
          <t>sql/bronze/los_app_facility.sql</t>
        </is>
      </c>
      <c r="H8" s="406" t="inlineStr">
        <is>
          <t>2025-11-26</t>
        </is>
      </c>
      <c r="I8" s="386" t="inlineStr">
        <is>
          <t>Fresher 2</t>
        </is>
      </c>
    </row>
    <row r="9" ht="27" customHeight="1" s="335">
      <c r="A9" s="385" t="inlineStr">
        <is>
          <t>PG_DWH</t>
        </is>
      </c>
      <c r="B9" s="386" t="inlineStr">
        <is>
          <t>PG_BRONZE.LOS_APP_LOAN_DISBURSEMENT</t>
        </is>
      </c>
      <c r="C9" s="386" t="inlineStr">
        <is>
          <t>WAVE_0_BRONZE_1_1</t>
        </is>
      </c>
      <c r="D9" s="386" t="inlineStr">
        <is>
          <t>LOS_APP.LOAN_DISBURSEMENT@TO_LOS</t>
        </is>
      </c>
      <c r="E9" s="385" t="inlineStr">
        <is>
          <t>ACTIVE</t>
        </is>
      </c>
      <c r="F9" s="385" t="inlineStr">
        <is>
          <t>30 0 * * *</t>
        </is>
      </c>
      <c r="G9" s="386" t="inlineStr">
        <is>
          <t>sql/bronze/los_app_loan_disbursement.sql</t>
        </is>
      </c>
      <c r="H9" s="406" t="inlineStr">
        <is>
          <t>2025-11-26</t>
        </is>
      </c>
      <c r="I9" s="386" t="inlineStr">
        <is>
          <t>Fresher 2</t>
        </is>
      </c>
    </row>
    <row r="10" ht="14.25" customHeight="1" s="335">
      <c r="A10" s="385" t="inlineStr">
        <is>
          <t>PG_DWH</t>
        </is>
      </c>
      <c r="B10" s="386" t="inlineStr">
        <is>
          <t>PG_BRONZE.LOS_APP_PRODUCT</t>
        </is>
      </c>
      <c r="C10" s="386" t="inlineStr">
        <is>
          <t>WAVE_0_BRONZE_1_1</t>
        </is>
      </c>
      <c r="D10" s="386" t="inlineStr">
        <is>
          <t>LOS_APP.PRODUCT@TO_LOS</t>
        </is>
      </c>
      <c r="E10" s="385" t="inlineStr">
        <is>
          <t>ACTIVE</t>
        </is>
      </c>
      <c r="F10" s="385" t="inlineStr">
        <is>
          <t>30 0 * * *</t>
        </is>
      </c>
      <c r="G10" s="386" t="inlineStr">
        <is>
          <t>sql/bronze/los_app_product.sql</t>
        </is>
      </c>
      <c r="H10" s="406" t="inlineStr">
        <is>
          <t>2025-11-26</t>
        </is>
      </c>
      <c r="I10" s="386" t="inlineStr">
        <is>
          <t>Fresher 3</t>
        </is>
      </c>
    </row>
    <row r="11" ht="14.25" customHeight="1" s="335">
      <c r="A11" s="385" t="inlineStr">
        <is>
          <t>PG_DWH</t>
        </is>
      </c>
      <c r="B11" s="386" t="inlineStr">
        <is>
          <t>PG_BRONZE.SMY_STMT_DAILY</t>
        </is>
      </c>
      <c r="C11" s="386" t="inlineStr">
        <is>
          <t>WAVE_0_BRONZE_1_1</t>
        </is>
      </c>
      <c r="D11" s="386" t="inlineStr">
        <is>
          <t>SMY.STMT_DAILY</t>
        </is>
      </c>
      <c r="E11" s="385" t="inlineStr">
        <is>
          <t>ACTIVE</t>
        </is>
      </c>
      <c r="F11" s="385" t="inlineStr">
        <is>
          <t>30 0 * * *</t>
        </is>
      </c>
      <c r="G11" s="386" t="inlineStr">
        <is>
          <t>sql/bronze/smy_stmt_daily.sql</t>
        </is>
      </c>
      <c r="H11" s="406" t="inlineStr">
        <is>
          <t>2025-11-26</t>
        </is>
      </c>
      <c r="I11" s="386" t="inlineStr">
        <is>
          <t>Fresher 5</t>
        </is>
      </c>
    </row>
    <row r="12" ht="14.25" customHeight="1" s="335">
      <c r="A12" s="385" t="inlineStr">
        <is>
          <t>PG_DWH</t>
        </is>
      </c>
      <c r="B12" s="386" t="inlineStr">
        <is>
          <t>PG_BRONZE.SOURCE_SAOKE_CRB</t>
        </is>
      </c>
      <c r="C12" s="386" t="inlineStr">
        <is>
          <t>WAVE_0_BRONZE_1_1</t>
        </is>
      </c>
      <c r="D12" s="386" t="inlineStr">
        <is>
          <t>SOURCE.SAOKE_CRB</t>
        </is>
      </c>
      <c r="E12" s="385" t="inlineStr">
        <is>
          <t>ACTIVE</t>
        </is>
      </c>
      <c r="F12" s="385" t="inlineStr">
        <is>
          <t>30 0 * * *</t>
        </is>
      </c>
      <c r="G12" s="386" t="inlineStr">
        <is>
          <t>sql/bronze/source_saoke_crb.sql</t>
        </is>
      </c>
      <c r="H12" s="406" t="inlineStr">
        <is>
          <t>2025-11-26</t>
        </is>
      </c>
      <c r="I12" s="386" t="inlineStr">
        <is>
          <t>Fresher 6</t>
        </is>
      </c>
    </row>
    <row r="13" ht="14.25" customHeight="1" s="335">
      <c r="A13" s="385" t="inlineStr">
        <is>
          <t>PG_DWH</t>
        </is>
      </c>
      <c r="B13" s="386" t="inlineStr">
        <is>
          <t>PG_BRONZE.SOURCE_SAOKE_MVMT</t>
        </is>
      </c>
      <c r="C13" s="386" t="inlineStr">
        <is>
          <t>WAVE_0_BRONZE_1_1</t>
        </is>
      </c>
      <c r="D13" s="386" t="inlineStr">
        <is>
          <t>SOURCE.SAOKE_MVMT</t>
        </is>
      </c>
      <c r="E13" s="385" t="inlineStr">
        <is>
          <t>ACTIVE</t>
        </is>
      </c>
      <c r="F13" s="385" t="inlineStr">
        <is>
          <t>30 0 * * *</t>
        </is>
      </c>
      <c r="G13" s="386" t="inlineStr">
        <is>
          <t>sql/bronze/source_saoke_mvmt.sql</t>
        </is>
      </c>
      <c r="H13" s="406" t="inlineStr">
        <is>
          <t>2025-11-26</t>
        </is>
      </c>
      <c r="I13" s="386" t="inlineStr">
        <is>
          <t>Fresher 2</t>
        </is>
      </c>
    </row>
    <row r="14" ht="14.25" customHeight="1" s="335">
      <c r="A14" s="385" t="inlineStr">
        <is>
          <t>PG_DWH</t>
        </is>
      </c>
      <c r="B14" s="386" t="inlineStr">
        <is>
          <t>PG_BRONZE.T24CORE_COMPANY</t>
        </is>
      </c>
      <c r="C14" s="386" t="inlineStr">
        <is>
          <t>WAVE_0_BRONZE_1_1</t>
        </is>
      </c>
      <c r="D14" s="386" t="inlineStr">
        <is>
          <t>T24CORE.COMPANY</t>
        </is>
      </c>
      <c r="E14" s="385" t="inlineStr">
        <is>
          <t>ACTIVE</t>
        </is>
      </c>
      <c r="F14" s="385" t="inlineStr">
        <is>
          <t>30 0 * * *</t>
        </is>
      </c>
      <c r="G14" s="386" t="inlineStr">
        <is>
          <t>sql/bronze/t24core_company.sql</t>
        </is>
      </c>
      <c r="H14" s="406" t="inlineStr">
        <is>
          <t>2025-11-26</t>
        </is>
      </c>
      <c r="I14" s="386" t="inlineStr">
        <is>
          <t>Fresher 3</t>
        </is>
      </c>
    </row>
    <row r="15" ht="14.25" customHeight="1" s="335">
      <c r="A15" s="385" t="inlineStr">
        <is>
          <t>PG_DWH</t>
        </is>
      </c>
      <c r="B15" s="386" t="inlineStr">
        <is>
          <t>PG_BRONZE.T24CORE_CURRENCY</t>
        </is>
      </c>
      <c r="C15" s="386" t="inlineStr">
        <is>
          <t>WAVE_0_BRONZE_1_1</t>
        </is>
      </c>
      <c r="D15" s="386" t="inlineStr">
        <is>
          <t>T24CORE.CURRENCY</t>
        </is>
      </c>
      <c r="E15" s="385" t="inlineStr">
        <is>
          <t>ACTIVE</t>
        </is>
      </c>
      <c r="F15" s="385" t="inlineStr">
        <is>
          <t>30 0 * * *</t>
        </is>
      </c>
      <c r="G15" s="386" t="inlineStr">
        <is>
          <t>sql/bronze/t24core_currency.sql</t>
        </is>
      </c>
      <c r="H15" s="406" t="inlineStr">
        <is>
          <t>2025-11-26</t>
        </is>
      </c>
      <c r="I15" s="386" t="inlineStr">
        <is>
          <t>Fresher 3</t>
        </is>
      </c>
    </row>
    <row r="16" ht="14.25" customHeight="1" s="335">
      <c r="A16" s="385" t="inlineStr">
        <is>
          <t>PG_DWH</t>
        </is>
      </c>
      <c r="B16" s="386" t="inlineStr">
        <is>
          <t>PG_BRONZE.T24CORE_CURRENCY_HIS</t>
        </is>
      </c>
      <c r="C16" s="386" t="inlineStr">
        <is>
          <t>WAVE_0_BRONZE_1_1</t>
        </is>
      </c>
      <c r="D16" s="386" t="inlineStr">
        <is>
          <t>T24CORE.CURRENCY_HIS</t>
        </is>
      </c>
      <c r="E16" s="385" t="inlineStr">
        <is>
          <t>ACTIVE</t>
        </is>
      </c>
      <c r="F16" s="385" t="inlineStr">
        <is>
          <t>30 0 * * *</t>
        </is>
      </c>
      <c r="G16" s="386" t="inlineStr">
        <is>
          <t>sql/bronze/t24core_currency_his.sql</t>
        </is>
      </c>
      <c r="H16" s="406" t="inlineStr">
        <is>
          <t>2025-11-26</t>
        </is>
      </c>
      <c r="I16" s="386" t="inlineStr">
        <is>
          <t>Fresher 5</t>
        </is>
      </c>
    </row>
    <row r="17" ht="14.25" customHeight="1" s="335">
      <c r="A17" s="385" t="inlineStr">
        <is>
          <t>PG_DWH</t>
        </is>
      </c>
      <c r="B17" s="386" t="inlineStr">
        <is>
          <t>PG_BRONZE.T24CORE_CUSTOMER</t>
        </is>
      </c>
      <c r="C17" s="386" t="inlineStr">
        <is>
          <t>WAVE_0_BRONZE_1_1</t>
        </is>
      </c>
      <c r="D17" s="386" t="inlineStr">
        <is>
          <t>T24CORE.CUSTOMER</t>
        </is>
      </c>
      <c r="E17" s="385" t="inlineStr">
        <is>
          <t>ACTIVE</t>
        </is>
      </c>
      <c r="F17" s="385" t="inlineStr">
        <is>
          <t>30 0 * * *</t>
        </is>
      </c>
      <c r="G17" s="386" t="inlineStr">
        <is>
          <t>sql/bronze/t24core_customer.sql</t>
        </is>
      </c>
      <c r="H17" s="406" t="inlineStr">
        <is>
          <t>2025-11-26</t>
        </is>
      </c>
      <c r="I17" s="386" t="inlineStr">
        <is>
          <t>Fresher 1</t>
        </is>
      </c>
    </row>
    <row r="18" ht="14.25" customHeight="1" s="335">
      <c r="A18" s="385" t="inlineStr">
        <is>
          <t>PG_DWH</t>
        </is>
      </c>
      <c r="B18" s="386" t="inlineStr">
        <is>
          <t>PG_BRONZE.T24CORE_DEPT_ACCT_OFFICER</t>
        </is>
      </c>
      <c r="C18" s="386" t="inlineStr">
        <is>
          <t>WAVE_0_BRONZE_1_1</t>
        </is>
      </c>
      <c r="D18" s="386" t="inlineStr">
        <is>
          <t>T24CORE.DEPT_ACCT_OFFICER</t>
        </is>
      </c>
      <c r="E18" s="385" t="inlineStr">
        <is>
          <t>ACTIVE</t>
        </is>
      </c>
      <c r="F18" s="385" t="inlineStr">
        <is>
          <t>30 0 * * *</t>
        </is>
      </c>
      <c r="G18" s="386" t="inlineStr">
        <is>
          <t>sql/bronze/t24core_dept_acct_officer.sql</t>
        </is>
      </c>
      <c r="H18" s="406" t="inlineStr">
        <is>
          <t>2025-11-26</t>
        </is>
      </c>
      <c r="I18" s="386" t="inlineStr">
        <is>
          <t>Fresher 3</t>
        </is>
      </c>
    </row>
    <row r="19" ht="27" customHeight="1" s="335">
      <c r="A19" s="385" t="inlineStr">
        <is>
          <t>PG_DWH</t>
        </is>
      </c>
      <c r="B19" s="386" t="inlineStr">
        <is>
          <t>PG_BRONZE.T24CORE_LD_LOANS_AND_DEPOSITS</t>
        </is>
      </c>
      <c r="C19" s="386" t="inlineStr">
        <is>
          <t>WAVE_0_BRONZE_1_1</t>
        </is>
      </c>
      <c r="D19" s="386" t="inlineStr">
        <is>
          <t>T24CORE.LD_LOANS_AND_DEPOSITS</t>
        </is>
      </c>
      <c r="E19" s="385" t="inlineStr">
        <is>
          <t>ACTIVE</t>
        </is>
      </c>
      <c r="F19" s="385" t="inlineStr">
        <is>
          <t>30 0 * * *</t>
        </is>
      </c>
      <c r="G19" s="386" t="inlineStr">
        <is>
          <t>sql/bronze/t24core_ld_loans_and_deposits.sql</t>
        </is>
      </c>
      <c r="H19" s="406" t="inlineStr">
        <is>
          <t>2025-11-26</t>
        </is>
      </c>
      <c r="I19" s="386" t="inlineStr">
        <is>
          <t>Fresher 2</t>
        </is>
      </c>
    </row>
    <row r="20" ht="27" customHeight="1" s="335">
      <c r="A20" s="385" t="inlineStr">
        <is>
          <t>PG_DWH</t>
        </is>
      </c>
      <c r="B20" s="386" t="inlineStr">
        <is>
          <t>PG_BRONZE.T24CORE_LD_LOANS_AND_DEPOSITS_HIS</t>
        </is>
      </c>
      <c r="C20" s="386" t="inlineStr">
        <is>
          <t>WAVE_0_BRONZE_1_1</t>
        </is>
      </c>
      <c r="D20" s="386" t="inlineStr">
        <is>
          <t>T24CORE.LD_LOANS_AND_DEPOSITS_HIS</t>
        </is>
      </c>
      <c r="E20" s="385" t="inlineStr">
        <is>
          <t>ACTIVE</t>
        </is>
      </c>
      <c r="F20" s="385" t="inlineStr">
        <is>
          <t>30 0 * * *</t>
        </is>
      </c>
      <c r="G20" s="386" t="inlineStr">
        <is>
          <t>sql/bronze/t24core_ld_loans_and_deposits_his.sql</t>
        </is>
      </c>
      <c r="H20" s="406" t="inlineStr">
        <is>
          <t>2025-11-26</t>
        </is>
      </c>
      <c r="I20" s="386" t="inlineStr">
        <is>
          <t>Fresher 2</t>
        </is>
      </c>
    </row>
    <row r="21" ht="27" customHeight="1" s="335">
      <c r="A21" s="385" t="inlineStr">
        <is>
          <t>PG_DWH</t>
        </is>
      </c>
      <c r="B21" s="386" t="inlineStr">
        <is>
          <t>PG_BRONZE.T24CORE_LD_SCHEDULE_DEFINE_MV</t>
        </is>
      </c>
      <c r="C21" s="386" t="inlineStr">
        <is>
          <t>WAVE_0_BRONZE_1_1</t>
        </is>
      </c>
      <c r="D21" s="386" t="inlineStr">
        <is>
          <t>T24CORE.LD_SCHEDULE_DEFINE_MV</t>
        </is>
      </c>
      <c r="E21" s="385" t="inlineStr">
        <is>
          <t>ACTIVE</t>
        </is>
      </c>
      <c r="F21" s="385" t="inlineStr">
        <is>
          <t>30 0 * * *</t>
        </is>
      </c>
      <c r="G21" s="386" t="inlineStr">
        <is>
          <t>sql/bronze/t24core_ld_schedule_define_mv.sql</t>
        </is>
      </c>
      <c r="H21" s="406" t="inlineStr">
        <is>
          <t>2025-11-26</t>
        </is>
      </c>
      <c r="I21" s="386" t="inlineStr">
        <is>
          <t>Fresher 4</t>
        </is>
      </c>
    </row>
    <row r="22" ht="14.25" customHeight="1" s="335">
      <c r="A22" s="385" t="inlineStr">
        <is>
          <t>PG_DWH</t>
        </is>
      </c>
      <c r="B22" s="386" t="inlineStr">
        <is>
          <t>PG_BRONZE.T24CORE_LIMIT</t>
        </is>
      </c>
      <c r="C22" s="386" t="inlineStr">
        <is>
          <t>WAVE_0_BRONZE_1_1</t>
        </is>
      </c>
      <c r="D22" s="386" t="inlineStr">
        <is>
          <t>T24CORE.LIMIT</t>
        </is>
      </c>
      <c r="E22" s="385" t="inlineStr">
        <is>
          <t>ACTIVE</t>
        </is>
      </c>
      <c r="F22" s="385" t="inlineStr">
        <is>
          <t>30 0 * * *</t>
        </is>
      </c>
      <c r="G22" s="386" t="inlineStr">
        <is>
          <t>sql/bronze/t24core_limit.sql</t>
        </is>
      </c>
      <c r="H22" s="385" t="inlineStr">
        <is>
          <t>2025-11-26</t>
        </is>
      </c>
      <c r="I22" s="386" t="inlineStr">
        <is>
          <t>Fresher 3</t>
        </is>
      </c>
    </row>
    <row r="23" ht="27" customHeight="1" s="335">
      <c r="A23" s="385" t="inlineStr">
        <is>
          <t>PG_DWH</t>
        </is>
      </c>
      <c r="B23" s="386" t="inlineStr">
        <is>
          <t>PG_BRONZE.T24CORE_MB_MG_SAVING_MULTI</t>
        </is>
      </c>
      <c r="C23" s="386" t="inlineStr">
        <is>
          <t>WAVE_0_BRONZE_1_1</t>
        </is>
      </c>
      <c r="D23" s="386" t="inlineStr">
        <is>
          <t>T24CORE.MB_MG_SAVING_MULTI</t>
        </is>
      </c>
      <c r="E23" s="385" t="inlineStr">
        <is>
          <t>ACTIVE</t>
        </is>
      </c>
      <c r="F23" s="385" t="inlineStr">
        <is>
          <t>30 0 * * *</t>
        </is>
      </c>
      <c r="G23" s="386" t="inlineStr">
        <is>
          <t>sql/bronze/t24core_mb_mg_saving_multi.sql</t>
        </is>
      </c>
      <c r="H23" s="385" t="inlineStr">
        <is>
          <t>2025-11-26</t>
        </is>
      </c>
      <c r="I23" s="386" t="inlineStr">
        <is>
          <t>Fresher 2</t>
        </is>
      </c>
    </row>
    <row r="24" ht="14.25" customHeight="1" s="335">
      <c r="A24" s="385" t="inlineStr">
        <is>
          <t>PG_DWH</t>
        </is>
      </c>
      <c r="B24" s="386" t="inlineStr">
        <is>
          <t>PG_BRONZE.T24CORE_PD_PAYMENT_DUE</t>
        </is>
      </c>
      <c r="C24" s="386" t="inlineStr">
        <is>
          <t>WAVE_0_BRONZE_1_1</t>
        </is>
      </c>
      <c r="D24" s="386" t="inlineStr">
        <is>
          <t>T24CORE.PD_PAYMENT_DUE</t>
        </is>
      </c>
      <c r="E24" s="385" t="inlineStr">
        <is>
          <t>ACTIVE</t>
        </is>
      </c>
      <c r="F24" s="385" t="inlineStr">
        <is>
          <t>30 0 * * *</t>
        </is>
      </c>
      <c r="G24" s="386" t="inlineStr">
        <is>
          <t>sql/bronze/t24core_pd_payment_due.sql</t>
        </is>
      </c>
      <c r="H24" s="385" t="inlineStr">
        <is>
          <t>2025-11-26</t>
        </is>
      </c>
      <c r="I24" s="386" t="inlineStr">
        <is>
          <t>Fresher 2</t>
        </is>
      </c>
    </row>
    <row r="25" ht="27" customHeight="1" s="335">
      <c r="A25" s="385" t="inlineStr">
        <is>
          <t>PG_DWH</t>
        </is>
      </c>
      <c r="B25" s="386" t="inlineStr">
        <is>
          <t>PG_BRONZE.T24CORE_PD_PAYMENT_DUE_HIS</t>
        </is>
      </c>
      <c r="C25" s="386" t="inlineStr">
        <is>
          <t>WAVE_0_BRONZE_1_1</t>
        </is>
      </c>
      <c r="D25" s="386" t="inlineStr">
        <is>
          <t>T24CORE.PD_PAYMENT_DUE_HIS</t>
        </is>
      </c>
      <c r="E25" s="385" t="inlineStr">
        <is>
          <t>ACTIVE</t>
        </is>
      </c>
      <c r="F25" s="385" t="inlineStr">
        <is>
          <t>30 0 * * *</t>
        </is>
      </c>
      <c r="G25" s="386" t="inlineStr">
        <is>
          <t>sql/bronze/t24core_pd_payment_due_his.sql</t>
        </is>
      </c>
      <c r="H25" s="385" t="inlineStr">
        <is>
          <t>2025-11-26</t>
        </is>
      </c>
      <c r="I25" s="386" t="inlineStr">
        <is>
          <t>Fresher 4</t>
        </is>
      </c>
    </row>
    <row r="26" ht="27" customHeight="1" s="335">
      <c r="A26" s="385" t="inlineStr">
        <is>
          <t>PG_DWH</t>
        </is>
      </c>
      <c r="B26" s="386" t="inlineStr">
        <is>
          <t>PG_BRONZE.T24CORE_PD_PAYMENT_DUE_HIS_MV</t>
        </is>
      </c>
      <c r="C26" s="386" t="inlineStr">
        <is>
          <t>WAVE_0_BRONZE_1_1</t>
        </is>
      </c>
      <c r="D26" s="386" t="inlineStr">
        <is>
          <t>T24CORE.PD_PAYMENT_DUE_HIS_MV</t>
        </is>
      </c>
      <c r="E26" s="385" t="inlineStr">
        <is>
          <t>ACTIVE</t>
        </is>
      </c>
      <c r="F26" s="385" t="inlineStr">
        <is>
          <t>30 0 * * *</t>
        </is>
      </c>
      <c r="G26" s="386" t="inlineStr">
        <is>
          <t>sql/bronze/t24core_pd_payment_due_his_mv.sql</t>
        </is>
      </c>
      <c r="H26" s="385" t="inlineStr">
        <is>
          <t>2025-11-26</t>
        </is>
      </c>
      <c r="I26" s="386" t="inlineStr">
        <is>
          <t>Fresher 6</t>
        </is>
      </c>
    </row>
    <row r="27" ht="27" customHeight="1" s="335">
      <c r="A27" s="385" t="inlineStr">
        <is>
          <t>PG_DWH</t>
        </is>
      </c>
      <c r="B27" s="386" t="inlineStr">
        <is>
          <t>PG_BRONZE.T24CORE_PD_PAYMENT_DUE_MV</t>
        </is>
      </c>
      <c r="C27" s="386" t="inlineStr">
        <is>
          <t>WAVE_0_BRONZE_1_1</t>
        </is>
      </c>
      <c r="D27" s="386" t="inlineStr">
        <is>
          <t>T24CORE.PD_PAYMENT_DUE_MV</t>
        </is>
      </c>
      <c r="E27" s="385" t="inlineStr">
        <is>
          <t>ACTIVE</t>
        </is>
      </c>
      <c r="F27" s="385" t="inlineStr">
        <is>
          <t>30 0 * * *</t>
        </is>
      </c>
      <c r="G27" s="386" t="inlineStr">
        <is>
          <t>sql/bronze/t24core_pd_payment_due_mv.sql</t>
        </is>
      </c>
      <c r="H27" s="385" t="inlineStr">
        <is>
          <t>2025-11-26</t>
        </is>
      </c>
      <c r="I27" s="386" t="inlineStr">
        <is>
          <t>Fresher 4</t>
        </is>
      </c>
    </row>
    <row r="28" ht="14.25" customHeight="1" s="335">
      <c r="A28" s="385" t="inlineStr">
        <is>
          <t>PG_DWH</t>
        </is>
      </c>
      <c r="B28" s="386" t="inlineStr">
        <is>
          <t>PG_BRONZE.T24CORE_SECTOR</t>
        </is>
      </c>
      <c r="C28" s="386" t="inlineStr">
        <is>
          <t>WAVE_0_BRONZE_1_1</t>
        </is>
      </c>
      <c r="D28" s="386" t="inlineStr">
        <is>
          <t>T24CORE.SECTOR</t>
        </is>
      </c>
      <c r="E28" s="385" t="inlineStr">
        <is>
          <t>ACTIVE</t>
        </is>
      </c>
      <c r="F28" s="385" t="inlineStr">
        <is>
          <t>30 0 * * *</t>
        </is>
      </c>
      <c r="G28" s="386" t="inlineStr">
        <is>
          <t>sql/bronze/t24core_sector.sql</t>
        </is>
      </c>
      <c r="H28" s="385" t="inlineStr">
        <is>
          <t>2025-11-26</t>
        </is>
      </c>
      <c r="I28" s="386" t="inlineStr">
        <is>
          <t>Fresher 1</t>
        </is>
      </c>
    </row>
    <row r="29" ht="14.25" customHeight="1" s="335">
      <c r="A29" s="385" t="inlineStr">
        <is>
          <t>PG_DWH</t>
        </is>
      </c>
      <c r="B29" s="386" t="inlineStr">
        <is>
          <t>PG_BRONZE.T24CORE_STMT_ENTRY</t>
        </is>
      </c>
      <c r="C29" s="386" t="inlineStr">
        <is>
          <t>WAVE_0_BRONZE_1_1</t>
        </is>
      </c>
      <c r="D29" s="386" t="inlineStr">
        <is>
          <t>T24CORE.STMT_ENTRY</t>
        </is>
      </c>
      <c r="E29" s="385" t="inlineStr">
        <is>
          <t>ACTIVE</t>
        </is>
      </c>
      <c r="F29" s="385" t="inlineStr">
        <is>
          <t>30 0 * * *</t>
        </is>
      </c>
      <c r="G29" s="386" t="inlineStr">
        <is>
          <t>sql/bronze/t24core_stmt_entry.sql</t>
        </is>
      </c>
      <c r="H29" s="385" t="inlineStr">
        <is>
          <t>2025-11-26</t>
        </is>
      </c>
      <c r="I29" s="386" t="inlineStr">
        <is>
          <t>Fresher 5</t>
        </is>
      </c>
    </row>
    <row r="30" ht="14.25" customHeight="1" s="335">
      <c r="A30" s="385" t="inlineStr">
        <is>
          <t>PG_DWH</t>
        </is>
      </c>
      <c r="B30" s="386" t="inlineStr">
        <is>
          <t>PG_SILVER.IP_ALT_IDENTN</t>
        </is>
      </c>
      <c r="C30" s="386" t="inlineStr">
        <is>
          <t>WAVE_1_SILVER_TEMP1</t>
        </is>
      </c>
      <c r="D30" s="386" t="inlineStr">
        <is>
          <t>PG_BRONZE.T24CORE_CUSTOMER</t>
        </is>
      </c>
      <c r="E30" s="385" t="inlineStr">
        <is>
          <t>ACTIVE</t>
        </is>
      </c>
      <c r="F30" s="385" t="inlineStr">
        <is>
          <t>0 1 * * *</t>
        </is>
      </c>
      <c r="G30" s="386" t="inlineStr">
        <is>
          <t>sql/silver_temp1/ip_alt_identn.sql</t>
        </is>
      </c>
      <c r="H30" s="385" t="inlineStr">
        <is>
          <t>2025-11-26</t>
        </is>
      </c>
      <c r="I30" s="386" t="inlineStr">
        <is>
          <t>Fresher 1</t>
        </is>
      </c>
    </row>
    <row r="31" ht="14.25" customHeight="1" s="335">
      <c r="A31" s="385" t="inlineStr">
        <is>
          <t>PG_DWH</t>
        </is>
      </c>
      <c r="B31" s="386" t="inlineStr">
        <is>
          <t>PG_SILVER.IP_ELC_ADR</t>
        </is>
      </c>
      <c r="C31" s="386" t="inlineStr">
        <is>
          <t>WAVE_1_SILVER_TEMP1</t>
        </is>
      </c>
      <c r="D31" s="386" t="inlineStr">
        <is>
          <t>PG_BRONZE.T24CORE_CUSTOMER</t>
        </is>
      </c>
      <c r="E31" s="385" t="inlineStr">
        <is>
          <t>ACTIVE</t>
        </is>
      </c>
      <c r="F31" s="385" t="inlineStr">
        <is>
          <t>0 1 * * *</t>
        </is>
      </c>
      <c r="G31" s="386" t="inlineStr">
        <is>
          <t>sql/silver_temp1/ip_elc_adr.sql</t>
        </is>
      </c>
      <c r="H31" s="385" t="inlineStr">
        <is>
          <t>2025-11-26</t>
        </is>
      </c>
      <c r="I31" s="386" t="inlineStr">
        <is>
          <t>Fresher 1</t>
        </is>
      </c>
    </row>
    <row r="32" ht="14.25" customHeight="1" s="335">
      <c r="A32" s="385" t="inlineStr">
        <is>
          <t>PG_DWH</t>
        </is>
      </c>
      <c r="B32" s="386" t="inlineStr">
        <is>
          <t>PG_SILVER.IP_PST_ADR</t>
        </is>
      </c>
      <c r="C32" s="386" t="inlineStr">
        <is>
          <t>WAVE_1_SILVER_TEMP1</t>
        </is>
      </c>
      <c r="D32" s="386" t="inlineStr">
        <is>
          <t>PG_BRONZE.T24CORE_CUSTOMER</t>
        </is>
      </c>
      <c r="E32" s="385" t="inlineStr">
        <is>
          <t>ACTIVE</t>
        </is>
      </c>
      <c r="F32" s="385" t="inlineStr">
        <is>
          <t>0 1 * * *</t>
        </is>
      </c>
      <c r="G32" s="386" t="inlineStr">
        <is>
          <t>sql/silver_temp1/ip_pst_adr.sql</t>
        </is>
      </c>
      <c r="H32" s="385" t="inlineStr">
        <is>
          <t>2025-11-26</t>
        </is>
      </c>
      <c r="I32" s="386" t="inlineStr">
        <is>
          <t>Fresher 1</t>
        </is>
      </c>
    </row>
    <row r="33" ht="14.25" customHeight="1" s="335">
      <c r="A33" s="385" t="inlineStr">
        <is>
          <t>PG_DWH</t>
        </is>
      </c>
      <c r="B33" s="386" t="inlineStr">
        <is>
          <t>PG_SILVER.CCY</t>
        </is>
      </c>
      <c r="C33" s="386" t="inlineStr">
        <is>
          <t>WAVE_1_SILVER_TEMP1</t>
        </is>
      </c>
      <c r="D33" s="386" t="inlineStr">
        <is>
          <t>PG_BRONZE.T24CORE_CURRENCY</t>
        </is>
      </c>
      <c r="E33" s="385" t="inlineStr">
        <is>
          <t>ACTIVE</t>
        </is>
      </c>
      <c r="F33" s="385" t="inlineStr">
        <is>
          <t>0 1 * * *</t>
        </is>
      </c>
      <c r="G33" s="386" t="inlineStr">
        <is>
          <t>sql/silver_temp1/ccy.sql</t>
        </is>
      </c>
      <c r="H33" s="385" t="inlineStr">
        <is>
          <t>2025-11-26</t>
        </is>
      </c>
      <c r="I33" s="386" t="inlineStr">
        <is>
          <t>Fresher 3</t>
        </is>
      </c>
    </row>
    <row r="34" ht="14.25" customHeight="1" s="335">
      <c r="A34" s="385" t="inlineStr">
        <is>
          <t>PG_DWH</t>
        </is>
      </c>
      <c r="B34" s="386" t="inlineStr">
        <is>
          <t>PG_SILVER.PD</t>
        </is>
      </c>
      <c r="C34" s="386" t="inlineStr">
        <is>
          <t>WAVE_1_SILVER_TEMP1</t>
        </is>
      </c>
      <c r="D34" s="386" t="inlineStr">
        <is>
          <t>PG_BRONZE.LOS_APP_PRODUCT, PG_BRONZE.FLEXBO_PGB_LOS_CONTRACT_FIELDS_TDATE, PG_BRONZE.T24CORE_LD_LOANS_AND_DEPOSITS</t>
        </is>
      </c>
      <c r="E34" s="385" t="inlineStr">
        <is>
          <t>ACTIVE</t>
        </is>
      </c>
      <c r="F34" s="385" t="inlineStr">
        <is>
          <t>0 1 * * *</t>
        </is>
      </c>
      <c r="G34" s="386" t="inlineStr">
        <is>
          <t>sql/silver_temp1/pd.sql</t>
        </is>
      </c>
      <c r="H34" s="385" t="inlineStr">
        <is>
          <t>2025-11-26</t>
        </is>
      </c>
      <c r="I34" s="386" t="inlineStr">
        <is>
          <t>Fresher 3</t>
        </is>
      </c>
    </row>
    <row r="35" ht="14.25" customHeight="1" s="335">
      <c r="A35" s="385" t="inlineStr">
        <is>
          <t>PG_DWH</t>
        </is>
      </c>
      <c r="B35" s="386" t="inlineStr">
        <is>
          <t>PG_SILVER.OU</t>
        </is>
      </c>
      <c r="C35" s="386" t="inlineStr">
        <is>
          <t>WAVE_1_SILVER_TEMP1</t>
        </is>
      </c>
      <c r="D35" s="386" t="inlineStr">
        <is>
          <t>PG_BRONZE.T24CORE_COMPANY</t>
        </is>
      </c>
      <c r="E35" s="385" t="inlineStr">
        <is>
          <t>ACTIVE</t>
        </is>
      </c>
      <c r="F35" s="385" t="inlineStr">
        <is>
          <t>0 1 * * *</t>
        </is>
      </c>
      <c r="G35" s="386" t="inlineStr">
        <is>
          <t>sql/silver_temp1/ou.sql</t>
        </is>
      </c>
      <c r="H35" s="385" t="inlineStr">
        <is>
          <t>2025-11-26</t>
        </is>
      </c>
      <c r="I35" s="386" t="inlineStr">
        <is>
          <t>Fresher 3</t>
        </is>
      </c>
    </row>
    <row r="36" ht="14.25" customHeight="1" s="335">
      <c r="A36" s="385" t="inlineStr">
        <is>
          <t>PG_DWH</t>
        </is>
      </c>
      <c r="B36" s="386" t="inlineStr">
        <is>
          <t>PG_SILVER.EMPE</t>
        </is>
      </c>
      <c r="C36" s="386" t="inlineStr">
        <is>
          <t>WAVE_1_SILVER_TEMP1</t>
        </is>
      </c>
      <c r="D36" s="386" t="inlineStr">
        <is>
          <t>PG_BRONZE.T24CORE_DEPT_ACCT_OFFICER</t>
        </is>
      </c>
      <c r="E36" s="385" t="inlineStr">
        <is>
          <t>ACTIVE</t>
        </is>
      </c>
      <c r="F36" s="385" t="inlineStr">
        <is>
          <t>0 1 * * *</t>
        </is>
      </c>
      <c r="G36" s="386" t="inlineStr">
        <is>
          <t>sql/silver_temp1/empe.sql</t>
        </is>
      </c>
      <c r="H36" s="385" t="inlineStr">
        <is>
          <t>2025-11-26</t>
        </is>
      </c>
      <c r="I36" s="386" t="inlineStr">
        <is>
          <t>Fresher 3</t>
        </is>
      </c>
    </row>
    <row r="37" ht="14.25" customHeight="1" s="335">
      <c r="A37" s="385" t="inlineStr">
        <is>
          <t>PG_DWH</t>
        </is>
      </c>
      <c r="B37" s="386" t="inlineStr">
        <is>
          <t>PG_SILVER.LMT</t>
        </is>
      </c>
      <c r="C37" s="386" t="inlineStr">
        <is>
          <t>WAVE_1_SILVER_TEMP1</t>
        </is>
      </c>
      <c r="D37" s="386" t="inlineStr">
        <is>
          <t>PG_BRONZE.T24CORE_LIMIT</t>
        </is>
      </c>
      <c r="E37" s="385" t="inlineStr">
        <is>
          <t>ACTIVE</t>
        </is>
      </c>
      <c r="F37" s="385" t="inlineStr">
        <is>
          <t>0 1 * * *</t>
        </is>
      </c>
      <c r="G37" s="386" t="inlineStr">
        <is>
          <t>sql/silver_temp1/lmt.sql</t>
        </is>
      </c>
      <c r="H37" s="385" t="inlineStr">
        <is>
          <t>2025-11-26</t>
        </is>
      </c>
      <c r="I37" s="386" t="inlineStr">
        <is>
          <t>Fresher 3</t>
        </is>
      </c>
    </row>
    <row r="38" ht="14.25" customHeight="1" s="335">
      <c r="A38" s="385" t="inlineStr">
        <is>
          <t>PG_DWH</t>
        </is>
      </c>
      <c r="B38" s="386" t="inlineStr">
        <is>
          <t>PG_SILVER.CV</t>
        </is>
      </c>
      <c r="C38" s="386" t="inlineStr">
        <is>
          <t>WAVE_1_SILVER_TEMP1</t>
        </is>
      </c>
      <c r="D38" s="386" t="inlineStr">
        <is>
          <t>PG_BRONZE.FLEXBO_PGBLD_RT_CONTRACT_UDFIELD_HIST, PG_BRONZE.T24CORE_CUSTOMER</t>
        </is>
      </c>
      <c r="E38" s="385" t="inlineStr">
        <is>
          <t>ACTIVE</t>
        </is>
      </c>
      <c r="F38" s="385" t="inlineStr">
        <is>
          <t>0 1 * * *</t>
        </is>
      </c>
      <c r="G38" s="386" t="inlineStr">
        <is>
          <t>sql/silver_temp1/cv.sql</t>
        </is>
      </c>
      <c r="H38" s="385" t="inlineStr">
        <is>
          <t>2025-11-26</t>
        </is>
      </c>
      <c r="I38" s="386" t="inlineStr">
        <is>
          <t>Fresher 3</t>
        </is>
      </c>
    </row>
    <row r="39" ht="27" customHeight="1" s="335">
      <c r="A39" s="385" t="inlineStr">
        <is>
          <t>PG_DWH</t>
        </is>
      </c>
      <c r="B39" s="386" t="inlineStr">
        <is>
          <t>PG_SILVER.sk_lich_tra_no</t>
        </is>
      </c>
      <c r="C39" s="386" t="inlineStr">
        <is>
          <t>WAVE_1_SILVER_TEMP1</t>
        </is>
      </c>
      <c r="D39" s="386" t="inlineStr">
        <is>
          <t>PG_BRONZE.T24CORE_LD_LOANS_AND_DEPOSITS, PG_BRONZE.T24CORE_LD_LOANS_AND_DEPOSITS_HIS, PG_BRONZE.T24CORE_LD_SCHEDULE_DEFINE_MV, PG_BRONZE.T24CORE_MB_MG_SAVING_MULTI, PG_BRONZE.T24CORE_PD_PAYMENT_DUE, PG_BRONZE.T24CORE_PD_PAYMENT_DUE_HIS, PG_BRONZE.T24CORE_PD_PAYMENT_DUE_HIS_MV, PG_BRONZE.T24CORE_PD_PAYMENT_DUE_MV, PG_BRONZE.T24CORE_SECTOR, PG_BRONZE.T24CORE_STMT_ENTRY</t>
        </is>
      </c>
      <c r="E39" s="385" t="inlineStr">
        <is>
          <t>ACTIVE</t>
        </is>
      </c>
      <c r="F39" s="385" t="inlineStr">
        <is>
          <t>0 1 * * *</t>
        </is>
      </c>
      <c r="G39" s="386" t="inlineStr">
        <is>
          <t>sql/silver_temp1/sk_lich_tra_no.sql</t>
        </is>
      </c>
      <c r="H39" s="385" t="inlineStr">
        <is>
          <t>2025-11-26</t>
        </is>
      </c>
      <c r="I39" s="386" t="inlineStr">
        <is>
          <t>Fresher 4</t>
        </is>
      </c>
    </row>
    <row r="40" ht="27" customHeight="1" s="335">
      <c r="A40" s="385" t="inlineStr">
        <is>
          <t>PG_DWH</t>
        </is>
      </c>
      <c r="B40" s="386" t="inlineStr">
        <is>
          <t>PG_SILVER.EXG_RATE</t>
        </is>
      </c>
      <c r="C40" s="386" t="inlineStr">
        <is>
          <t>WAVE_1_SILVER_TEMP1</t>
        </is>
      </c>
      <c r="D40" s="386" t="inlineStr">
        <is>
          <t>PG_BRONZE.T24CORE_CURRENCY, PG_BRONZE.T24CORE_CURRENCY_HIS</t>
        </is>
      </c>
      <c r="E40" s="385" t="inlineStr">
        <is>
          <t>ACTIVE</t>
        </is>
      </c>
      <c r="F40" s="385" t="inlineStr">
        <is>
          <t>0 1 * * *</t>
        </is>
      </c>
      <c r="G40" s="386" t="inlineStr">
        <is>
          <t>sql/silver_temp1/exg_rate.sql</t>
        </is>
      </c>
      <c r="H40" s="385" t="inlineStr">
        <is>
          <t>2025-11-26</t>
        </is>
      </c>
      <c r="I40" s="386" t="inlineStr">
        <is>
          <t>Fresher 5</t>
        </is>
      </c>
    </row>
    <row r="41" ht="41.25" customHeight="1" s="335">
      <c r="A41" s="385" t="inlineStr">
        <is>
          <t>PG_DWH</t>
        </is>
      </c>
      <c r="B41" s="386" t="inlineStr">
        <is>
          <t>PG_SILVER.CUST_INFO_DAILY</t>
        </is>
      </c>
      <c r="C41" s="386" t="inlineStr">
        <is>
          <t>WAVE_1_SILVER_TEMP1</t>
        </is>
      </c>
      <c r="D41" s="386" t="inlineStr">
        <is>
          <t>PG_BRONZE.SMY_STMT_DAILY, PG_BRONZE.FLEXBO_PGB_LOS_CONTRACT_FIELDS_TDATE, PG_BRONZE.FLEXBO_PGB_LDTB_CONTRACT_MASTER, PG_BRONZE.FLEXBO_PGB_CONTRACT_UDF_MAP, PG_BRONZE.FLEXBO_PGBLD_CONTRACT_UDFIELD_HIST, PG_BRONZE.FLEXBO_PGBLD_RT_CONTRACT_UDFIELD_HIST, PG_BRONZE.EBANKING_COL_UDF_VALUE, PG_BRONZE.LOS_APP_LOAN_DISBURSEMENT, PG_BRONZE.LOS_APP_FACILITY, PG_BRONZE.LOS_APP_PRODUCT</t>
        </is>
      </c>
      <c r="E41" s="385" t="inlineStr">
        <is>
          <t>ACTIVE</t>
        </is>
      </c>
      <c r="F41" s="385" t="inlineStr">
        <is>
          <t>0 1 * * *</t>
        </is>
      </c>
      <c r="G41" s="386" t="inlineStr">
        <is>
          <t>sql/silver_temp1/cust_info_daily.sql</t>
        </is>
      </c>
      <c r="H41" s="385" t="inlineStr">
        <is>
          <t>2025-11-26</t>
        </is>
      </c>
      <c r="I41" s="386" t="inlineStr">
        <is>
          <t>Fresher 5</t>
        </is>
      </c>
    </row>
    <row r="42" ht="27" customHeight="1" s="335">
      <c r="A42" s="385" t="inlineStr">
        <is>
          <t>PG_DWH</t>
        </is>
      </c>
      <c r="B42" s="386" t="inlineStr">
        <is>
          <t>PG_SILVER.AR_RATE_HIST</t>
        </is>
      </c>
      <c r="C42" s="386" t="inlineStr">
        <is>
          <t>WAVE_1_SILVER_TEMP1</t>
        </is>
      </c>
      <c r="D42" s="386" t="inlineStr">
        <is>
          <t>PG_BRONZE.T24CORE_LD_LOANS_AND_DEPOSITS, PG_BRONZE.T24CORE_LD_LOANS_AND_DEPOSITS_HIS, PG_BRONZE.T24CORE_PD_PAYMENT_DUE, PG_BRONZE.FLEXBO_PGB_LOS_CONTRACT_FIELDS_TDATE</t>
        </is>
      </c>
      <c r="E42" s="385" t="inlineStr">
        <is>
          <t>ACTIVE</t>
        </is>
      </c>
      <c r="F42" s="385" t="inlineStr">
        <is>
          <t>0 1 * * *</t>
        </is>
      </c>
      <c r="G42" s="386" t="inlineStr">
        <is>
          <t>sql/silver_temp1/ar_rate_hist.sql</t>
        </is>
      </c>
      <c r="H42" s="385" t="inlineStr">
        <is>
          <t>2025-11-26</t>
        </is>
      </c>
      <c r="I42" s="386" t="inlineStr">
        <is>
          <t>Fresher 6</t>
        </is>
      </c>
    </row>
    <row r="43" ht="14.25" customHeight="1" s="335">
      <c r="A43" s="385" t="inlineStr">
        <is>
          <t>PG_DWH</t>
        </is>
      </c>
      <c r="B43" s="386" t="inlineStr">
        <is>
          <t>PG_SILVER.CST</t>
        </is>
      </c>
      <c r="C43" s="386" t="inlineStr">
        <is>
          <t>WAVE_2_SILVER_TEMP2</t>
        </is>
      </c>
      <c r="D43" s="386" t="inlineStr">
        <is>
          <t>PG_BRONZE.T24CORE_CUSTOMER, PG_BRONZE.T24CORE_SECTOR</t>
        </is>
      </c>
      <c r="E43" s="385" t="inlineStr">
        <is>
          <t>ACTIVE</t>
        </is>
      </c>
      <c r="F43" s="385" t="inlineStr">
        <is>
          <t>30 1 * * *</t>
        </is>
      </c>
      <c r="G43" s="386" t="inlineStr">
        <is>
          <t>sql/silver_temp2/cst.sql</t>
        </is>
      </c>
      <c r="H43" s="385" t="inlineStr">
        <is>
          <t>2025-11-26</t>
        </is>
      </c>
      <c r="I43" s="386" t="inlineStr">
        <is>
          <t>Fresher 1</t>
        </is>
      </c>
    </row>
    <row r="44" ht="14.25" customHeight="1" s="335">
      <c r="A44" s="385" t="inlineStr">
        <is>
          <t>PG_DWH</t>
        </is>
      </c>
      <c r="B44" s="386" t="inlineStr">
        <is>
          <t>PG_SILVER.IDV_PRFL</t>
        </is>
      </c>
      <c r="C44" s="386" t="inlineStr">
        <is>
          <t>WAVE_2_SILVER_TEMP2</t>
        </is>
      </c>
      <c r="D44" s="386" t="inlineStr">
        <is>
          <t>PG_BRONZE.T24CORE_CUSTOMER</t>
        </is>
      </c>
      <c r="E44" s="385" t="inlineStr">
        <is>
          <t>ACTIVE</t>
        </is>
      </c>
      <c r="F44" s="385" t="inlineStr">
        <is>
          <t>30 1 * * *</t>
        </is>
      </c>
      <c r="G44" s="386" t="inlineStr">
        <is>
          <t>sql/silver_temp2/idv_prfl.sql</t>
        </is>
      </c>
      <c r="H44" s="385" t="inlineStr">
        <is>
          <t>2025-11-26</t>
        </is>
      </c>
      <c r="I44" s="386" t="inlineStr">
        <is>
          <t>Fresher 1</t>
        </is>
      </c>
    </row>
    <row r="45" ht="14.25" customHeight="1" s="335">
      <c r="A45" s="385" t="inlineStr">
        <is>
          <t>PG_DWH</t>
        </is>
      </c>
      <c r="B45" s="386" t="inlineStr">
        <is>
          <t>PG_SILVER.IDV_EMP_ST</t>
        </is>
      </c>
      <c r="C45" s="386" t="inlineStr">
        <is>
          <t>WAVE_2_SILVER_TEMP2</t>
        </is>
      </c>
      <c r="D45" s="386" t="inlineStr">
        <is>
          <t>PG_BRONZE.T24CORE_CUSTOMER</t>
        </is>
      </c>
      <c r="E45" s="385" t="inlineStr">
        <is>
          <t>ACTIVE</t>
        </is>
      </c>
      <c r="F45" s="385" t="inlineStr">
        <is>
          <t>30 1 * * *</t>
        </is>
      </c>
      <c r="G45" s="386" t="inlineStr">
        <is>
          <t>sql/silver_temp2/idv_emp_st.sql</t>
        </is>
      </c>
      <c r="H45" s="385" t="inlineStr">
        <is>
          <t>2025-11-26</t>
        </is>
      </c>
      <c r="I45" s="386" t="inlineStr">
        <is>
          <t>Fresher 1</t>
        </is>
      </c>
    </row>
    <row r="46" ht="14.25" customHeight="1" s="335">
      <c r="A46" s="385" t="inlineStr">
        <is>
          <t>PG_DWH</t>
        </is>
      </c>
      <c r="B46" s="386" t="inlineStr">
        <is>
          <t>PG_SILVER.ORG_PRFL</t>
        </is>
      </c>
      <c r="C46" s="386" t="inlineStr">
        <is>
          <t>WAVE_2_SILVER_TEMP2</t>
        </is>
      </c>
      <c r="D46" s="386" t="inlineStr">
        <is>
          <t>PG_BRONZE.T24CORE_CUSTOMER</t>
        </is>
      </c>
      <c r="E46" s="385" t="inlineStr">
        <is>
          <t>ACTIVE</t>
        </is>
      </c>
      <c r="F46" s="385" t="inlineStr">
        <is>
          <t>30 1 * * *</t>
        </is>
      </c>
      <c r="G46" s="386" t="inlineStr">
        <is>
          <t>sql/silver_temp2/org_prfl.sql</t>
        </is>
      </c>
      <c r="H46" s="385" t="inlineStr">
        <is>
          <t>2025-11-26</t>
        </is>
      </c>
      <c r="I46" s="386" t="inlineStr">
        <is>
          <t>Fresher 1</t>
        </is>
      </c>
    </row>
    <row r="47" ht="41.25" customHeight="1" s="335">
      <c r="A47" s="385" t="inlineStr">
        <is>
          <t>PG_DWH</t>
        </is>
      </c>
      <c r="B47" s="386" t="inlineStr">
        <is>
          <t>PG_SILVER.LOAN_AR</t>
        </is>
      </c>
      <c r="C47" s="386" t="inlineStr">
        <is>
          <t>WAVE_2_SILVER_TEMP2</t>
        </is>
      </c>
      <c r="D47" s="386" t="inlineStr">
        <is>
          <t>PG_BRONZE.T24CORE_LD_LOANS_AND_DEPOSITS, PG_BRONZE.T24CORE_LD_LOANS_AND_DEPOSITS_HIS, PG_BRONZE.T24CORE_PD_PAYMENT_DUE, PG_BRONZE.T24CORE_PD_PAYMENT_DUE_MV, PG_BRONZE.FLEXBO_PGB_LDTB_CONTRACT_MASTER, PG_BRONZE.FLEXBO_PGB_LOS_CONTRACT_FIELDS_TDATE, PG_BRONZE.LOS_APP_LOAN_DISBURSEMENT, PG_BRONZE.LOS_APP_FACILITY, PG_BRONZE.LOS_APP_PRODUCT, PG_BRONZE.T24CORE_CUSTOMER</t>
        </is>
      </c>
      <c r="E47" s="385" t="inlineStr">
        <is>
          <t>ACTIVE</t>
        </is>
      </c>
      <c r="F47" s="385" t="inlineStr">
        <is>
          <t>30 1 * * *</t>
        </is>
      </c>
      <c r="G47" s="386" t="inlineStr">
        <is>
          <t>sql/silver_temp2/loan_ar.sql</t>
        </is>
      </c>
      <c r="H47" s="385" t="inlineStr">
        <is>
          <t>2025-11-26</t>
        </is>
      </c>
      <c r="I47" s="386" t="inlineStr">
        <is>
          <t>Fresher 2</t>
        </is>
      </c>
    </row>
    <row r="48" ht="41.25" customHeight="1" s="335">
      <c r="A48" s="385" t="inlineStr">
        <is>
          <t>PG_DWH</t>
        </is>
      </c>
      <c r="B48" s="386" t="inlineStr">
        <is>
          <t>PG_SILVER.LOAN_AR_PRFL</t>
        </is>
      </c>
      <c r="C48" s="386" t="inlineStr">
        <is>
          <t>WAVE_2_SILVER_TEMP2</t>
        </is>
      </c>
      <c r="D48" s="386" t="inlineStr">
        <is>
          <t>PG_BRONZE.T24CORE_LD_LOANS_AND_DEPOSITS, PG_BRONZE.T24CORE_LD_LOANS_AND_DEPOSITS_HIS, PG_BRONZE.T24CORE_PD_PAYMENT_DUE, PG_BRONZE.T24CORE_PD_PAYMENT_DUE_MV, PG_BRONZE.EBANKING_COL_UDF_VALUE, PG_BRONZE.FLEXBO_PGB_CONTRACT_UDF_MAP, PG_BRONZE.FLEXBO_PGB_LOS_CONTRACT_FIELDS_TDATE, PG_BRONZE.FLEXBO_PGBLD_CONTRACT_UDFIELD_HIST, PG_BRONZE.T24CORE_MB_MG_SAVING_MULTI, PG_BRONZE.FLEXBO_PGBLD_RT_CONTRACT_UDFIELD_HIST, PG_BRONZE.SOURCE_SAOKE_MVMT, PG_BRONZE.T24CORE_CUSTOMER</t>
        </is>
      </c>
      <c r="E48" s="385" t="inlineStr">
        <is>
          <t>ACTIVE</t>
        </is>
      </c>
      <c r="F48" s="385" t="inlineStr">
        <is>
          <t>30 1 * * *</t>
        </is>
      </c>
      <c r="G48" s="386" t="inlineStr">
        <is>
          <t>sql/silver_temp2/loan_ar_prfl.sql</t>
        </is>
      </c>
      <c r="H48" s="385" t="inlineStr">
        <is>
          <t>2025-11-26</t>
        </is>
      </c>
      <c r="I48" s="386" t="inlineStr">
        <is>
          <t>Fresher 2</t>
        </is>
      </c>
    </row>
    <row r="49" ht="41.25" customHeight="1" s="335">
      <c r="A49" s="385" t="inlineStr">
        <is>
          <t>PG_DWH</t>
        </is>
      </c>
      <c r="B49" s="386" t="inlineStr">
        <is>
          <t>PG_SILVER.AR_X_IP_RLTNP</t>
        </is>
      </c>
      <c r="C49" s="386" t="inlineStr">
        <is>
          <t>WAVE_2_SILVER_TEMP2</t>
        </is>
      </c>
      <c r="D49" s="386" t="inlineStr">
        <is>
          <t>PG_BRONZE.T24CORE_LD_LOANS_AND_DEPOSITS, PG_BRONZE.T24CORE_LD_LOANS_AND_DEPOSITS_HIS, PG_BRONZE.T24CORE_PD_PAYMENT_DUE, PG_BRONZE.T24CORE_PD_PAYMENT_DUE_MV, PG_BRONZE.FLEXBO_PGB_LOS_CONTRACT_FIELDS_TDATE</t>
        </is>
      </c>
      <c r="E49" s="385" t="inlineStr">
        <is>
          <t>ACTIVE</t>
        </is>
      </c>
      <c r="F49" s="385" t="inlineStr">
        <is>
          <t>30 1 * * *</t>
        </is>
      </c>
      <c r="G49" s="386" t="inlineStr">
        <is>
          <t>sql/silver_temp2/ar_x_ip_rltnp.sql</t>
        </is>
      </c>
      <c r="H49" s="385" t="inlineStr">
        <is>
          <t>2025-11-26</t>
        </is>
      </c>
      <c r="I49" s="386" t="inlineStr">
        <is>
          <t>Fresher 2</t>
        </is>
      </c>
    </row>
    <row r="50" ht="41.25" customHeight="1" s="335">
      <c r="A50" s="385" t="inlineStr">
        <is>
          <t>PG_DWH</t>
        </is>
      </c>
      <c r="B50" s="386" t="inlineStr">
        <is>
          <t>PG_SILVER.AR_AVY_SHD_ITM</t>
        </is>
      </c>
      <c r="C50" s="386" t="inlineStr">
        <is>
          <t>WAVE_2_SILVER_TEMP2</t>
        </is>
      </c>
      <c r="D50" s="386" t="inlineStr">
        <is>
          <t>PG_BRONZE.T24CORE_STMT_ENTRY, PG_BRONZE.T24CORE_LD_LOANS_AND_DEPOSITS, PG_BRONZE.T24CORE_PD_PAYMENT_DUE_MV, PG_BRONZE.T24CORE_LD_SCHEDULE_DEFINE_MV</t>
        </is>
      </c>
      <c r="E50" s="385" t="inlineStr">
        <is>
          <t>ACTIVE</t>
        </is>
      </c>
      <c r="F50" s="385" t="inlineStr">
        <is>
          <t>30 1 * * *</t>
        </is>
      </c>
      <c r="G50" s="386" t="inlineStr">
        <is>
          <t>sql/silver_temp2/ar_avy_shd_itm.sql</t>
        </is>
      </c>
      <c r="H50" s="385" t="inlineStr">
        <is>
          <t>2025-11-26</t>
        </is>
      </c>
      <c r="I50" s="386" t="inlineStr">
        <is>
          <t>Fresher 4</t>
        </is>
      </c>
    </row>
    <row r="51" ht="27" customHeight="1" s="335">
      <c r="A51" s="385" t="inlineStr">
        <is>
          <t>PG_DWH</t>
        </is>
      </c>
      <c r="B51" s="386" t="inlineStr">
        <is>
          <t>PG_SILVER.Saoke_GIAINGAN</t>
        </is>
      </c>
      <c r="C51" s="386" t="inlineStr">
        <is>
          <t>WAVE_2_SILVER_TEMP2</t>
        </is>
      </c>
      <c r="D51" s="386" t="inlineStr">
        <is>
          <t>PG_BRONZE.SMY_STMT_DAILY, PG_BRONZE.SOURCE_SAOKE_CRB, PG_BRONZE.SOURCE_SAOKE_MVMT, PG_BRONZE.T24CORE_COMPANY, PG_BRONZE.T24CORE_CUSTOMER</t>
        </is>
      </c>
      <c r="E51" s="385" t="inlineStr">
        <is>
          <t>ACTIVE</t>
        </is>
      </c>
      <c r="F51" s="385" t="inlineStr">
        <is>
          <t>30 1 * * *</t>
        </is>
      </c>
      <c r="G51" s="386" t="inlineStr">
        <is>
          <t>sql/silver_temp2/saoke_giaingan.sql</t>
        </is>
      </c>
      <c r="H51" s="385" t="inlineStr">
        <is>
          <t>2025-11-26</t>
        </is>
      </c>
      <c r="I51" s="386" t="inlineStr">
        <is>
          <t>Fresher 4</t>
        </is>
      </c>
    </row>
    <row r="52" ht="41.25" customHeight="1" s="335">
      <c r="A52" s="385" t="inlineStr">
        <is>
          <t>PG_DWH</t>
        </is>
      </c>
      <c r="B52" s="386" t="inlineStr">
        <is>
          <t>PG_SILVER.PST_ENTR</t>
        </is>
      </c>
      <c r="C52" s="386" t="inlineStr">
        <is>
          <t>WAVE_2_SILVER_TEMP2</t>
        </is>
      </c>
      <c r="D52" s="386" t="inlineStr">
        <is>
          <t>PG_BRONZE.T24CORE_STMT_ENTRY, PG_BRONZE.T24CORE_LD_LOANS_AND_DEPOSITS, PG_BRONZE.T24CORE_PD_PAYMENT_DUE_MV</t>
        </is>
      </c>
      <c r="E52" s="385" t="inlineStr">
        <is>
          <t>ACTIVE</t>
        </is>
      </c>
      <c r="F52" s="385" t="inlineStr">
        <is>
          <t>30 1 * * *</t>
        </is>
      </c>
      <c r="G52" s="386" t="inlineStr">
        <is>
          <t>sql/silver_temp2/pst_entr.sql</t>
        </is>
      </c>
      <c r="H52" s="385" t="inlineStr">
        <is>
          <t>2025-11-26</t>
        </is>
      </c>
      <c r="I52" s="386" t="inlineStr">
        <is>
          <t>Fresher 5</t>
        </is>
      </c>
    </row>
    <row r="53" ht="27" customHeight="1" s="335">
      <c r="A53" s="385" t="inlineStr">
        <is>
          <t>PG_DWH</t>
        </is>
      </c>
      <c r="B53" s="386" t="inlineStr">
        <is>
          <t>PG_SILVER.SAOKE_TINDUNG</t>
        </is>
      </c>
      <c r="C53" s="386" t="inlineStr">
        <is>
          <t>WAVE_2_SILVER_TEMP2</t>
        </is>
      </c>
      <c r="D53" s="386" t="inlineStr">
        <is>
          <t>PG_BRONZE.T24CORE_LD_LOANS_AND_DEPOSITS, PG_BRONZE.T24CORE_CUSTOMER, PG_BRONZE.T24CORE_DEPT_ACCT_OFFICER</t>
        </is>
      </c>
      <c r="E53" s="385" t="inlineStr">
        <is>
          <t>ACTIVE</t>
        </is>
      </c>
      <c r="F53" s="385" t="inlineStr">
        <is>
          <t>30 1 * * *</t>
        </is>
      </c>
      <c r="G53" s="386" t="inlineStr">
        <is>
          <t>sql/silver_temp2/saoke_tindung.sql</t>
        </is>
      </c>
      <c r="H53" s="385" t="inlineStr">
        <is>
          <t>2025-11-26</t>
        </is>
      </c>
      <c r="I53" s="386" t="inlineStr">
        <is>
          <t>Fresher 5</t>
        </is>
      </c>
    </row>
    <row r="54" ht="14.25" customHeight="1" s="335">
      <c r="A54" s="385" t="inlineStr">
        <is>
          <t>PG_DWH</t>
        </is>
      </c>
      <c r="B54" s="386" t="inlineStr">
        <is>
          <t>PG_SILVER.AR_BAL</t>
        </is>
      </c>
      <c r="C54" s="386" t="inlineStr">
        <is>
          <t>WAVE_2_SILVER_TEMP2</t>
        </is>
      </c>
      <c r="D54" s="386" t="inlineStr">
        <is>
          <t>PG_BRONZE.SOURCE_SAOKE_CRB</t>
        </is>
      </c>
      <c r="E54" s="385" t="inlineStr">
        <is>
          <t>ACTIVE</t>
        </is>
      </c>
      <c r="F54" s="385" t="inlineStr">
        <is>
          <t>30 1 * * *</t>
        </is>
      </c>
      <c r="G54" s="386" t="inlineStr">
        <is>
          <t>sql/silver_temp2/ar_bal.sql</t>
        </is>
      </c>
      <c r="H54" s="385" t="inlineStr">
        <is>
          <t>2025-11-26</t>
        </is>
      </c>
      <c r="I54" s="386" t="inlineStr">
        <is>
          <t>Fresher 6</t>
        </is>
      </c>
    </row>
    <row r="55" ht="27" customHeight="1" s="335">
      <c r="A55" s="385" t="inlineStr">
        <is>
          <t>PG_DWH</t>
        </is>
      </c>
      <c r="B55" s="386" t="inlineStr">
        <is>
          <t>PG_SILVER.AR_DLQ_SMY</t>
        </is>
      </c>
      <c r="C55" s="386" t="inlineStr">
        <is>
          <t>WAVE_2_SILVER_TEMP2</t>
        </is>
      </c>
      <c r="D55" s="386" t="inlineStr">
        <is>
          <t>PG_BRONZE.T24CORE_PD_PAYMENT_DUE_HIS_MV, PG_BRONZE.T24CORE_PD_PAYMENT_DUE</t>
        </is>
      </c>
      <c r="E55" s="385" t="inlineStr">
        <is>
          <t>ACTIVE</t>
        </is>
      </c>
      <c r="F55" s="385" t="inlineStr">
        <is>
          <t>30 1 * * *</t>
        </is>
      </c>
      <c r="G55" s="386" t="inlineStr">
        <is>
          <t>sql/silver_temp2/ar_dlq_smy.sql</t>
        </is>
      </c>
      <c r="H55" s="385" t="inlineStr">
        <is>
          <t>2025-11-26</t>
        </is>
      </c>
      <c r="I55" s="386" t="inlineStr">
        <is>
          <t>Fresher 6</t>
        </is>
      </c>
    </row>
    <row r="56" ht="41.25" customHeight="1" s="335">
      <c r="A56" s="385" t="inlineStr">
        <is>
          <t>PG_DWH</t>
        </is>
      </c>
      <c r="B56" s="386" t="inlineStr">
        <is>
          <t>PG_SILVER.AR_TVR_SMY</t>
        </is>
      </c>
      <c r="C56" s="386" t="inlineStr">
        <is>
          <t>WAVE_2_SILVER_TEMP2</t>
        </is>
      </c>
      <c r="D56" s="386" t="inlineStr">
        <is>
          <t>PG_BRONZE.SOURCE_SAOKE_CRB, PG_SILVER.PST_ENTR, PG_SILVER.AR_DLQ_SMY, PG_SILVER.LOAN_AR</t>
        </is>
      </c>
      <c r="E56" s="385" t="inlineStr">
        <is>
          <t>ACTIVE</t>
        </is>
      </c>
      <c r="F56" s="385" t="inlineStr">
        <is>
          <t>45 1 * * *</t>
        </is>
      </c>
      <c r="G56" s="386" t="inlineStr">
        <is>
          <t>sql/silver_temp2/ar_tvr_smy.sql</t>
        </is>
      </c>
      <c r="H56" s="385" t="inlineStr">
        <is>
          <t>2025-11-26</t>
        </is>
      </c>
      <c r="I56" s="386" t="inlineStr">
        <is>
          <t>Fresher 6</t>
        </is>
      </c>
    </row>
    <row r="57" ht="27" customHeight="1" s="335">
      <c r="A57" s="385" t="inlineStr">
        <is>
          <t>PG_DWH</t>
        </is>
      </c>
      <c r="B57" s="386" t="inlineStr">
        <is>
          <t>PG_SILVER.AST_AR_INT_SMY</t>
        </is>
      </c>
      <c r="C57" s="386" t="inlineStr">
        <is>
          <t>WAVE_2_SILVER_TEMP2</t>
        </is>
      </c>
      <c r="D57" s="386" t="inlineStr">
        <is>
          <t>PG_BRONZE.SOURCE_SAOKE_CRB, PG_BRONZE.T24CORE_STMT_ENTRY</t>
        </is>
      </c>
      <c r="E57" s="385" t="inlineStr">
        <is>
          <t>ACTIVE</t>
        </is>
      </c>
      <c r="F57" s="385" t="inlineStr">
        <is>
          <t>30 1 * * *</t>
        </is>
      </c>
      <c r="G57" s="386" t="inlineStr">
        <is>
          <t>sql/silver_temp2/ast_ar_int_smy.sql</t>
        </is>
      </c>
      <c r="H57" s="385" t="inlineStr">
        <is>
          <t>2025-11-26</t>
        </is>
      </c>
      <c r="I57" s="386" t="inlineStr">
        <is>
          <t>Fresher 6</t>
        </is>
      </c>
    </row>
    <row r="58" ht="14.25" customHeight="1" s="335">
      <c r="A58" s="385" t="inlineStr">
        <is>
          <t>PG_DWH</t>
        </is>
      </c>
      <c r="B58" s="386" t="inlineStr">
        <is>
          <t>PG_GOLD.DIM_LOAN_AR</t>
        </is>
      </c>
      <c r="C58" s="386" t="inlineStr">
        <is>
          <t>WAVE_3_GOLD_DIM</t>
        </is>
      </c>
      <c r="D58" s="386" t="inlineStr">
        <is>
          <t>PG_SILVER.LOAN_AR, PG_SILVER.LOAN_AR_PRFL</t>
        </is>
      </c>
      <c r="E58" s="385" t="inlineStr">
        <is>
          <t>ACTIVE</t>
        </is>
      </c>
      <c r="F58" s="385" t="inlineStr">
        <is>
          <t>0 2 * * *</t>
        </is>
      </c>
      <c r="G58" s="386" t="inlineStr">
        <is>
          <t>sql/gold/dim_loan_ar.sql</t>
        </is>
      </c>
      <c r="H58" s="385" t="inlineStr">
        <is>
          <t>2025-11-26</t>
        </is>
      </c>
      <c r="I58" s="386" t="inlineStr">
        <is>
          <t>Fresher 2</t>
        </is>
      </c>
    </row>
    <row r="59" ht="14.25" customHeight="1" s="335">
      <c r="A59" s="385" t="inlineStr">
        <is>
          <t>PG_DWH</t>
        </is>
      </c>
      <c r="B59" s="386" t="inlineStr">
        <is>
          <t>PG_GOLD.DIM_CCY</t>
        </is>
      </c>
      <c r="C59" s="386" t="inlineStr">
        <is>
          <t>WAVE_3_GOLD_DIM</t>
        </is>
      </c>
      <c r="D59" s="386" t="inlineStr">
        <is>
          <t>PG_SILVER.CCY</t>
        </is>
      </c>
      <c r="E59" s="385" t="inlineStr">
        <is>
          <t>ACTIVE</t>
        </is>
      </c>
      <c r="F59" s="385" t="inlineStr">
        <is>
          <t>0 2 * * *</t>
        </is>
      </c>
      <c r="G59" s="386" t="inlineStr">
        <is>
          <t>sql/gold/dim_ccy.sql</t>
        </is>
      </c>
      <c r="H59" s="385" t="inlineStr">
        <is>
          <t>2025-11-26</t>
        </is>
      </c>
      <c r="I59" s="386" t="inlineStr">
        <is>
          <t>Fresher 3</t>
        </is>
      </c>
    </row>
    <row r="60" ht="14.25" customHeight="1" s="335">
      <c r="A60" s="385" t="inlineStr">
        <is>
          <t>PG_DWH</t>
        </is>
      </c>
      <c r="B60" s="386" t="inlineStr">
        <is>
          <t>PG_GOLD.DIM_PD</t>
        </is>
      </c>
      <c r="C60" s="386" t="inlineStr">
        <is>
          <t>WAVE_3_GOLD_DIM</t>
        </is>
      </c>
      <c r="D60" s="386" t="inlineStr">
        <is>
          <t>PG_SILVER.PD</t>
        </is>
      </c>
      <c r="E60" s="385" t="inlineStr">
        <is>
          <t>ACTIVE</t>
        </is>
      </c>
      <c r="F60" s="385" t="inlineStr">
        <is>
          <t>0 2 * * *</t>
        </is>
      </c>
      <c r="G60" s="386" t="inlineStr">
        <is>
          <t>sql/gold/dim_pd.sql</t>
        </is>
      </c>
      <c r="H60" s="385" t="inlineStr">
        <is>
          <t>2025-11-26</t>
        </is>
      </c>
      <c r="I60" s="386" t="inlineStr">
        <is>
          <t>Fresher 3</t>
        </is>
      </c>
    </row>
    <row r="61" ht="14.25" customHeight="1" s="335">
      <c r="A61" s="385" t="inlineStr">
        <is>
          <t>PG_DWH</t>
        </is>
      </c>
      <c r="B61" s="386" t="inlineStr">
        <is>
          <t>PG_GOLD.DIM_OU</t>
        </is>
      </c>
      <c r="C61" s="386" t="inlineStr">
        <is>
          <t>WAVE_3_GOLD_DIM</t>
        </is>
      </c>
      <c r="D61" s="386" t="inlineStr">
        <is>
          <t>PG_SILVER.OU</t>
        </is>
      </c>
      <c r="E61" s="385" t="inlineStr">
        <is>
          <t>ACTIVE</t>
        </is>
      </c>
      <c r="F61" s="385" t="inlineStr">
        <is>
          <t>0 2 * * *</t>
        </is>
      </c>
      <c r="G61" s="386" t="inlineStr">
        <is>
          <t>sql/gold/dim_ou.sql</t>
        </is>
      </c>
      <c r="H61" s="385" t="inlineStr">
        <is>
          <t>2025-11-26</t>
        </is>
      </c>
      <c r="I61" s="386" t="inlineStr">
        <is>
          <t>Fresher 3</t>
        </is>
      </c>
    </row>
    <row r="62" ht="14.25" customHeight="1" s="335">
      <c r="A62" s="385" t="inlineStr">
        <is>
          <t>PG_DWH</t>
        </is>
      </c>
      <c r="B62" s="386" t="inlineStr">
        <is>
          <t>PG_GOLD.DIM_LMT</t>
        </is>
      </c>
      <c r="C62" s="386" t="inlineStr">
        <is>
          <t>WAVE_3_GOLD_DIM</t>
        </is>
      </c>
      <c r="D62" s="386" t="inlineStr">
        <is>
          <t>PG_SILVER.LMT</t>
        </is>
      </c>
      <c r="E62" s="385" t="inlineStr">
        <is>
          <t>ACTIVE</t>
        </is>
      </c>
      <c r="F62" s="385" t="inlineStr">
        <is>
          <t>0 2 * * *</t>
        </is>
      </c>
      <c r="G62" s="386" t="inlineStr">
        <is>
          <t>sql/gold/dim_lmt.sql</t>
        </is>
      </c>
      <c r="H62" s="385" t="inlineStr">
        <is>
          <t>2025-11-26</t>
        </is>
      </c>
      <c r="I62" s="386" t="inlineStr">
        <is>
          <t>Fresher 3</t>
        </is>
      </c>
    </row>
    <row r="63" ht="14.25" customHeight="1" s="335">
      <c r="A63" s="385" t="inlineStr">
        <is>
          <t>PG_DWH</t>
        </is>
      </c>
      <c r="B63" s="386" t="inlineStr">
        <is>
          <t>PG_GOLD.DIM_RSTC_TP</t>
        </is>
      </c>
      <c r="C63" s="386" t="inlineStr">
        <is>
          <t>WAVE_3_GOLD_DIM</t>
        </is>
      </c>
      <c r="D63" s="386" t="inlineStr">
        <is>
          <t>PG_SILVER.CV</t>
        </is>
      </c>
      <c r="E63" s="385" t="inlineStr">
        <is>
          <t>ACTIVE</t>
        </is>
      </c>
      <c r="F63" s="385" t="inlineStr">
        <is>
          <t>0 2 * * *</t>
        </is>
      </c>
      <c r="G63" s="386" t="inlineStr">
        <is>
          <t>sql/gold/dim_rstc_tp.sql</t>
        </is>
      </c>
      <c r="H63" s="385" t="inlineStr">
        <is>
          <t>2025-11-26</t>
        </is>
      </c>
      <c r="I63" s="386" t="inlineStr">
        <is>
          <t>Fresher 3</t>
        </is>
      </c>
    </row>
    <row r="64" ht="14.25" customHeight="1" s="335">
      <c r="A64" s="385" t="inlineStr">
        <is>
          <t>PG_DWH</t>
        </is>
      </c>
      <c r="B64" s="386" t="inlineStr">
        <is>
          <t>PG_GOLD.DIM_FNC_ST</t>
        </is>
      </c>
      <c r="C64" s="386" t="inlineStr">
        <is>
          <t>WAVE_3_GOLD_DIM</t>
        </is>
      </c>
      <c r="D64" s="386" t="inlineStr">
        <is>
          <t>PG_SILVER.CV</t>
        </is>
      </c>
      <c r="E64" s="385" t="inlineStr">
        <is>
          <t>ACTIVE</t>
        </is>
      </c>
      <c r="F64" s="385" t="inlineStr">
        <is>
          <t>0 2 * * *</t>
        </is>
      </c>
      <c r="G64" s="386" t="inlineStr">
        <is>
          <t>sql/gold/dim_fnc_st.sql</t>
        </is>
      </c>
      <c r="H64" s="385" t="inlineStr">
        <is>
          <t>2025-11-26</t>
        </is>
      </c>
      <c r="I64" s="386" t="inlineStr">
        <is>
          <t>Fresher 3</t>
        </is>
      </c>
    </row>
    <row r="65" ht="27" customHeight="1" s="335">
      <c r="A65" s="385" t="inlineStr">
        <is>
          <t>PG_DWH</t>
        </is>
      </c>
      <c r="B65" s="386" t="inlineStr">
        <is>
          <t>PG_GOLD.DIM_CST</t>
        </is>
      </c>
      <c r="C65" s="386" t="inlineStr">
        <is>
          <t>WAVE_3_GOLD_DIM</t>
        </is>
      </c>
      <c r="D65" s="386" t="inlineStr">
        <is>
          <t>PG_SILVER.CST, PG_SILVER.IDV_PRFL, PG_SILVER.ORG_PRFL</t>
        </is>
      </c>
      <c r="E65" s="385" t="inlineStr">
        <is>
          <t>ACTIVE</t>
        </is>
      </c>
      <c r="F65" s="385" t="inlineStr">
        <is>
          <t>0 2 * * *</t>
        </is>
      </c>
      <c r="G65" s="386" t="inlineStr">
        <is>
          <t>sql/gold/dim_cst.sql</t>
        </is>
      </c>
      <c r="H65" s="385" t="inlineStr">
        <is>
          <t>2025-11-26</t>
        </is>
      </c>
      <c r="I65" s="386" t="inlineStr">
        <is>
          <t>Fresher 7</t>
        </is>
      </c>
    </row>
    <row r="66" ht="54.75" customHeight="1" s="335">
      <c r="A66" s="385" t="inlineStr">
        <is>
          <t>PG_DWH</t>
        </is>
      </c>
      <c r="B66" s="386" t="inlineStr">
        <is>
          <t>PG_GOLD.INF_CST</t>
        </is>
      </c>
      <c r="C66" s="386" t="inlineStr">
        <is>
          <t>WAVE_4_GOLD_INTERFACE</t>
        </is>
      </c>
      <c r="D66" s="386" t="inlineStr">
        <is>
          <t>PG_SILVER.CST, PG_SILVER.IDV_PRFL, PG_SILVER.IDV_EMP_ST, PG_SILVER.ORG_PRFL, PG_SILVER.IP_ALT_IDENTN, PG_SILVER.IP_ELC_ADR, PG_SILVER.IP_PST_ADR</t>
        </is>
      </c>
      <c r="E66" s="385" t="inlineStr">
        <is>
          <t>ACTIVE</t>
        </is>
      </c>
      <c r="F66" s="385" t="inlineStr">
        <is>
          <t>15 2 * * *</t>
        </is>
      </c>
      <c r="G66" s="386" t="inlineStr">
        <is>
          <t>sql/gold/inf_cst.sql</t>
        </is>
      </c>
      <c r="H66" s="385" t="inlineStr">
        <is>
          <t>2025-11-26</t>
        </is>
      </c>
      <c r="I66" s="386" t="inlineStr">
        <is>
          <t>Fresher 1</t>
        </is>
      </c>
    </row>
    <row r="67" ht="69" customHeight="1" s="335">
      <c r="A67" s="385" t="inlineStr">
        <is>
          <t>PG_DWH</t>
        </is>
      </c>
      <c r="B67" s="386" t="inlineStr">
        <is>
          <t>PG_GOLD.INTF_LOAN_AR</t>
        </is>
      </c>
      <c r="C67" s="386" t="inlineStr">
        <is>
          <t>WAVE_4_GOLD_INTERFACE</t>
        </is>
      </c>
      <c r="D67" s="386" t="inlineStr">
        <is>
          <t>PG_SILVER.AR_BAL, PG_SILVER.LOAN_AR, PG_SILVER.LOAN_AR_PRFL, PG_SILVER.AR_RATE_HIST, PG_SILVER.AR_DLQ_SMY, PG_SILVER.EXG_RATE, PG_SILVER.OU, PG_SILVER.AST_AR_INT_SMY, PG_GOLD.INF_CST, PG_SILVER.AR_AVY_SHD_ITM</t>
        </is>
      </c>
      <c r="E67" s="385" t="inlineStr">
        <is>
          <t>ACTIVE</t>
        </is>
      </c>
      <c r="F67" s="385" t="inlineStr">
        <is>
          <t>30 2 * * *</t>
        </is>
      </c>
      <c r="G67" s="386" t="inlineStr">
        <is>
          <t>sql/gold/intf_loan_ar.sql</t>
        </is>
      </c>
      <c r="H67" s="385" t="inlineStr">
        <is>
          <t>2025-11-26</t>
        </is>
      </c>
      <c r="I67" s="386" t="inlineStr">
        <is>
          <t>Fresher 2</t>
        </is>
      </c>
    </row>
    <row r="68" ht="41.25" customHeight="1" s="335">
      <c r="A68" s="385" t="inlineStr">
        <is>
          <t>PG_DWH</t>
        </is>
      </c>
      <c r="B68" s="386" t="inlineStr">
        <is>
          <t>PG_GOLD.INTF_LOAN_DSBR</t>
        </is>
      </c>
      <c r="C68" s="386" t="inlineStr">
        <is>
          <t>WAVE_4_GOLD_INTERFACE</t>
        </is>
      </c>
      <c r="D68" s="386" t="inlineStr">
        <is>
          <t>PG_SILVER.LOAN_AR, PG_SILVER.LOAN_AR_PRFL, PG_SILVER.AR_X_IP_RLTNP, PG_SILVER.EMPE, PG_SILVER.AR_RATE_HIST, PG_SILVER.PD</t>
        </is>
      </c>
      <c r="E68" s="385" t="inlineStr">
        <is>
          <t>ACTIVE</t>
        </is>
      </c>
      <c r="F68" s="385" t="inlineStr">
        <is>
          <t>30 2 * * *</t>
        </is>
      </c>
      <c r="G68" s="386" t="inlineStr">
        <is>
          <t>sql/gold/intf_loan_dsbr.sql</t>
        </is>
      </c>
      <c r="H68" s="385" t="inlineStr">
        <is>
          <t>2025-11-26</t>
        </is>
      </c>
      <c r="I68" s="386" t="inlineStr">
        <is>
          <t>Fresher 4</t>
        </is>
      </c>
    </row>
    <row r="69" ht="41.25" customHeight="1" s="335">
      <c r="A69" s="385" t="inlineStr">
        <is>
          <t>PG_DWH</t>
        </is>
      </c>
      <c r="B69" s="386" t="inlineStr">
        <is>
          <t>PG_GOLD.INTF_LOAN_REPYMT_SHD</t>
        </is>
      </c>
      <c r="C69" s="386" t="inlineStr">
        <is>
          <t>WAVE_4_GOLD_INTERFACE</t>
        </is>
      </c>
      <c r="D69" s="386" t="inlineStr">
        <is>
          <t>PG_SILVER.AR_AVY_SHD_ITM, PG_SILVER.LOAN_AR, PG_SILVER.LOAN_AR_PRFL, PG_SILVER.CST, PG_SILVER.IDV_PRFL, PG_SILVER.ORG_PRFL</t>
        </is>
      </c>
      <c r="E69" s="385" t="inlineStr">
        <is>
          <t>ACTIVE</t>
        </is>
      </c>
      <c r="F69" s="385" t="inlineStr">
        <is>
          <t>30 2 * * *</t>
        </is>
      </c>
      <c r="G69" s="386" t="inlineStr">
        <is>
          <t>sql/gold/intf_loan_repymt_shd.sql</t>
        </is>
      </c>
      <c r="H69" s="385" t="inlineStr">
        <is>
          <t>2025-11-26</t>
        </is>
      </c>
      <c r="I69" s="386" t="inlineStr">
        <is>
          <t>Fresher 4</t>
        </is>
      </c>
    </row>
    <row r="70" ht="138" customHeight="1" s="335">
      <c r="A70" s="385" t="inlineStr">
        <is>
          <t>PG_DWH</t>
        </is>
      </c>
      <c r="B70" s="386" t="inlineStr">
        <is>
          <t>PG_GOLD.FCT_LOAN_AR</t>
        </is>
      </c>
      <c r="C70" s="386" t="inlineStr">
        <is>
          <t>WAVE_4_GOLD_FACT</t>
        </is>
      </c>
      <c r="D70" s="386" t="inlineStr">
        <is>
          <t>PG_SILVER.LOAN_AR, PG_SILVER.AR_BAL, PG_SILVER.LOAN_AR_PRFL, PG_SILVER.AR_RATE_HIST, PG_SILVER.AR_DLQ_SMY, PG_SILVER.EXG_RATE, PG_SILVER.AST_AR_INT_SMY, PG_SILVER.AR_TVR_SMY, PG_SILVER.IDV_PRFL, PG_SILVER.ORG_PRFL, PG_GOLD.DIM_LOAN_AR, PG_GOLD.DIM_CST, PG_GOLD.DIM_PD, PG_GOLD.DIM_OU, PG_GOLD.DIM_CCY, PG_GOLD.DIM_LMT, PG_GOLD.DIM_RSTC_TP, PG_GOLD.DIM_FNC_ST</t>
        </is>
      </c>
      <c r="E70" s="385" t="inlineStr">
        <is>
          <t>ACTIVE</t>
        </is>
      </c>
      <c r="F70" s="385" t="inlineStr">
        <is>
          <t>45 2 * * *</t>
        </is>
      </c>
      <c r="G70" s="386" t="inlineStr">
        <is>
          <t>sql/gold/fct_loan_ar.sql</t>
        </is>
      </c>
      <c r="H70" s="385" t="inlineStr">
        <is>
          <t>2025-11-26</t>
        </is>
      </c>
      <c r="I70" s="386" t="inlineStr">
        <is>
          <t>Fresher 7</t>
        </is>
      </c>
    </row>
  </sheetData>
  <autoFilter ref="A1:Y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4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16" customWidth="1" style="334" min="1" max="1"/>
    <col width="32" customWidth="1" style="334" min="2" max="2"/>
    <col width="28" customWidth="1" style="334" min="3" max="3"/>
    <col width="14" customWidth="1" style="334" min="4" max="4"/>
    <col width="34" customWidth="1" style="334" min="5" max="5"/>
    <col width="28" customWidth="1" style="334" min="6" max="6"/>
    <col width="16" customWidth="1" style="334" min="7" max="7"/>
    <col width="34" customWidth="1" style="334" min="8" max="8"/>
    <col width="28" customWidth="1" style="334" min="9" max="9"/>
    <col width="16" customWidth="1" style="334" min="10" max="10"/>
    <col width="12" customWidth="1" style="334" min="11" max="11"/>
    <col width="44" customWidth="1" style="334" min="12" max="12"/>
    <col width="56" customWidth="1" style="334" min="13" max="13"/>
    <col width="54" customWidth="1" style="334" min="14" max="14"/>
  </cols>
  <sheetData>
    <row r="1" ht="15" customHeight="1" s="335">
      <c r="A1" s="407" t="inlineStr">
        <is>
          <t>TYPE : 1:1 RAW INGESTION MAPPING (SOURCE TABLES -&gt; PG_BRONZE)</t>
        </is>
      </c>
    </row>
    <row r="2" ht="28.5" customHeight="1" s="335">
      <c r="A2" s="384" t="inlineStr">
        <is>
          <t>No</t>
        </is>
      </c>
      <c r="B2" s="384" t="inlineStr">
        <is>
          <t>Nguồn (Source Schema)</t>
        </is>
      </c>
      <c r="C2" s="384" t="inlineStr">
        <is>
          <t>Bảng nguồn (Source Table)</t>
        </is>
      </c>
      <c r="D2" s="384" t="inlineStr">
        <is>
          <t>Short table</t>
        </is>
      </c>
      <c r="E2" s="384" t="inlineStr">
        <is>
          <t>Schema đích (Target Schema)</t>
        </is>
      </c>
      <c r="F2" s="384" t="inlineStr">
        <is>
          <t>Bảng đích (Bronze Table)</t>
        </is>
      </c>
      <c r="G2" s="384" t="inlineStr">
        <is>
          <t>Logic Mapping</t>
        </is>
      </c>
      <c r="H2" s="384" t="inlineStr">
        <is>
          <t>Điều kiện Extract / Partition</t>
        </is>
      </c>
      <c r="I2" s="384" t="inlineStr">
        <is>
          <t>Số cột nguồn (1:1)</t>
        </is>
      </c>
      <c r="J2" s="384" t="inlineStr">
        <is>
          <t>Airflow DAG &amp; SQL File Path</t>
        </is>
      </c>
      <c r="K2" s="384" t="inlineStr">
        <is>
          <t>Ghi chú Kiến trúc Bronze</t>
        </is>
      </c>
    </row>
    <row r="3" ht="138" customHeight="1" s="335">
      <c r="A3" s="408" t="n">
        <v>1</v>
      </c>
      <c r="B3" s="409" t="inlineStr">
        <is>
          <t>EBANKING</t>
        </is>
      </c>
      <c r="C3" s="409" t="inlineStr">
        <is>
          <t>COL_UDF_VALUE@PGDB</t>
        </is>
      </c>
      <c r="D3" s="410" t="inlineStr">
        <is>
          <t>src_1</t>
        </is>
      </c>
      <c r="E3" s="411" t="inlineStr">
        <is>
          <t>PG_BRONZE</t>
        </is>
      </c>
      <c r="F3" s="409" t="inlineStr">
        <is>
          <t>EBANKING_COL_UDF_VALUE</t>
        </is>
      </c>
      <c r="G3" s="411" t="inlineStr">
        <is>
          <t>1:1 (Raw Mirror + Audit Columns)</t>
        </is>
      </c>
      <c r="H3" s="412" t="inlineStr">
        <is>
          <t>SELECT src_1.*, ${ETL_DATE} AS ETL_DATE, CURRENT_TIMESTAMP() AS INGEST_TMS, 'EBANKING_COL_UDF_VALUE' AS SRC_STM_CODE FROM EBANKING.COL_UDF_VALUE@PGDB src_1</t>
        </is>
      </c>
      <c r="I3" s="408" t="n">
        <v>4</v>
      </c>
      <c r="J3" s="412" t="inlineStr">
        <is>
          <t>dags/dag_wave0_bronze_ingest.py | sql/bronze/ebanking_col_udf_value.sql</t>
        </is>
      </c>
      <c r="K3" s="412" t="inlineStr">
        <is>
          <t>Ingest 1:1 toàn bộ 4 cột từ EBANKING.COL_UDF_VALUE@PGDB lên PG_BRONZE.EBANKING_COL_UDF_VALUE (Wave 0)</t>
        </is>
      </c>
    </row>
    <row r="4" ht="165" customHeight="1" s="335">
      <c r="A4" s="408" t="n">
        <v>2</v>
      </c>
      <c r="B4" s="409" t="inlineStr">
        <is>
          <t>FLEXBO</t>
        </is>
      </c>
      <c r="C4" s="409" t="inlineStr">
        <is>
          <t>PGBLD_CONTRACT_UDFIELD_HIST</t>
        </is>
      </c>
      <c r="D4" s="410" t="inlineStr">
        <is>
          <t>src_2</t>
        </is>
      </c>
      <c r="E4" s="411" t="inlineStr">
        <is>
          <t>PG_BRONZE</t>
        </is>
      </c>
      <c r="F4" s="409" t="inlineStr">
        <is>
          <t>FLEXBO_PGBLD_CONTRACT_UDFIELD_HIST</t>
        </is>
      </c>
      <c r="G4" s="411" t="inlineStr">
        <is>
          <t>1:1 (Raw Mirror + Audit Columns)</t>
        </is>
      </c>
      <c r="H4" s="412" t="inlineStr">
        <is>
          <t>SELECT src_2.*, ${ETL_DATE} AS ETL_DATE, CURRENT_TIMESTAMP() AS INGEST_TMS, 'FLEXBO_PGBLD_CONTRACT_UDFIELD_HIST' AS SRC_STM_CODE FROM FLEXBO.PGBLD_CONTRACT_UDFIELD_HIST src_2</t>
        </is>
      </c>
      <c r="I4" s="408" t="n">
        <v>4</v>
      </c>
      <c r="J4" s="412" t="inlineStr">
        <is>
          <t>dags/dag_wave0_bronze_ingest.py | sql/bronze/flexbo_pgbld_contract_udfield_hist.sql</t>
        </is>
      </c>
      <c r="K4" s="412" t="inlineStr">
        <is>
          <t>Ingest 1:1 toàn bộ 4 cột từ FLEXBO.PGBLD_CONTRACT_UDFIELD_HIST lên PG_BRONZE.FLEXBO_PGBLD_CONTRACT_UDFIELD_HIST (Wave 0)</t>
        </is>
      </c>
    </row>
    <row r="5" ht="165" customHeight="1" s="335">
      <c r="A5" s="408" t="n">
        <v>3</v>
      </c>
      <c r="B5" s="409" t="inlineStr">
        <is>
          <t>FLEXBO</t>
        </is>
      </c>
      <c r="C5" s="409" t="inlineStr">
        <is>
          <t>PGBLD_RT_CONTRACT_UDFIELD_HIST</t>
        </is>
      </c>
      <c r="D5" s="410" t="inlineStr">
        <is>
          <t>src_3</t>
        </is>
      </c>
      <c r="E5" s="411" t="inlineStr">
        <is>
          <t>PG_BRONZE</t>
        </is>
      </c>
      <c r="F5" s="409" t="inlineStr">
        <is>
          <t>FLEXBO_PGBLD_RT_CONTRACT_UDFIELD_HIST</t>
        </is>
      </c>
      <c r="G5" s="411" t="inlineStr">
        <is>
          <t>1:1 (Raw Mirror + Audit Columns)</t>
        </is>
      </c>
      <c r="H5" s="412" t="inlineStr">
        <is>
          <t>SELECT src_3.*, ${ETL_DATE} AS ETL_DATE, CURRENT_TIMESTAMP() AS INGEST_TMS, 'FLEXBO_PGBLD_RT_CONTRACT_UDFIELD_HIST' AS SRC_STM_CODE FROM FLEXBO.PGBLD_RT_CONTRACT_UDFIELD_HIST src_3</t>
        </is>
      </c>
      <c r="I5" s="408" t="n">
        <v>3</v>
      </c>
      <c r="J5" s="412" t="inlineStr">
        <is>
          <t>dags/dag_wave0_bronze_ingest.py | sql/bronze/flexbo_pgbld_rt_contract_udfield_hist.sql</t>
        </is>
      </c>
      <c r="K5" s="412" t="inlineStr">
        <is>
          <t>Ingest 1:1 toàn bộ 3 cột từ FLEXBO.PGBLD_RT_CONTRACT_UDFIELD_HIST lên PG_BRONZE.FLEXBO_PGBLD_RT_CONTRACT_UDFIELD_HIST (Wave 0)</t>
        </is>
      </c>
    </row>
    <row r="6" ht="151.5" customHeight="1" s="335">
      <c r="A6" s="408" t="n">
        <v>4</v>
      </c>
      <c r="B6" s="409" t="inlineStr">
        <is>
          <t>FLEXBO</t>
        </is>
      </c>
      <c r="C6" s="409" t="inlineStr">
        <is>
          <t>PGB_CONTRACT_UDF_MAP</t>
        </is>
      </c>
      <c r="D6" s="410" t="inlineStr">
        <is>
          <t>src_4</t>
        </is>
      </c>
      <c r="E6" s="411" t="inlineStr">
        <is>
          <t>PG_BRONZE</t>
        </is>
      </c>
      <c r="F6" s="409" t="inlineStr">
        <is>
          <t>FLEXBO_PGB_CONTRACT_UDF_MAP</t>
        </is>
      </c>
      <c r="G6" s="411" t="inlineStr">
        <is>
          <t>1:1 (Raw Mirror + Audit Columns)</t>
        </is>
      </c>
      <c r="H6" s="412" t="inlineStr">
        <is>
          <t>SELECT src_4.*, ${ETL_DATE} AS ETL_DATE, CURRENT_TIMESTAMP() AS INGEST_TMS, 'FLEXBO_PGB_CONTRACT_UDF_MAP' AS SRC_STM_CODE FROM FLEXBO.PGB_CONTRACT_UDF_MAP src_4</t>
        </is>
      </c>
      <c r="I6" s="408" t="n">
        <v>3</v>
      </c>
      <c r="J6" s="412" t="inlineStr">
        <is>
          <t>dags/dag_wave0_bronze_ingest.py | sql/bronze/flexbo_pgb_contract_udf_map.sql</t>
        </is>
      </c>
      <c r="K6" s="412" t="inlineStr">
        <is>
          <t>Ingest 1:1 toàn bộ 3 cột từ FLEXBO.PGB_CONTRACT_UDF_MAP lên PG_BRONZE.FLEXBO_PGB_CONTRACT_UDF_MAP (Wave 0)</t>
        </is>
      </c>
    </row>
    <row r="7" ht="165" customHeight="1" s="335">
      <c r="A7" s="408" t="n">
        <v>5</v>
      </c>
      <c r="B7" s="409" t="inlineStr">
        <is>
          <t>FLEXBO</t>
        </is>
      </c>
      <c r="C7" s="409" t="inlineStr">
        <is>
          <t>PGB_LDTB_CONTRACT_MASTER</t>
        </is>
      </c>
      <c r="D7" s="410" t="inlineStr">
        <is>
          <t>src_5</t>
        </is>
      </c>
      <c r="E7" s="411" t="inlineStr">
        <is>
          <t>PG_BRONZE</t>
        </is>
      </c>
      <c r="F7" s="409" t="inlineStr">
        <is>
          <t>FLEXBO_PGB_LDTB_CONTRACT_MASTER</t>
        </is>
      </c>
      <c r="G7" s="411" t="inlineStr">
        <is>
          <t>1:1 (Raw Mirror + Audit Columns)</t>
        </is>
      </c>
      <c r="H7" s="412" t="inlineStr">
        <is>
          <t>SELECT src_5.*, ${ETL_DATE} AS ETL_DATE, CURRENT_TIMESTAMP() AS INGEST_TMS, 'FLEXBO_PGB_LDTB_CONTRACT_MASTER' AS SRC_STM_CODE FROM FLEXBO.PGB_LDTB_CONTRACT_MASTER src_5</t>
        </is>
      </c>
      <c r="I7" s="408" t="n">
        <v>3</v>
      </c>
      <c r="J7" s="412" t="inlineStr">
        <is>
          <t>dags/dag_wave0_bronze_ingest.py | sql/bronze/flexbo_pgb_ldtb_contract_master.sql</t>
        </is>
      </c>
      <c r="K7" s="412" t="inlineStr">
        <is>
          <t>Ingest 1:1 toàn bộ 3 cột từ FLEXBO.PGB_LDTB_CONTRACT_MASTER lên PG_BRONZE.FLEXBO_PGB_LDTB_CONTRACT_MASTER (Wave 0)</t>
        </is>
      </c>
    </row>
    <row r="8" ht="165" customHeight="1" s="335">
      <c r="A8" s="408" t="n">
        <v>6</v>
      </c>
      <c r="B8" s="409" t="inlineStr">
        <is>
          <t>FLEXBO</t>
        </is>
      </c>
      <c r="C8" s="409" t="inlineStr">
        <is>
          <t>PGB_LOS_CONTRACT_FIELDS_TDATE</t>
        </is>
      </c>
      <c r="D8" s="410" t="inlineStr">
        <is>
          <t>src_6</t>
        </is>
      </c>
      <c r="E8" s="411" t="inlineStr">
        <is>
          <t>PG_BRONZE</t>
        </is>
      </c>
      <c r="F8" s="409" t="inlineStr">
        <is>
          <t>FLEXBO_PGB_LOS_CONTRACT_FIELDS_TDATE</t>
        </is>
      </c>
      <c r="G8" s="411" t="inlineStr">
        <is>
          <t>1:1 (Raw Mirror + Audit Columns)</t>
        </is>
      </c>
      <c r="H8" s="412" t="inlineStr">
        <is>
          <t>SELECT src_6.*, ${ETL_DATE} AS ETL_DATE, CURRENT_TIMESTAMP() AS INGEST_TMS, 'FLEXBO_PGB_LOS_CONTRACT_FIELDS_TDATE' AS SRC_STM_CODE FROM FLEXBO.PGB_LOS_CONTRACT_FIELDS_TDATE src_6</t>
        </is>
      </c>
      <c r="I8" s="408" t="n">
        <v>18</v>
      </c>
      <c r="J8" s="412" t="inlineStr">
        <is>
          <t>dags/dag_wave0_bronze_ingest.py | sql/bronze/flexbo_pgb_los_contract_fields_tdate.sql</t>
        </is>
      </c>
      <c r="K8" s="412" t="inlineStr">
        <is>
          <t>Ingest 1:1 toàn bộ 18 cột từ FLEXBO.PGB_LOS_CONTRACT_FIELDS_TDATE lên PG_BRONZE.FLEXBO_PGB_LOS_CONTRACT_FIELDS_TDATE (Wave 0)</t>
        </is>
      </c>
    </row>
    <row r="9" ht="123.75" customHeight="1" s="335">
      <c r="A9" s="408" t="n">
        <v>7</v>
      </c>
      <c r="B9" s="409" t="inlineStr">
        <is>
          <t>LOS_APP</t>
        </is>
      </c>
      <c r="C9" s="409" t="inlineStr">
        <is>
          <t>FACILITY@TO_LOS</t>
        </is>
      </c>
      <c r="D9" s="410" t="inlineStr">
        <is>
          <t>src_7</t>
        </is>
      </c>
      <c r="E9" s="411" t="inlineStr">
        <is>
          <t>PG_BRONZE</t>
        </is>
      </c>
      <c r="F9" s="409" t="inlineStr">
        <is>
          <t>LOS_APP_FACILITY</t>
        </is>
      </c>
      <c r="G9" s="411" t="inlineStr">
        <is>
          <t>1:1 (Raw Mirror + Audit Columns)</t>
        </is>
      </c>
      <c r="H9" s="412" t="inlineStr">
        <is>
          <t>SELECT src_7.*, ${ETL_DATE} AS ETL_DATE, CURRENT_TIMESTAMP() AS INGEST_TMS, 'LOS_APP_FACILITY' AS SRC_STM_CODE FROM LOS_APP.FACILITY@TO_LOS src_7</t>
        </is>
      </c>
      <c r="I9" s="408" t="n">
        <v>2</v>
      </c>
      <c r="J9" s="412" t="inlineStr">
        <is>
          <t>dags/dag_wave0_bronze_ingest.py | sql/bronze/los_app_facility.sql</t>
        </is>
      </c>
      <c r="K9" s="412" t="inlineStr">
        <is>
          <t>Ingest 1:1 toàn bộ 2 cột từ LOS_APP.FACILITY@TO_LOS lên PG_BRONZE.LOS_APP_FACILITY (Wave 0)</t>
        </is>
      </c>
    </row>
    <row r="10" ht="165" customHeight="1" s="335">
      <c r="A10" s="408" t="n">
        <v>8</v>
      </c>
      <c r="B10" s="409" t="inlineStr">
        <is>
          <t>LOS_APP</t>
        </is>
      </c>
      <c r="C10" s="409" t="inlineStr">
        <is>
          <t>LOAN_DISBURSEMENT@TO_LOS</t>
        </is>
      </c>
      <c r="D10" s="410" t="inlineStr">
        <is>
          <t>src_8</t>
        </is>
      </c>
      <c r="E10" s="411" t="inlineStr">
        <is>
          <t>PG_BRONZE</t>
        </is>
      </c>
      <c r="F10" s="409" t="inlineStr">
        <is>
          <t>LOS_APP_LOAN_DISBURSEMENT</t>
        </is>
      </c>
      <c r="G10" s="411" t="inlineStr">
        <is>
          <t>1:1 (Raw Mirror + Audit Columns)</t>
        </is>
      </c>
      <c r="H10" s="412" t="inlineStr">
        <is>
          <t>SELECT src_8.*, ${ETL_DATE} AS ETL_DATE, CURRENT_TIMESTAMP() AS INGEST_TMS, 'LOS_APP_LOAN_DISBURSEMENT' AS SRC_STM_CODE FROM LOS_APP.LOAN_DISBURSEMENT@TO_LOS src_8</t>
        </is>
      </c>
      <c r="I10" s="408" t="n">
        <v>5</v>
      </c>
      <c r="J10" s="412" t="inlineStr">
        <is>
          <t>dags/dag_wave0_bronze_ingest.py | sql/bronze/los_app_loan_disbursement.sql</t>
        </is>
      </c>
      <c r="K10" s="412" t="inlineStr">
        <is>
          <t>Ingest 1:1 toàn bộ 5 cột từ LOS_APP.LOAN_DISBURSEMENT@TO_LOS lên PG_BRONZE.LOS_APP_LOAN_DISBURSEMENT (Wave 0)</t>
        </is>
      </c>
    </row>
    <row r="11" ht="138" customHeight="1" s="335">
      <c r="A11" s="408" t="n">
        <v>9</v>
      </c>
      <c r="B11" s="409" t="inlineStr">
        <is>
          <t>LOS_APP</t>
        </is>
      </c>
      <c r="C11" s="409" t="inlineStr">
        <is>
          <t>PRODUCT@TO_LOS</t>
        </is>
      </c>
      <c r="D11" s="410" t="inlineStr">
        <is>
          <t>src_9</t>
        </is>
      </c>
      <c r="E11" s="411" t="inlineStr">
        <is>
          <t>PG_BRONZE</t>
        </is>
      </c>
      <c r="F11" s="409" t="inlineStr">
        <is>
          <t>LOS_APP_PRODUCT</t>
        </is>
      </c>
      <c r="G11" s="411" t="inlineStr">
        <is>
          <t>1:1 (Raw Mirror + Audit Columns)</t>
        </is>
      </c>
      <c r="H11" s="412" t="inlineStr">
        <is>
          <t>SELECT src_9.*, ${ETL_DATE} AS ETL_DATE, CURRENT_TIMESTAMP() AS INGEST_TMS, 'LOS_APP_PRODUCT' AS SRC_STM_CODE FROM LOS_APP.PRODUCT@TO_LOS src_9</t>
        </is>
      </c>
      <c r="I11" s="408" t="n">
        <v>4</v>
      </c>
      <c r="J11" s="412" t="inlineStr">
        <is>
          <t>dags/dag_wave0_bronze_ingest.py | sql/bronze/los_app_product.sql</t>
        </is>
      </c>
      <c r="K11" s="412" t="inlineStr">
        <is>
          <t>Ingest 1:1 toàn bộ 4 cột từ LOS_APP.PRODUCT@TO_LOS lên PG_BRONZE.LOS_APP_PRODUCT (Wave 0)</t>
        </is>
      </c>
    </row>
    <row r="12" ht="110.25" customHeight="1" s="335">
      <c r="A12" s="408" t="n">
        <v>10</v>
      </c>
      <c r="B12" s="409" t="inlineStr">
        <is>
          <t>SMY</t>
        </is>
      </c>
      <c r="C12" s="409" t="inlineStr">
        <is>
          <t>STMT_DAILY</t>
        </is>
      </c>
      <c r="D12" s="410" t="inlineStr">
        <is>
          <t>src_10</t>
        </is>
      </c>
      <c r="E12" s="411" t="inlineStr">
        <is>
          <t>PG_BRONZE</t>
        </is>
      </c>
      <c r="F12" s="409" t="inlineStr">
        <is>
          <t>SMY_STMT_DAILY</t>
        </is>
      </c>
      <c r="G12" s="411" t="inlineStr">
        <is>
          <t>1:1 (Raw Mirror + Audit Columns)</t>
        </is>
      </c>
      <c r="H12" s="412" t="inlineStr">
        <is>
          <t>SELECT src_10.*, ${ETL_DATE} AS ETL_DATE, CURRENT_TIMESTAMP() AS INGEST_TMS, 'SMY_STMT_DAILY' AS SRC_STM_CODE FROM SMY.STMT_DAILY src_10</t>
        </is>
      </c>
      <c r="I12" s="408" t="n">
        <v>56</v>
      </c>
      <c r="J12" s="412" t="inlineStr">
        <is>
          <t>dags/dag_wave0_bronze_ingest.py | sql/bronze/smy_stmt_daily.sql</t>
        </is>
      </c>
      <c r="K12" s="412" t="inlineStr">
        <is>
          <t>Ingest 1:1 toàn bộ 56 cột từ SMY.STMT_DAILY lên PG_BRONZE.SMY_STMT_DAILY (Wave 0)</t>
        </is>
      </c>
    </row>
    <row r="13" ht="123.75" customHeight="1" s="335">
      <c r="A13" s="408" t="n">
        <v>11</v>
      </c>
      <c r="B13" s="409" t="inlineStr">
        <is>
          <t>SOURCE</t>
        </is>
      </c>
      <c r="C13" s="409" t="inlineStr">
        <is>
          <t>SAOKE_CRB</t>
        </is>
      </c>
      <c r="D13" s="410" t="inlineStr">
        <is>
          <t>src_11</t>
        </is>
      </c>
      <c r="E13" s="411" t="inlineStr">
        <is>
          <t>PG_BRONZE</t>
        </is>
      </c>
      <c r="F13" s="409" t="inlineStr">
        <is>
          <t>SOURCE_SAOKE_CRB</t>
        </is>
      </c>
      <c r="G13" s="411" t="inlineStr">
        <is>
          <t>1:1 (Raw Mirror + Audit Columns)</t>
        </is>
      </c>
      <c r="H13" s="412" t="inlineStr">
        <is>
          <t>SELECT src_11.*, ${ETL_DATE} AS ETL_DATE, CURRENT_TIMESTAMP() AS INGEST_TMS, 'SOURCE_SAOKE_CRB' AS SRC_STM_CODE FROM SOURCE.SAOKE_CRB src_11</t>
        </is>
      </c>
      <c r="I13" s="408" t="n">
        <v>17</v>
      </c>
      <c r="J13" s="412" t="inlineStr">
        <is>
          <t>dags/dag_wave0_bronze_ingest.py | sql/bronze/source_saoke_crb.sql</t>
        </is>
      </c>
      <c r="K13" s="412" t="inlineStr">
        <is>
          <t>Ingest 1:1 toàn bộ 17 cột từ SOURCE.SAOKE_CRB lên PG_BRONZE.SOURCE_SAOKE_CRB (Wave 0)</t>
        </is>
      </c>
    </row>
    <row r="14" ht="123.75" customHeight="1" s="335">
      <c r="A14" s="408" t="n">
        <v>12</v>
      </c>
      <c r="B14" s="409" t="inlineStr">
        <is>
          <t>SOURCE</t>
        </is>
      </c>
      <c r="C14" s="409" t="inlineStr">
        <is>
          <t>SAOKE_MVMT</t>
        </is>
      </c>
      <c r="D14" s="410" t="inlineStr">
        <is>
          <t>src_12</t>
        </is>
      </c>
      <c r="E14" s="411" t="inlineStr">
        <is>
          <t>PG_BRONZE</t>
        </is>
      </c>
      <c r="F14" s="409" t="inlineStr">
        <is>
          <t>SOURCE_SAOKE_MVMT</t>
        </is>
      </c>
      <c r="G14" s="411" t="inlineStr">
        <is>
          <t>1:1 (Raw Mirror + Audit Columns)</t>
        </is>
      </c>
      <c r="H14" s="412" t="inlineStr">
        <is>
          <t>SELECT src_12.*, ${ETL_DATE} AS ETL_DATE, CURRENT_TIMESTAMP() AS INGEST_TMS, 'SOURCE_SAOKE_MVMT' AS SRC_STM_CODE FROM SOURCE.SAOKE_MVMT src_12</t>
        </is>
      </c>
      <c r="I14" s="408" t="n">
        <v>3</v>
      </c>
      <c r="J14" s="412" t="inlineStr">
        <is>
          <t>dags/dag_wave0_bronze_ingest.py | sql/bronze/source_saoke_mvmt.sql</t>
        </is>
      </c>
      <c r="K14" s="412" t="inlineStr">
        <is>
          <t>Ingest 1:1 toàn bộ 3 cột từ SOURCE.SAOKE_MVMT lên PG_BRONZE.SOURCE_SAOKE_MVMT (Wave 0)</t>
        </is>
      </c>
    </row>
    <row r="15" ht="123.75" customHeight="1" s="335">
      <c r="A15" s="408" t="n">
        <v>13</v>
      </c>
      <c r="B15" s="409" t="inlineStr">
        <is>
          <t>T24CORE</t>
        </is>
      </c>
      <c r="C15" s="409" t="inlineStr">
        <is>
          <t>COMPANY</t>
        </is>
      </c>
      <c r="D15" s="410" t="inlineStr">
        <is>
          <t>src_13</t>
        </is>
      </c>
      <c r="E15" s="411" t="inlineStr">
        <is>
          <t>PG_BRONZE</t>
        </is>
      </c>
      <c r="F15" s="409" t="inlineStr">
        <is>
          <t>T24CORE_COMPANY</t>
        </is>
      </c>
      <c r="G15" s="411" t="inlineStr">
        <is>
          <t>1:1 (Raw Mirror + Audit Columns)</t>
        </is>
      </c>
      <c r="H15" s="412" t="inlineStr">
        <is>
          <t>SELECT src_13.*, ${ETL_DATE} AS ETL_DATE, CURRENT_TIMESTAMP() AS INGEST_TMS, 'T24CORE_COMPANY' AS SRC_STM_CODE FROM T24CORE.COMPANY src_13</t>
        </is>
      </c>
      <c r="I15" s="408" t="n">
        <v>2</v>
      </c>
      <c r="J15" s="412" t="inlineStr">
        <is>
          <t>dags/dag_wave0_bronze_ingest.py | sql/bronze/t24core_company.sql</t>
        </is>
      </c>
      <c r="K15" s="412" t="inlineStr">
        <is>
          <t>Ingest 1:1 toàn bộ 2 cột từ T24CORE.COMPANY lên PG_BRONZE.T24CORE_COMPANY (Wave 0)</t>
        </is>
      </c>
    </row>
    <row r="16" ht="123.75" customHeight="1" s="335">
      <c r="A16" s="408" t="n">
        <v>14</v>
      </c>
      <c r="B16" s="409" t="inlineStr">
        <is>
          <t>T24CORE</t>
        </is>
      </c>
      <c r="C16" s="409" t="inlineStr">
        <is>
          <t>CURRENCY</t>
        </is>
      </c>
      <c r="D16" s="410" t="inlineStr">
        <is>
          <t>src_14</t>
        </is>
      </c>
      <c r="E16" s="411" t="inlineStr">
        <is>
          <t>PG_BRONZE</t>
        </is>
      </c>
      <c r="F16" s="409" t="inlineStr">
        <is>
          <t>T24CORE_CURRENCY</t>
        </is>
      </c>
      <c r="G16" s="411" t="inlineStr">
        <is>
          <t>1:1 (Raw Mirror + Audit Columns)</t>
        </is>
      </c>
      <c r="H16" s="412" t="inlineStr">
        <is>
          <t>SELECT src_14.*, ${ETL_DATE} AS ETL_DATE, CURRENT_TIMESTAMP() AS INGEST_TMS, 'T24CORE_CURRENCY' AS SRC_STM_CODE FROM T24CORE.CURRENCY src_14</t>
        </is>
      </c>
      <c r="I16" s="408" t="n">
        <v>6</v>
      </c>
      <c r="J16" s="412" t="inlineStr">
        <is>
          <t>dags/dag_wave0_bronze_ingest.py | sql/bronze/t24core_currency.sql</t>
        </is>
      </c>
      <c r="K16" s="412" t="inlineStr">
        <is>
          <t>Ingest 1:1 toàn bộ 6 cột từ T24CORE.CURRENCY lên PG_BRONZE.T24CORE_CURRENCY (Wave 0)</t>
        </is>
      </c>
    </row>
    <row r="17" ht="138" customHeight="1" s="335">
      <c r="A17" s="408" t="n">
        <v>15</v>
      </c>
      <c r="B17" s="409" t="inlineStr">
        <is>
          <t>T24CORE</t>
        </is>
      </c>
      <c r="C17" s="409" t="inlineStr">
        <is>
          <t>CURRENCY_HIS</t>
        </is>
      </c>
      <c r="D17" s="410" t="inlineStr">
        <is>
          <t>src_15</t>
        </is>
      </c>
      <c r="E17" s="411" t="inlineStr">
        <is>
          <t>PG_BRONZE</t>
        </is>
      </c>
      <c r="F17" s="409" t="inlineStr">
        <is>
          <t>T24CORE_CURRENCY_HIS</t>
        </is>
      </c>
      <c r="G17" s="411" t="inlineStr">
        <is>
          <t>1:1 (Raw Mirror + Audit Columns)</t>
        </is>
      </c>
      <c r="H17" s="412" t="inlineStr">
        <is>
          <t>SELECT src_15.*, ${ETL_DATE} AS ETL_DATE, CURRENT_TIMESTAMP() AS INGEST_TMS, 'T24CORE_CURRENCY_HIS' AS SRC_STM_CODE FROM T24CORE.CURRENCY_HIS src_15</t>
        </is>
      </c>
      <c r="I17" s="408" t="n">
        <v>4</v>
      </c>
      <c r="J17" s="412" t="inlineStr">
        <is>
          <t>dags/dag_wave0_bronze_ingest.py | sql/bronze/t24core_currency_his.sql</t>
        </is>
      </c>
      <c r="K17" s="412" t="inlineStr">
        <is>
          <t>Ingest 1:1 toàn bộ 4 cột từ T24CORE.CURRENCY_HIS lên PG_BRONZE.T24CORE_CURRENCY_HIS (Wave 0)</t>
        </is>
      </c>
    </row>
    <row r="18" ht="123.75" customHeight="1" s="335">
      <c r="A18" s="408" t="n">
        <v>16</v>
      </c>
      <c r="B18" s="409" t="inlineStr">
        <is>
          <t>T24CORE</t>
        </is>
      </c>
      <c r="C18" s="409" t="inlineStr">
        <is>
          <t>CUSTOMER</t>
        </is>
      </c>
      <c r="D18" s="410" t="inlineStr">
        <is>
          <t>src_16</t>
        </is>
      </c>
      <c r="E18" s="411" t="inlineStr">
        <is>
          <t>PG_BRONZE</t>
        </is>
      </c>
      <c r="F18" s="409" t="inlineStr">
        <is>
          <t>T24CORE_CUSTOMER</t>
        </is>
      </c>
      <c r="G18" s="411" t="inlineStr">
        <is>
          <t>1:1 (Raw Mirror + Audit Columns)</t>
        </is>
      </c>
      <c r="H18" s="412" t="inlineStr">
        <is>
          <t>SELECT src_16.*, ${ETL_DATE} AS ETL_DATE, CURRENT_TIMESTAMP() AS INGEST_TMS, 'T24CORE_CUSTOMER' AS SRC_STM_CODE FROM T24CORE.CUSTOMER src_16</t>
        </is>
      </c>
      <c r="I18" s="408" t="n">
        <v>63</v>
      </c>
      <c r="J18" s="412" t="inlineStr">
        <is>
          <t>dags/dag_wave0_bronze_ingest.py | sql/bronze/t24core_customer.sql</t>
        </is>
      </c>
      <c r="K18" s="412" t="inlineStr">
        <is>
          <t>Ingest 1:1 toàn bộ 63 cột từ T24CORE.CUSTOMER lên PG_BRONZE.T24CORE_CUSTOMER (Wave 0)</t>
        </is>
      </c>
    </row>
    <row r="19" ht="138" customHeight="1" s="335">
      <c r="A19" s="408" t="n">
        <v>17</v>
      </c>
      <c r="B19" s="409" t="inlineStr">
        <is>
          <t>T24CORE</t>
        </is>
      </c>
      <c r="C19" s="409" t="inlineStr">
        <is>
          <t>DEPT_ACCT_OFFICER</t>
        </is>
      </c>
      <c r="D19" s="410" t="inlineStr">
        <is>
          <t>src_17</t>
        </is>
      </c>
      <c r="E19" s="411" t="inlineStr">
        <is>
          <t>PG_BRONZE</t>
        </is>
      </c>
      <c r="F19" s="409" t="inlineStr">
        <is>
          <t>T24CORE_DEPT_ACCT_OFFICER</t>
        </is>
      </c>
      <c r="G19" s="411" t="inlineStr">
        <is>
          <t>1:1 (Raw Mirror + Audit Columns)</t>
        </is>
      </c>
      <c r="H19" s="412" t="inlineStr">
        <is>
          <t>SELECT src_17.*, ${ETL_DATE} AS ETL_DATE, CURRENT_TIMESTAMP() AS INGEST_TMS, 'T24CORE_DEPT_ACCT_OFFICER' AS SRC_STM_CODE FROM T24CORE.DEPT_ACCT_OFFICER src_17</t>
        </is>
      </c>
      <c r="I19" s="408" t="n">
        <v>2</v>
      </c>
      <c r="J19" s="412" t="inlineStr">
        <is>
          <t>dags/dag_wave0_bronze_ingest.py | sql/bronze/t24core_dept_acct_officer.sql</t>
        </is>
      </c>
      <c r="K19" s="412" t="inlineStr">
        <is>
          <t>Ingest 1:1 toàn bộ 2 cột từ T24CORE.DEPT_ACCT_OFFICER lên PG_BRONZE.T24CORE_DEPT_ACCT_OFFICER (Wave 0)</t>
        </is>
      </c>
    </row>
    <row r="20" ht="151.5" customHeight="1" s="335">
      <c r="A20" s="408" t="n">
        <v>18</v>
      </c>
      <c r="B20" s="409" t="inlineStr">
        <is>
          <t>T24CORE</t>
        </is>
      </c>
      <c r="C20" s="409" t="inlineStr">
        <is>
          <t>LD_LOANS_AND_DEPOSITS</t>
        </is>
      </c>
      <c r="D20" s="410" t="inlineStr">
        <is>
          <t>src_18</t>
        </is>
      </c>
      <c r="E20" s="411" t="inlineStr">
        <is>
          <t>PG_BRONZE</t>
        </is>
      </c>
      <c r="F20" s="409" t="inlineStr">
        <is>
          <t>T24CORE_LD_LOANS_AND_DEPOSITS</t>
        </is>
      </c>
      <c r="G20" s="411" t="inlineStr">
        <is>
          <t>1:1 (Raw Mirror + Audit Columns)</t>
        </is>
      </c>
      <c r="H20" s="412" t="inlineStr">
        <is>
          <t>SELECT src_18.*, ${ETL_DATE} AS ETL_DATE, CURRENT_TIMESTAMP() AS INGEST_TMS, 'T24CORE_LD_LOANS_AND_DEPOSITS' AS SRC_STM_CODE FROM T24CORE.LD_LOANS_AND_DEPOSITS src_18</t>
        </is>
      </c>
      <c r="I20" s="408" t="n">
        <v>39</v>
      </c>
      <c r="J20" s="412" t="inlineStr">
        <is>
          <t>dags/dag_wave0_bronze_ingest.py | sql/bronze/t24core_ld_loans_and_deposits.sql</t>
        </is>
      </c>
      <c r="K20" s="412" t="inlineStr">
        <is>
          <t>Ingest 1:1 toàn bộ 39 cột từ T24CORE.LD_LOANS_AND_DEPOSITS lên PG_BRONZE.T24CORE_LD_LOANS_AND_DEPOSITS (Wave 0)</t>
        </is>
      </c>
    </row>
    <row r="21" ht="165" customHeight="1" s="335">
      <c r="A21" s="408" t="n">
        <v>19</v>
      </c>
      <c r="B21" s="409" t="inlineStr">
        <is>
          <t>T24CORE</t>
        </is>
      </c>
      <c r="C21" s="409" t="inlineStr">
        <is>
          <t>LD_LOANS_AND_DEPOSITS_HIS</t>
        </is>
      </c>
      <c r="D21" s="410" t="inlineStr">
        <is>
          <t>src_19</t>
        </is>
      </c>
      <c r="E21" s="411" t="inlineStr">
        <is>
          <t>PG_BRONZE</t>
        </is>
      </c>
      <c r="F21" s="409" t="inlineStr">
        <is>
          <t>T24CORE_LD_LOANS_AND_DEPOSITS_HIS</t>
        </is>
      </c>
      <c r="G21" s="411" t="inlineStr">
        <is>
          <t>1:1 (Raw Mirror + Audit Columns)</t>
        </is>
      </c>
      <c r="H21" s="412" t="inlineStr">
        <is>
          <t>SELECT src_19.*, ${ETL_DATE} AS ETL_DATE, CURRENT_TIMESTAMP() AS INGEST_TMS, 'T24CORE_LD_LOANS_AND_DEPOSITS_HIS' AS SRC_STM_CODE FROM T24CORE.LD_LOANS_AND_DEPOSITS_HIS src_19</t>
        </is>
      </c>
      <c r="I21" s="408" t="n">
        <v>29</v>
      </c>
      <c r="J21" s="412" t="inlineStr">
        <is>
          <t>dags/dag_wave0_bronze_ingest.py | sql/bronze/t24core_ld_loans_and_deposits_his.sql</t>
        </is>
      </c>
      <c r="K21" s="412" t="inlineStr">
        <is>
          <t>Ingest 1:1 toàn bộ 29 cột từ T24CORE.LD_LOANS_AND_DEPOSITS_HIS lên PG_BRONZE.T24CORE_LD_LOANS_AND_DEPOSITS_HIS (Wave 0)</t>
        </is>
      </c>
    </row>
    <row r="22" ht="151.5" customHeight="1" s="335">
      <c r="A22" s="408" t="n">
        <v>20</v>
      </c>
      <c r="B22" s="409" t="inlineStr">
        <is>
          <t>T24CORE</t>
        </is>
      </c>
      <c r="C22" s="409" t="inlineStr">
        <is>
          <t>LD_SCHEDULE_DEFINE_MV</t>
        </is>
      </c>
      <c r="D22" s="410" t="inlineStr">
        <is>
          <t>src_20</t>
        </is>
      </c>
      <c r="E22" s="411" t="inlineStr">
        <is>
          <t>PG_BRONZE</t>
        </is>
      </c>
      <c r="F22" s="409" t="inlineStr">
        <is>
          <t>T24CORE_LD_SCHEDULE_DEFINE_MV</t>
        </is>
      </c>
      <c r="G22" s="411" t="inlineStr">
        <is>
          <t>1:1 (Raw Mirror + Audit Columns)</t>
        </is>
      </c>
      <c r="H22" s="412" t="inlineStr">
        <is>
          <t>SELECT src_20.*, ${ETL_DATE} AS ETL_DATE, CURRENT_TIMESTAMP() AS INGEST_TMS, 'T24CORE_LD_SCHEDULE_DEFINE_MV' AS SRC_STM_CODE FROM T24CORE.LD_SCHEDULE_DEFINE_MV src_20</t>
        </is>
      </c>
      <c r="I22" s="408" t="n">
        <v>2</v>
      </c>
      <c r="J22" s="412" t="inlineStr">
        <is>
          <t>dags/dag_wave0_bronze_ingest.py | sql/bronze/t24core_ld_schedule_define_mv.sql</t>
        </is>
      </c>
      <c r="K22" s="412" t="inlineStr">
        <is>
          <t>Ingest 1:1 toàn bộ 2 cột từ T24CORE.LD_SCHEDULE_DEFINE_MV lên PG_BRONZE.T24CORE_LD_SCHEDULE_DEFINE_MV (Wave 0)</t>
        </is>
      </c>
    </row>
    <row r="23" ht="110.25" customHeight="1" s="335">
      <c r="A23" s="408" t="n">
        <v>21</v>
      </c>
      <c r="B23" s="409" t="inlineStr">
        <is>
          <t>T24CORE</t>
        </is>
      </c>
      <c r="C23" s="409" t="inlineStr">
        <is>
          <t>LIMIT</t>
        </is>
      </c>
      <c r="D23" s="410" t="inlineStr">
        <is>
          <t>src_21</t>
        </is>
      </c>
      <c r="E23" s="411" t="inlineStr">
        <is>
          <t>PG_BRONZE</t>
        </is>
      </c>
      <c r="F23" s="409" t="inlineStr">
        <is>
          <t>T24CORE_LIMIT</t>
        </is>
      </c>
      <c r="G23" s="411" t="inlineStr">
        <is>
          <t>1:1 (Raw Mirror + Audit Columns)</t>
        </is>
      </c>
      <c r="H23" s="412" t="inlineStr">
        <is>
          <t>SELECT src_21.*, ${ETL_DATE} AS ETL_DATE, CURRENT_TIMESTAMP() AS INGEST_TMS, 'T24CORE_LIMIT' AS SRC_STM_CODE FROM T24CORE.LIMIT src_21</t>
        </is>
      </c>
      <c r="I23" s="408" t="n">
        <v>6</v>
      </c>
      <c r="J23" s="412" t="inlineStr">
        <is>
          <t>dags/dag_wave0_bronze_ingest.py | sql/bronze/t24core_limit.sql</t>
        </is>
      </c>
      <c r="K23" s="412" t="inlineStr">
        <is>
          <t>Ingest 1:1 toàn bộ 6 cột từ T24CORE.LIMIT lên PG_BRONZE.T24CORE_LIMIT (Wave 0)</t>
        </is>
      </c>
    </row>
    <row r="24" ht="151.5" customHeight="1" s="335">
      <c r="A24" s="408" t="n">
        <v>22</v>
      </c>
      <c r="B24" s="409" t="inlineStr">
        <is>
          <t>T24CORE</t>
        </is>
      </c>
      <c r="C24" s="409" t="inlineStr">
        <is>
          <t>MB_MG_SAVING_MULTI</t>
        </is>
      </c>
      <c r="D24" s="410" t="inlineStr">
        <is>
          <t>src_22</t>
        </is>
      </c>
      <c r="E24" s="411" t="inlineStr">
        <is>
          <t>PG_BRONZE</t>
        </is>
      </c>
      <c r="F24" s="409" t="inlineStr">
        <is>
          <t>T24CORE_MB_MG_SAVING_MULTI</t>
        </is>
      </c>
      <c r="G24" s="411" t="inlineStr">
        <is>
          <t>1:1 (Raw Mirror + Audit Columns)</t>
        </is>
      </c>
      <c r="H24" s="412" t="inlineStr">
        <is>
          <t>SELECT src_22.*, ${ETL_DATE} AS ETL_DATE, CURRENT_TIMESTAMP() AS INGEST_TMS, 'T24CORE_MB_MG_SAVING_MULTI' AS SRC_STM_CODE FROM T24CORE.MB_MG_SAVING_MULTI src_22</t>
        </is>
      </c>
      <c r="I24" s="408" t="n">
        <v>3</v>
      </c>
      <c r="J24" s="412" t="inlineStr">
        <is>
          <t>dags/dag_wave0_bronze_ingest.py | sql/bronze/t24core_mb_mg_saving_multi.sql</t>
        </is>
      </c>
      <c r="K24" s="412" t="inlineStr">
        <is>
          <t>Ingest 1:1 toàn bộ 3 cột từ T24CORE.MB_MG_SAVING_MULTI lên PG_BRONZE.T24CORE_MB_MG_SAVING_MULTI (Wave 0)</t>
        </is>
      </c>
    </row>
    <row r="25" ht="138" customHeight="1" s="335">
      <c r="A25" s="408" t="n">
        <v>23</v>
      </c>
      <c r="B25" s="409" t="inlineStr">
        <is>
          <t>T24CORE</t>
        </is>
      </c>
      <c r="C25" s="409" t="inlineStr">
        <is>
          <t>PD_PAYMENT_DUE</t>
        </is>
      </c>
      <c r="D25" s="410" t="inlineStr">
        <is>
          <t>src_23</t>
        </is>
      </c>
      <c r="E25" s="411" t="inlineStr">
        <is>
          <t>PG_BRONZE</t>
        </is>
      </c>
      <c r="F25" s="409" t="inlineStr">
        <is>
          <t>T24CORE_PD_PAYMENT_DUE</t>
        </is>
      </c>
      <c r="G25" s="411" t="inlineStr">
        <is>
          <t>1:1 (Raw Mirror + Audit Columns)</t>
        </is>
      </c>
      <c r="H25" s="412" t="inlineStr">
        <is>
          <t>SELECT src_23.*, ${ETL_DATE} AS ETL_DATE, CURRENT_TIMESTAMP() AS INGEST_TMS, 'T24CORE_PD_PAYMENT_DUE' AS SRC_STM_CODE FROM T24CORE.PD_PAYMENT_DUE src_23</t>
        </is>
      </c>
      <c r="I25" s="408" t="n">
        <v>21</v>
      </c>
      <c r="J25" s="412" t="inlineStr">
        <is>
          <t>dags/dag_wave0_bronze_ingest.py | sql/bronze/t24core_pd_payment_due.sql</t>
        </is>
      </c>
      <c r="K25" s="412" t="inlineStr">
        <is>
          <t>Ingest 1:1 toàn bộ 21 cột từ T24CORE.PD_PAYMENT_DUE lên PG_BRONZE.T24CORE_PD_PAYMENT_DUE (Wave 0)</t>
        </is>
      </c>
    </row>
    <row r="26" ht="151.5" customHeight="1" s="335">
      <c r="A26" s="408" t="n">
        <v>24</v>
      </c>
      <c r="B26" s="409" t="inlineStr">
        <is>
          <t>T24CORE</t>
        </is>
      </c>
      <c r="C26" s="409" t="inlineStr">
        <is>
          <t>PD_PAYMENT_DUE_HIS</t>
        </is>
      </c>
      <c r="D26" s="410" t="inlineStr">
        <is>
          <t>src_24</t>
        </is>
      </c>
      <c r="E26" s="411" t="inlineStr">
        <is>
          <t>PG_BRONZE</t>
        </is>
      </c>
      <c r="F26" s="409" t="inlineStr">
        <is>
          <t>T24CORE_PD_PAYMENT_DUE_HIS</t>
        </is>
      </c>
      <c r="G26" s="411" t="inlineStr">
        <is>
          <t>1:1 (Raw Mirror + Audit Columns)</t>
        </is>
      </c>
      <c r="H26" s="412" t="inlineStr">
        <is>
          <t>SELECT src_24.*, ${ETL_DATE} AS ETL_DATE, CURRENT_TIMESTAMP() AS INGEST_TMS, 'T24CORE_PD_PAYMENT_DUE_HIS' AS SRC_STM_CODE FROM T24CORE.PD_PAYMENT_DUE_HIS src_24</t>
        </is>
      </c>
      <c r="I26" s="408" t="n">
        <v>3</v>
      </c>
      <c r="J26" s="412" t="inlineStr">
        <is>
          <t>dags/dag_wave0_bronze_ingest.py | sql/bronze/t24core_pd_payment_due_his.sql</t>
        </is>
      </c>
      <c r="K26" s="412" t="inlineStr">
        <is>
          <t>Ingest 1:1 toàn bộ 3 cột từ T24CORE.PD_PAYMENT_DUE_HIS lên PG_BRONZE.T24CORE_PD_PAYMENT_DUE_HIS (Wave 0)</t>
        </is>
      </c>
    </row>
    <row r="27" ht="165" customHeight="1" s="335">
      <c r="A27" s="408" t="n">
        <v>25</v>
      </c>
      <c r="B27" s="409" t="inlineStr">
        <is>
          <t>T24CORE</t>
        </is>
      </c>
      <c r="C27" s="409" t="inlineStr">
        <is>
          <t>PD_PAYMENT_DUE_HIS_MV</t>
        </is>
      </c>
      <c r="D27" s="410" t="inlineStr">
        <is>
          <t>src_25</t>
        </is>
      </c>
      <c r="E27" s="411" t="inlineStr">
        <is>
          <t>PG_BRONZE</t>
        </is>
      </c>
      <c r="F27" s="409" t="inlineStr">
        <is>
          <t>T24CORE_PD_PAYMENT_DUE_HIS_MV</t>
        </is>
      </c>
      <c r="G27" s="411" t="inlineStr">
        <is>
          <t>1:1 (Raw Mirror + Audit Columns)</t>
        </is>
      </c>
      <c r="H27" s="412" t="inlineStr">
        <is>
          <t>SELECT src_25.*, ${ETL_DATE} AS ETL_DATE, CURRENT_TIMESTAMP() AS INGEST_TMS, 'T24CORE_PD_PAYMENT_DUE_HIS_MV' AS SRC_STM_CODE FROM T24CORE.PD_PAYMENT_DUE_HIS_MV src_25</t>
        </is>
      </c>
      <c r="I27" s="408" t="n">
        <v>20</v>
      </c>
      <c r="J27" s="412" t="inlineStr">
        <is>
          <t>dags/dag_wave0_bronze_ingest.py | sql/bronze/t24core_pd_payment_due_his_mv.sql</t>
        </is>
      </c>
      <c r="K27" s="412" t="inlineStr">
        <is>
          <t>Ingest 1:1 toàn bộ 20 cột từ T24CORE.PD_PAYMENT_DUE_HIS_MV lên PG_BRONZE.T24CORE_PD_PAYMENT_DUE_HIS_MV (Wave 0)</t>
        </is>
      </c>
    </row>
    <row r="28" ht="151.5" customHeight="1" s="335">
      <c r="A28" s="408" t="n">
        <v>26</v>
      </c>
      <c r="B28" s="409" t="inlineStr">
        <is>
          <t>T24CORE</t>
        </is>
      </c>
      <c r="C28" s="409" t="inlineStr">
        <is>
          <t>PD_PAYMENT_DUE_MV</t>
        </is>
      </c>
      <c r="D28" s="410" t="inlineStr">
        <is>
          <t>src_26</t>
        </is>
      </c>
      <c r="E28" s="411" t="inlineStr">
        <is>
          <t>PG_BRONZE</t>
        </is>
      </c>
      <c r="F28" s="409" t="inlineStr">
        <is>
          <t>T24CORE_PD_PAYMENT_DUE_MV</t>
        </is>
      </c>
      <c r="G28" s="411" t="inlineStr">
        <is>
          <t>1:1 (Raw Mirror + Audit Columns)</t>
        </is>
      </c>
      <c r="H28" s="412" t="inlineStr">
        <is>
          <t>SELECT src_26.*, ${ETL_DATE} AS ETL_DATE, CURRENT_TIMESTAMP() AS INGEST_TMS, 'T24CORE_PD_PAYMENT_DUE_MV' AS SRC_STM_CODE FROM T24CORE.PD_PAYMENT_DUE_MV src_26</t>
        </is>
      </c>
      <c r="I28" s="408" t="n">
        <v>23</v>
      </c>
      <c r="J28" s="412" t="inlineStr">
        <is>
          <t>dags/dag_wave0_bronze_ingest.py | sql/bronze/t24core_pd_payment_due_mv.sql</t>
        </is>
      </c>
      <c r="K28" s="412" t="inlineStr">
        <is>
          <t>Ingest 1:1 toàn bộ 23 cột từ T24CORE.PD_PAYMENT_DUE_MV lên PG_BRONZE.T24CORE_PD_PAYMENT_DUE_MV (Wave 0)</t>
        </is>
      </c>
    </row>
    <row r="29" ht="110.25" customHeight="1" s="335">
      <c r="A29" s="408" t="n">
        <v>27</v>
      </c>
      <c r="B29" s="409" t="inlineStr">
        <is>
          <t>T24CORE</t>
        </is>
      </c>
      <c r="C29" s="409" t="inlineStr">
        <is>
          <t>SECTOR</t>
        </is>
      </c>
      <c r="D29" s="410" t="inlineStr">
        <is>
          <t>src_27</t>
        </is>
      </c>
      <c r="E29" s="411" t="inlineStr">
        <is>
          <t>PG_BRONZE</t>
        </is>
      </c>
      <c r="F29" s="409" t="inlineStr">
        <is>
          <t>T24CORE_SECTOR</t>
        </is>
      </c>
      <c r="G29" s="411" t="inlineStr">
        <is>
          <t>1:1 (Raw Mirror + Audit Columns)</t>
        </is>
      </c>
      <c r="H29" s="412" t="inlineStr">
        <is>
          <t>SELECT src_27.*, ${ETL_DATE} AS ETL_DATE, CURRENT_TIMESTAMP() AS INGEST_TMS, 'T24CORE_SECTOR' AS SRC_STM_CODE FROM T24CORE.SECTOR src_27</t>
        </is>
      </c>
      <c r="I29" s="408" t="n">
        <v>2</v>
      </c>
      <c r="J29" s="412" t="inlineStr">
        <is>
          <t>dags/dag_wave0_bronze_ingest.py | sql/bronze/t24core_sector.sql</t>
        </is>
      </c>
      <c r="K29" s="412" t="inlineStr">
        <is>
          <t>Ingest 1:1 toàn bộ 2 cột từ T24CORE.SECTOR lên PG_BRONZE.T24CORE_SECTOR (Wave 0)</t>
        </is>
      </c>
    </row>
    <row r="30" ht="123.75" customHeight="1" s="335">
      <c r="A30" s="408" t="n">
        <v>28</v>
      </c>
      <c r="B30" s="409" t="inlineStr">
        <is>
          <t>T24CORE</t>
        </is>
      </c>
      <c r="C30" s="409" t="inlineStr">
        <is>
          <t>STMT_ENTRY</t>
        </is>
      </c>
      <c r="D30" s="410" t="inlineStr">
        <is>
          <t>src_28</t>
        </is>
      </c>
      <c r="E30" s="411" t="inlineStr">
        <is>
          <t>PG_BRONZE</t>
        </is>
      </c>
      <c r="F30" s="409" t="inlineStr">
        <is>
          <t>T24CORE_STMT_ENTRY</t>
        </is>
      </c>
      <c r="G30" s="411" t="inlineStr">
        <is>
          <t>1:1 (Raw Mirror + Audit Columns)</t>
        </is>
      </c>
      <c r="H30" s="412" t="inlineStr">
        <is>
          <t>SELECT src_28.*, ${ETL_DATE} AS ETL_DATE, CURRENT_TIMESTAMP() AS INGEST_TMS, 'T24CORE_STMT_ENTRY' AS SRC_STM_CODE FROM T24CORE.STMT_ENTRY src_28</t>
        </is>
      </c>
      <c r="I30" s="408" t="n">
        <v>45</v>
      </c>
      <c r="J30" s="412" t="inlineStr">
        <is>
          <t>dags/dag_wave0_bronze_ingest.py | sql/bronze/t24core_stmt_entry.sql</t>
        </is>
      </c>
      <c r="K30" s="412" t="inlineStr">
        <is>
          <t>Ingest 1:1 toàn bộ 45 cột từ T24CORE.STMT_ENTRY lên PG_BRONZE.T24CORE_STMT_ENTRY (Wave 0)</t>
        </is>
      </c>
    </row>
    <row r="32" ht="14.25" customHeight="1" s="335">
      <c r="A32" s="384" t="inlineStr">
        <is>
          <t>Nguồn</t>
        </is>
      </c>
      <c r="B32" s="384" t="inlineStr">
        <is>
          <t>Bảng nguồn</t>
        </is>
      </c>
      <c r="C32" s="384" t="inlineStr">
        <is>
          <t>Cột nguồn</t>
        </is>
      </c>
      <c r="D32" s="384" t="inlineStr">
        <is>
          <t>Transform</t>
        </is>
      </c>
      <c r="E32" s="384" t="inlineStr">
        <is>
          <t>Entity</t>
        </is>
      </c>
      <c r="F32" s="384" t="inlineStr">
        <is>
          <t>Attribute</t>
        </is>
      </c>
      <c r="G32" s="384" t="inlineStr">
        <is>
          <t>Schema đích</t>
        </is>
      </c>
      <c r="H32" s="384" t="inlineStr">
        <is>
          <t>Bảng đích</t>
        </is>
      </c>
      <c r="I32" s="384" t="inlineStr">
        <is>
          <t>Cột đích</t>
        </is>
      </c>
      <c r="J32" s="384" t="inlineStr">
        <is>
          <t>Kiểu dữ liệu</t>
        </is>
      </c>
      <c r="K32" s="384" t="inlineStr">
        <is>
          <t>Độ dài</t>
        </is>
      </c>
      <c r="L32" s="384" t="inlineStr">
        <is>
          <t>Diễn giải</t>
        </is>
      </c>
      <c r="M32" s="384" t="inlineStr">
        <is>
          <t>DDL Comment</t>
        </is>
      </c>
      <c r="N32" s="413" t="inlineStr">
        <is>
          <t>Ghi chú Mapping 1:1 (Source -&gt; Bronze)</t>
        </is>
      </c>
    </row>
    <row r="33" ht="41.25" customHeight="1" s="335">
      <c r="A33" s="386" t="inlineStr">
        <is>
          <t>EBANKING</t>
        </is>
      </c>
      <c r="B33" s="386" t="inlineStr">
        <is>
          <t>COL_UDF_VALUE@PGDB</t>
        </is>
      </c>
      <c r="C33" s="386" t="inlineStr">
        <is>
          <t>COL_REF</t>
        </is>
      </c>
      <c r="D33" s="385" t="inlineStr">
        <is>
          <t>1:1</t>
        </is>
      </c>
      <c r="E33" s="412" t="inlineStr">
        <is>
          <t>Loan Arrangement Profile / CUST_INFO_DAILY</t>
        </is>
      </c>
      <c r="F33" s="412" t="inlineStr">
        <is>
          <t>Arrangement Code/ Arrangement ID</t>
        </is>
      </c>
      <c r="G33" s="385" t="inlineStr">
        <is>
          <t>PG_BRONZE</t>
        </is>
      </c>
      <c r="H33" s="386" t="inlineStr">
        <is>
          <t>EBANKING_COL_UDF_VALUE</t>
        </is>
      </c>
      <c r="I33" s="386" t="inlineStr">
        <is>
          <t>COL_REF</t>
        </is>
      </c>
      <c r="J33" s="410" t="inlineStr">
        <is>
          <t>VARCHAR2</t>
        </is>
      </c>
      <c r="K33" s="408" t="n">
        <v>100</v>
      </c>
      <c r="L33" s="412" t="inlineStr">
        <is>
          <t>Cột Tham chiếu</t>
        </is>
      </c>
      <c r="M33" s="412">
        <f>"COMMENT ON COLUMN "&amp;G33&amp;"."&amp;H33&amp;"."&amp;I33&amp;" IS '"&amp;L33&amp;"';"</f>
        <v/>
      </c>
      <c r="N33" s="414" t="inlineStr">
        <is>
          <t>Map 1:1 nguyên bản từ EBANKING.COL_UDF_VALUE@PGDB.COL_REF sang PG_BRONZE.EBANKING_COL_UDF_VALUE.COL_REF</t>
        </is>
      </c>
    </row>
    <row r="34" ht="41.25" customHeight="1" s="335">
      <c r="A34" s="386" t="inlineStr">
        <is>
          <t>EBANKING</t>
        </is>
      </c>
      <c r="B34" s="386" t="inlineStr">
        <is>
          <t>COL_UDF_VALUE@PGDB</t>
        </is>
      </c>
      <c r="C34" s="386" t="inlineStr">
        <is>
          <t>FUNCTION_CODE</t>
        </is>
      </c>
      <c r="D34" s="385" t="inlineStr">
        <is>
          <t>1:1</t>
        </is>
      </c>
      <c r="E34" s="412" t="inlineStr">
        <is>
          <t>Loan Arrangement Profile / CUST_INFO_DAILY</t>
        </is>
      </c>
      <c r="F34" s="412" t="inlineStr">
        <is>
          <t>Function Code</t>
        </is>
      </c>
      <c r="G34" s="385" t="inlineStr">
        <is>
          <t>PG_BRONZE</t>
        </is>
      </c>
      <c r="H34" s="386" t="inlineStr">
        <is>
          <t>EBANKING_COL_UDF_VALUE</t>
        </is>
      </c>
      <c r="I34" s="386" t="inlineStr">
        <is>
          <t>FUNCTION_CODE</t>
        </is>
      </c>
      <c r="J34" s="410" t="inlineStr">
        <is>
          <t>VARCHAR2</t>
        </is>
      </c>
      <c r="K34" s="408" t="n">
        <v>100</v>
      </c>
      <c r="L34" s="412" t="inlineStr">
        <is>
          <t>Mã chức năng</t>
        </is>
      </c>
      <c r="M34" s="412">
        <f>"COMMENT ON COLUMN "&amp;G34&amp;"."&amp;H34&amp;"."&amp;I34&amp;" IS '"&amp;L34&amp;"';"</f>
        <v/>
      </c>
      <c r="N34" s="414" t="inlineStr">
        <is>
          <t>Map 1:1 nguyên bản từ EBANKING.COL_UDF_VALUE@PGDB.FUNCTION_CODE sang PG_BRONZE.EBANKING_COL_UDF_VALUE.FUNCTION_CODE</t>
        </is>
      </c>
    </row>
    <row r="35" ht="41.25" customHeight="1" s="335">
      <c r="A35" s="386" t="inlineStr">
        <is>
          <t>EBANKING</t>
        </is>
      </c>
      <c r="B35" s="386" t="inlineStr">
        <is>
          <t>COL_UDF_VALUE@PGDB</t>
        </is>
      </c>
      <c r="C35" s="386" t="inlineStr">
        <is>
          <t>UDF_ID</t>
        </is>
      </c>
      <c r="D35" s="385" t="inlineStr">
        <is>
          <t>1:1</t>
        </is>
      </c>
      <c r="E35" s="412" t="inlineStr">
        <is>
          <t>Loan Arrangement Profile</t>
        </is>
      </c>
      <c r="F35" s="412" t="inlineStr">
        <is>
          <t>Udf Id</t>
        </is>
      </c>
      <c r="G35" s="385" t="inlineStr">
        <is>
          <t>PG_BRONZE</t>
        </is>
      </c>
      <c r="H35" s="386" t="inlineStr">
        <is>
          <t>EBANKING_COL_UDF_VALUE</t>
        </is>
      </c>
      <c r="I35" s="386" t="inlineStr">
        <is>
          <t>UDF_ID</t>
        </is>
      </c>
      <c r="J35" s="410" t="inlineStr">
        <is>
          <t>VARCHAR2</t>
        </is>
      </c>
      <c r="K35" s="408" t="n">
        <v>100</v>
      </c>
      <c r="L35" s="412" t="inlineStr">
        <is>
          <t>Mã UDF</t>
        </is>
      </c>
      <c r="M35" s="412">
        <f>"COMMENT ON COLUMN "&amp;G35&amp;"."&amp;H35&amp;"."&amp;I35&amp;" IS '"&amp;L35&amp;"';"</f>
        <v/>
      </c>
      <c r="N35" s="414" t="inlineStr">
        <is>
          <t>Map 1:1 nguyên bản từ EBANKING.COL_UDF_VALUE@PGDB.UDF_ID sang PG_BRONZE.EBANKING_COL_UDF_VALUE.UDF_ID</t>
        </is>
      </c>
    </row>
    <row r="36" ht="41.25" customHeight="1" s="335">
      <c r="A36" s="386" t="inlineStr">
        <is>
          <t>EBANKING</t>
        </is>
      </c>
      <c r="B36" s="386" t="inlineStr">
        <is>
          <t>COL_UDF_VALUE@PGDB</t>
        </is>
      </c>
      <c r="C36" s="386" t="inlineStr">
        <is>
          <t>UDF_VALUE</t>
        </is>
      </c>
      <c r="D36" s="385" t="inlineStr">
        <is>
          <t>1:1</t>
        </is>
      </c>
      <c r="E36" s="412" t="inlineStr">
        <is>
          <t>Loan Arrangement Profile / CUST_INFO_DAILY</t>
        </is>
      </c>
      <c r="F36" s="412" t="inlineStr">
        <is>
          <t>Mandatory Repayment</t>
        </is>
      </c>
      <c r="G36" s="385" t="inlineStr">
        <is>
          <t>PG_BRONZE</t>
        </is>
      </c>
      <c r="H36" s="386" t="inlineStr">
        <is>
          <t>EBANKING_COL_UDF_VALUE</t>
        </is>
      </c>
      <c r="I36" s="386" t="inlineStr">
        <is>
          <t>UDF_VALUE</t>
        </is>
      </c>
      <c r="J36" s="410" t="inlineStr">
        <is>
          <t>VARCHAR2</t>
        </is>
      </c>
      <c r="K36" s="408" t="n">
        <v>100</v>
      </c>
      <c r="L36" s="412" t="inlineStr">
        <is>
          <t>Giá trị UDF</t>
        </is>
      </c>
      <c r="M36" s="412">
        <f>"COMMENT ON COLUMN "&amp;G36&amp;"."&amp;H36&amp;"."&amp;I36&amp;" IS '"&amp;L36&amp;"';"</f>
        <v/>
      </c>
      <c r="N36" s="414" t="inlineStr">
        <is>
          <t>Map 1:1 nguyên bản từ EBANKING.COL_UDF_VALUE@PGDB.UDF_VALUE sang PG_BRONZE.EBANKING_COL_UDF_VALUE.UDF_VALUE</t>
        </is>
      </c>
    </row>
    <row r="37" ht="69" customHeight="1" s="335">
      <c r="A37" s="386" t="inlineStr">
        <is>
          <t>FLEXBO</t>
        </is>
      </c>
      <c r="B37" s="386" t="inlineStr">
        <is>
          <t>PGBLD_CONTRACT_UDFIELD_HIST</t>
        </is>
      </c>
      <c r="C37" s="386" t="inlineStr">
        <is>
          <t>CONTRACT_REF_NO</t>
        </is>
      </c>
      <c r="D37" s="385" t="inlineStr">
        <is>
          <t>1:1</t>
        </is>
      </c>
      <c r="E37" s="412" t="inlineStr">
        <is>
          <t>Loan Arrangement Profile / CUST_INFO_DAILY</t>
        </is>
      </c>
      <c r="F37" s="412" t="inlineStr">
        <is>
          <t>Arrangement Code/ Arrangement ID</t>
        </is>
      </c>
      <c r="G37" s="385" t="inlineStr">
        <is>
          <t>PG_BRONZE</t>
        </is>
      </c>
      <c r="H37" s="386" t="inlineStr">
        <is>
          <t>FLEXBO_PGBLD_CONTRACT_UDFIELD_HIST</t>
        </is>
      </c>
      <c r="I37" s="386" t="inlineStr">
        <is>
          <t>CONTRACT_REF_NO</t>
        </is>
      </c>
      <c r="J37" s="410" t="inlineStr">
        <is>
          <t>VARCHAR2</t>
        </is>
      </c>
      <c r="K37" s="408" t="n">
        <v>100</v>
      </c>
      <c r="L37" s="412" t="inlineStr">
        <is>
          <t>Mã hợp đồng</t>
        </is>
      </c>
      <c r="M37" s="412">
        <f>"COMMENT ON COLUMN "&amp;G37&amp;"."&amp;H37&amp;"."&amp;I37&amp;" IS '"&amp;L37&amp;"';"</f>
        <v/>
      </c>
      <c r="N37" s="414" t="inlineStr">
        <is>
          <t>Map 1:1 nguyên bản từ FLEXBO.PGBLD_CONTRACT_UDFIELD_HIST.CONTRACT_REF_NO sang PG_BRONZE.FLEXBO_PGBLD_CONTRACT_UDFIELD_HIST.CONTRACT_REF_NO</t>
        </is>
      </c>
    </row>
    <row r="38" ht="41.25" customHeight="1" s="335">
      <c r="A38" s="386" t="inlineStr">
        <is>
          <t>FLEXBO</t>
        </is>
      </c>
      <c r="B38" s="386" t="inlineStr">
        <is>
          <t>PGBLD_CONTRACT_UDFIELD_HIST</t>
        </is>
      </c>
      <c r="C38" s="386" t="inlineStr">
        <is>
          <t>CTKM2</t>
        </is>
      </c>
      <c r="D38" s="385" t="inlineStr">
        <is>
          <t>1:1</t>
        </is>
      </c>
      <c r="E38" s="412" t="inlineStr">
        <is>
          <t>Loan Arrangement Profile / CUST_INFO_DAILY</t>
        </is>
      </c>
      <c r="F38" s="412" t="inlineStr">
        <is>
          <t>Promotion Program 2</t>
        </is>
      </c>
      <c r="G38" s="385" t="inlineStr">
        <is>
          <t>PG_BRONZE</t>
        </is>
      </c>
      <c r="H38" s="386" t="inlineStr">
        <is>
          <t>FLEXBO_PGBLD_CONTRACT_UDFIELD_HIST</t>
        </is>
      </c>
      <c r="I38" s="386" t="inlineStr">
        <is>
          <t>CTKM2</t>
        </is>
      </c>
      <c r="J38" s="410" t="inlineStr">
        <is>
          <t>VARCHAR2</t>
        </is>
      </c>
      <c r="K38" s="408" t="n">
        <v>100</v>
      </c>
      <c r="L38" s="412" t="inlineStr">
        <is>
          <t>Mã CTKM2</t>
        </is>
      </c>
      <c r="M38" s="412">
        <f>"COMMENT ON COLUMN "&amp;G38&amp;"."&amp;H38&amp;"."&amp;I38&amp;" IS '"&amp;L38&amp;"';"</f>
        <v/>
      </c>
      <c r="N38" s="414" t="inlineStr">
        <is>
          <t>Map 1:1 nguyên bản từ FLEXBO.PGBLD_CONTRACT_UDFIELD_HIST.CTKM2 sang PG_BRONZE.FLEXBO_PGBLD_CONTRACT_UDFIELD_HIST.CTKM2</t>
        </is>
      </c>
    </row>
    <row r="39" ht="69" customHeight="1" s="335">
      <c r="A39" s="386" t="inlineStr">
        <is>
          <t>FLEXBO</t>
        </is>
      </c>
      <c r="B39" s="386" t="inlineStr">
        <is>
          <t>PGBLD_CONTRACT_UDFIELD_HIST</t>
        </is>
      </c>
      <c r="C39" s="386" t="inlineStr">
        <is>
          <t>CT_KHUYEN_MAI_CHO_VAY</t>
        </is>
      </c>
      <c r="D39" s="385" t="inlineStr">
        <is>
          <t>1:1</t>
        </is>
      </c>
      <c r="E39" s="412" t="inlineStr">
        <is>
          <t>Loan Arrangement Profile / CUST_INFO_DAILY</t>
        </is>
      </c>
      <c r="F39" s="412" t="inlineStr">
        <is>
          <t>Promotion Program</t>
        </is>
      </c>
      <c r="G39" s="385" t="inlineStr">
        <is>
          <t>PG_BRONZE</t>
        </is>
      </c>
      <c r="H39" s="386" t="inlineStr">
        <is>
          <t>FLEXBO_PGBLD_CONTRACT_UDFIELD_HIST</t>
        </is>
      </c>
      <c r="I39" s="386" t="inlineStr">
        <is>
          <t>CT_KHUYEN_MAI_CHO_VAY</t>
        </is>
      </c>
      <c r="J39" s="410" t="inlineStr">
        <is>
          <t>VARCHAR2</t>
        </is>
      </c>
      <c r="K39" s="408" t="n">
        <v>100</v>
      </c>
      <c r="L39" s="412" t="inlineStr">
        <is>
          <t>Mã chương trình KM cho vay</t>
        </is>
      </c>
      <c r="M39" s="412">
        <f>"COMMENT ON COLUMN "&amp;G39&amp;"."&amp;H39&amp;"."&amp;I39&amp;" IS '"&amp;L39&amp;"';"</f>
        <v/>
      </c>
      <c r="N39" s="414" t="inlineStr">
        <is>
          <t>Map 1:1 nguyên bản từ FLEXBO.PGBLD_CONTRACT_UDFIELD_HIST.CT_KHUYEN_MAI_CHO_VAY sang PG_BRONZE.FLEXBO_PGBLD_CONTRACT_UDFIELD_HIST.CT_KHUYEN_MAI_CHO_VAY</t>
        </is>
      </c>
    </row>
    <row r="40" ht="54.75" customHeight="1" s="335">
      <c r="A40" s="386" t="inlineStr">
        <is>
          <t>FLEXBO</t>
        </is>
      </c>
      <c r="B40" s="386" t="inlineStr">
        <is>
          <t>PGBLD_CONTRACT_UDFIELD_HIST</t>
        </is>
      </c>
      <c r="C40" s="386" t="inlineStr">
        <is>
          <t>MOV_DATE</t>
        </is>
      </c>
      <c r="D40" s="385" t="inlineStr">
        <is>
          <t>1:1</t>
        </is>
      </c>
      <c r="E40" s="412" t="inlineStr">
        <is>
          <t>Loan Arrangement Profile / CUST_INFO_DAILY</t>
        </is>
      </c>
      <c r="F40" s="412" t="inlineStr">
        <is>
          <t>Mov Date</t>
        </is>
      </c>
      <c r="G40" s="385" t="inlineStr">
        <is>
          <t>PG_BRONZE</t>
        </is>
      </c>
      <c r="H40" s="386" t="inlineStr">
        <is>
          <t>FLEXBO_PGBLD_CONTRACT_UDFIELD_HIST</t>
        </is>
      </c>
      <c r="I40" s="386" t="inlineStr">
        <is>
          <t>MOV_DATE</t>
        </is>
      </c>
      <c r="J40" s="410" t="inlineStr">
        <is>
          <t>DATE</t>
        </is>
      </c>
      <c r="K40" s="408" t="n">
        <v>8</v>
      </c>
      <c r="L40" s="412" t="inlineStr">
        <is>
          <t>Ngày phát sinh</t>
        </is>
      </c>
      <c r="M40" s="412">
        <f>"COMMENT ON COLUMN "&amp;G40&amp;"."&amp;H40&amp;"."&amp;I40&amp;" IS '"&amp;L40&amp;"';"</f>
        <v/>
      </c>
      <c r="N40" s="414" t="inlineStr">
        <is>
          <t>Map 1:1 nguyên bản từ FLEXBO.PGBLD_CONTRACT_UDFIELD_HIST.MOV_DATE sang PG_BRONZE.FLEXBO_PGBLD_CONTRACT_UDFIELD_HIST.MOV_DATE</t>
        </is>
      </c>
    </row>
    <row r="41" ht="69" customHeight="1" s="335">
      <c r="A41" s="386" t="inlineStr">
        <is>
          <t>FLEXBO</t>
        </is>
      </c>
      <c r="B41" s="386" t="inlineStr">
        <is>
          <t>PGBLD_RT_CONTRACT_UDFIELD_HIST</t>
        </is>
      </c>
      <c r="C41" s="386" t="inlineStr">
        <is>
          <t>CONTRACT_REF_NO</t>
        </is>
      </c>
      <c r="D41" s="385" t="inlineStr">
        <is>
          <t>1:1</t>
        </is>
      </c>
      <c r="E41" s="412" t="inlineStr">
        <is>
          <t>Loan Arrangement Profile / CUST_INFO_DAILY</t>
        </is>
      </c>
      <c r="F41" s="412" t="inlineStr">
        <is>
          <t>Arrangement Code/ Arrangement ID</t>
        </is>
      </c>
      <c r="G41" s="385" t="inlineStr">
        <is>
          <t>PG_BRONZE</t>
        </is>
      </c>
      <c r="H41" s="386" t="inlineStr">
        <is>
          <t>FLEXBO_PGBLD_RT_CONTRACT_UDFIELD_HIST</t>
        </is>
      </c>
      <c r="I41" s="386" t="inlineStr">
        <is>
          <t>CONTRACT_REF_NO</t>
        </is>
      </c>
      <c r="J41" s="410" t="inlineStr">
        <is>
          <t>VARCHAR2</t>
        </is>
      </c>
      <c r="K41" s="408" t="n">
        <v>100</v>
      </c>
      <c r="L41" s="412" t="inlineStr">
        <is>
          <t>Mã Hợp đồng</t>
        </is>
      </c>
      <c r="M41" s="412">
        <f>"COMMENT ON COLUMN "&amp;G41&amp;"."&amp;H41&amp;"."&amp;I41&amp;" IS '"&amp;L41&amp;"';"</f>
        <v/>
      </c>
      <c r="N41" s="414" t="inlineStr">
        <is>
          <t>Map 1:1 nguyên bản từ FLEXBO.PGBLD_RT_CONTRACT_UDFIELD_HIST.CONTRACT_REF_NO sang PG_BRONZE.FLEXBO_PGBLD_RT_CONTRACT_UDFIELD_HIST.CONTRACT_REF_NO</t>
        </is>
      </c>
    </row>
    <row r="42" ht="54.75" customHeight="1" s="335">
      <c r="A42" s="386" t="inlineStr">
        <is>
          <t>FLEXBO</t>
        </is>
      </c>
      <c r="B42" s="386" t="inlineStr">
        <is>
          <t>PGBLD_RT_CONTRACT_UDFIELD_HIST</t>
        </is>
      </c>
      <c r="C42" s="386" t="inlineStr">
        <is>
          <t>CO_CAU_NO</t>
        </is>
      </c>
      <c r="D42" s="385" t="inlineStr">
        <is>
          <t>1:1</t>
        </is>
      </c>
      <c r="E42" s="412" t="inlineStr">
        <is>
          <t>Loan Arrangement Profile / CUST_INFO_DAILY</t>
        </is>
      </c>
      <c r="F42" s="412" t="inlineStr">
        <is>
          <t>Debt Restructuring Type Code</t>
        </is>
      </c>
      <c r="G42" s="385" t="inlineStr">
        <is>
          <t>PG_BRONZE</t>
        </is>
      </c>
      <c r="H42" s="386" t="inlineStr">
        <is>
          <t>FLEXBO_PGBLD_RT_CONTRACT_UDFIELD_HIST</t>
        </is>
      </c>
      <c r="I42" s="386" t="inlineStr">
        <is>
          <t>CO_CAU_NO</t>
        </is>
      </c>
      <c r="J42" s="410" t="inlineStr">
        <is>
          <t>VARCHAR2</t>
        </is>
      </c>
      <c r="K42" s="408" t="n">
        <v>100</v>
      </c>
      <c r="L42" s="412" t="inlineStr">
        <is>
          <t>Cơ cấu nợ</t>
        </is>
      </c>
      <c r="M42" s="412">
        <f>"COMMENT ON COLUMN "&amp;G42&amp;"."&amp;H42&amp;"."&amp;I42&amp;" IS '"&amp;L42&amp;"';"</f>
        <v/>
      </c>
      <c r="N42" s="414" t="inlineStr">
        <is>
          <t>Map 1:1 nguyên bản từ FLEXBO.PGBLD_RT_CONTRACT_UDFIELD_HIST.CO_CAU_NO sang PG_BRONZE.FLEXBO_PGBLD_RT_CONTRACT_UDFIELD_HIST.CO_CAU_NO</t>
        </is>
      </c>
    </row>
    <row r="43" ht="69" customHeight="1" s="335">
      <c r="A43" s="386" t="inlineStr">
        <is>
          <t>FLEXBO</t>
        </is>
      </c>
      <c r="B43" s="386" t="inlineStr">
        <is>
          <t>PGBLD_RT_CONTRACT_UDFIELD_HIST</t>
        </is>
      </c>
      <c r="C43" s="386" t="inlineStr">
        <is>
          <t>NGAY_HET_COVID19</t>
        </is>
      </c>
      <c r="D43" s="385" t="inlineStr">
        <is>
          <t>1:1</t>
        </is>
      </c>
      <c r="E43" s="412" t="inlineStr">
        <is>
          <t>Loan Arrangement Profile / CUST_INFO_DAILY</t>
        </is>
      </c>
      <c r="F43" s="412" t="inlineStr">
        <is>
          <t>Covid19 Restructuring Completion Date</t>
        </is>
      </c>
      <c r="G43" s="385" t="inlineStr">
        <is>
          <t>PG_BRONZE</t>
        </is>
      </c>
      <c r="H43" s="386" t="inlineStr">
        <is>
          <t>FLEXBO_PGBLD_RT_CONTRACT_UDFIELD_HIST</t>
        </is>
      </c>
      <c r="I43" s="386" t="inlineStr">
        <is>
          <t>NGAY_HET_COVID19</t>
        </is>
      </c>
      <c r="J43" s="410" t="inlineStr">
        <is>
          <t>DATE</t>
        </is>
      </c>
      <c r="K43" s="408" t="n">
        <v>8</v>
      </c>
      <c r="L43" s="412" t="inlineStr">
        <is>
          <t>Ngày hết covid/ Ngày hết hạn cơ cấu</t>
        </is>
      </c>
      <c r="M43" s="412">
        <f>"COMMENT ON COLUMN "&amp;G43&amp;"."&amp;H43&amp;"."&amp;I43&amp;" IS '"&amp;L43&amp;"';"</f>
        <v/>
      </c>
      <c r="N43" s="414" t="inlineStr">
        <is>
          <t>Map 1:1 nguyên bản từ FLEXBO.PGBLD_RT_CONTRACT_UDFIELD_HIST.NGAY_HET_COVID19 sang PG_BRONZE.FLEXBO_PGBLD_RT_CONTRACT_UDFIELD_HIST.NGAY_HET_COVID19</t>
        </is>
      </c>
    </row>
    <row r="44" ht="54.75" customHeight="1" s="335">
      <c r="A44" s="386" t="inlineStr">
        <is>
          <t>FLEXBO</t>
        </is>
      </c>
      <c r="B44" s="386" t="inlineStr">
        <is>
          <t>PGB_CONTRACT_UDF_MAP</t>
        </is>
      </c>
      <c r="C44" s="386" t="inlineStr">
        <is>
          <t>CONTRACT_REF_NO</t>
        </is>
      </c>
      <c r="D44" s="385" t="inlineStr">
        <is>
          <t>1:1</t>
        </is>
      </c>
      <c r="E44" s="412" t="inlineStr">
        <is>
          <t>Loan Arrangement Profile / CUST_INFO_DAILY</t>
        </is>
      </c>
      <c r="F44" s="412" t="inlineStr">
        <is>
          <t>Arrangement Code/ Arrangement ID</t>
        </is>
      </c>
      <c r="G44" s="385" t="inlineStr">
        <is>
          <t>PG_BRONZE</t>
        </is>
      </c>
      <c r="H44" s="386" t="inlineStr">
        <is>
          <t>FLEXBO_PGB_CONTRACT_UDF_MAP</t>
        </is>
      </c>
      <c r="I44" s="386" t="inlineStr">
        <is>
          <t>CONTRACT_REF_NO</t>
        </is>
      </c>
      <c r="J44" s="410" t="inlineStr">
        <is>
          <t>VARCHAR2</t>
        </is>
      </c>
      <c r="K44" s="408" t="n">
        <v>100</v>
      </c>
      <c r="L44" s="412" t="inlineStr">
        <is>
          <t>Mã HĐ tham chiếu</t>
        </is>
      </c>
      <c r="M44" s="412">
        <f>"COMMENT ON COLUMN "&amp;G44&amp;"."&amp;H44&amp;"."&amp;I44&amp;" IS '"&amp;L44&amp;"';"</f>
        <v/>
      </c>
      <c r="N44" s="414" t="inlineStr">
        <is>
          <t>Map 1:1 nguyên bản từ FLEXBO.PGB_CONTRACT_UDF_MAP.CONTRACT_REF_NO sang PG_BRONZE.FLEXBO_PGB_CONTRACT_UDF_MAP.CONTRACT_REF_NO</t>
        </is>
      </c>
    </row>
    <row r="45" ht="41.25" customHeight="1" s="335">
      <c r="A45" s="386" t="inlineStr">
        <is>
          <t>FLEXBO</t>
        </is>
      </c>
      <c r="B45" s="386" t="inlineStr">
        <is>
          <t>PGB_CONTRACT_UDF_MAP</t>
        </is>
      </c>
      <c r="C45" s="386" t="inlineStr">
        <is>
          <t>FIELD_NAME</t>
        </is>
      </c>
      <c r="D45" s="385" t="inlineStr">
        <is>
          <t>1:1</t>
        </is>
      </c>
      <c r="E45" s="412" t="inlineStr">
        <is>
          <t>Loan Arrangement Profile / CUST_INFO_DAILY</t>
        </is>
      </c>
      <c r="F45" s="412" t="inlineStr">
        <is>
          <t>Field Name</t>
        </is>
      </c>
      <c r="G45" s="385" t="inlineStr">
        <is>
          <t>PG_BRONZE</t>
        </is>
      </c>
      <c r="H45" s="386" t="inlineStr">
        <is>
          <t>FLEXBO_PGB_CONTRACT_UDF_MAP</t>
        </is>
      </c>
      <c r="I45" s="386" t="inlineStr">
        <is>
          <t>FIELD_NAME</t>
        </is>
      </c>
      <c r="J45" s="410" t="inlineStr">
        <is>
          <t>VARCHAR2</t>
        </is>
      </c>
      <c r="K45" s="408" t="n">
        <v>255</v>
      </c>
      <c r="L45" s="412" t="inlineStr">
        <is>
          <t>Tên trường</t>
        </is>
      </c>
      <c r="M45" s="412">
        <f>"COMMENT ON COLUMN "&amp;G45&amp;"."&amp;H45&amp;"."&amp;I45&amp;" IS '"&amp;L45&amp;"';"</f>
        <v/>
      </c>
      <c r="N45" s="414" t="inlineStr">
        <is>
          <t>Map 1:1 nguyên bản từ FLEXBO.PGB_CONTRACT_UDF_MAP.FIELD_NAME sang PG_BRONZE.FLEXBO_PGB_CONTRACT_UDF_MAP.FIELD_NAME</t>
        </is>
      </c>
    </row>
    <row r="46" ht="41.25" customHeight="1" s="335">
      <c r="A46" s="386" t="inlineStr">
        <is>
          <t>FLEXBO</t>
        </is>
      </c>
      <c r="B46" s="386" t="inlineStr">
        <is>
          <t>PGB_CONTRACT_UDF_MAP</t>
        </is>
      </c>
      <c r="C46" s="386" t="inlineStr">
        <is>
          <t>FIELD_VAL</t>
        </is>
      </c>
      <c r="D46" s="385" t="inlineStr">
        <is>
          <t>1:1</t>
        </is>
      </c>
      <c r="E46" s="412" t="inlineStr">
        <is>
          <t>Loan Arrangement Profile / CUST_INFO_DAILY</t>
        </is>
      </c>
      <c r="F46" s="412" t="inlineStr">
        <is>
          <t>Number of debt restructurings</t>
        </is>
      </c>
      <c r="G46" s="385" t="inlineStr">
        <is>
          <t>PG_BRONZE</t>
        </is>
      </c>
      <c r="H46" s="386" t="inlineStr">
        <is>
          <t>FLEXBO_PGB_CONTRACT_UDF_MAP</t>
        </is>
      </c>
      <c r="I46" s="386" t="inlineStr">
        <is>
          <t>FIELD_VAL</t>
        </is>
      </c>
      <c r="J46" s="410" t="inlineStr">
        <is>
          <t>VARCHAR2</t>
        </is>
      </c>
      <c r="K46" s="408" t="n">
        <v>100</v>
      </c>
      <c r="L46" s="412" t="inlineStr">
        <is>
          <t>Giá trị tương ứng với từng trường</t>
        </is>
      </c>
      <c r="M46" s="412">
        <f>"COMMENT ON COLUMN "&amp;G46&amp;"."&amp;H46&amp;"."&amp;I46&amp;" IS '"&amp;L46&amp;"';"</f>
        <v/>
      </c>
      <c r="N46" s="414" t="inlineStr">
        <is>
          <t>Map 1:1 nguyên bản từ FLEXBO.PGB_CONTRACT_UDF_MAP.FIELD_VAL sang PG_BRONZE.FLEXBO_PGB_CONTRACT_UDF_MAP.FIELD_VAL</t>
        </is>
      </c>
    </row>
    <row r="47" ht="54.75" customHeight="1" s="335">
      <c r="A47" s="386" t="inlineStr">
        <is>
          <t>FLEXBO</t>
        </is>
      </c>
      <c r="B47" s="386" t="inlineStr">
        <is>
          <t>PGB_LDTB_CONTRACT_MASTER</t>
        </is>
      </c>
      <c r="C47" s="386" t="inlineStr">
        <is>
          <t>BOOKING_DATE</t>
        </is>
      </c>
      <c r="D47" s="385" t="inlineStr">
        <is>
          <t>1:1</t>
        </is>
      </c>
      <c r="E47" s="412" t="inlineStr">
        <is>
          <t>Loan Arrangement / CUST_INFO_DAILY</t>
        </is>
      </c>
      <c r="F47" s="412" t="inlineStr">
        <is>
          <t>FCC Value Date</t>
        </is>
      </c>
      <c r="G47" s="385" t="inlineStr">
        <is>
          <t>PG_BRONZE</t>
        </is>
      </c>
      <c r="H47" s="386" t="inlineStr">
        <is>
          <t>FLEXBO_PGB_LDTB_CONTRACT_MASTER</t>
        </is>
      </c>
      <c r="I47" s="386" t="inlineStr">
        <is>
          <t>BOOKING_DATE</t>
        </is>
      </c>
      <c r="J47" s="410" t="inlineStr">
        <is>
          <t>DATE</t>
        </is>
      </c>
      <c r="K47" s="408" t="n">
        <v>8</v>
      </c>
      <c r="L47" s="412" t="inlineStr">
        <is>
          <t>Ngày ghi nhận</t>
        </is>
      </c>
      <c r="M47" s="412">
        <f>"COMMENT ON COLUMN "&amp;G47&amp;"."&amp;H47&amp;"."&amp;I47&amp;" IS '"&amp;L47&amp;"';"</f>
        <v/>
      </c>
      <c r="N47" s="414" t="inlineStr">
        <is>
          <t>Map 1:1 nguyên bản từ FLEXBO.PGB_LDTB_CONTRACT_MASTER.BOOKING_DATE sang PG_BRONZE.FLEXBO_PGB_LDTB_CONTRACT_MASTER.BOOKING_DATE</t>
        </is>
      </c>
    </row>
    <row r="48" ht="54.75" customHeight="1" s="335">
      <c r="A48" s="386" t="inlineStr">
        <is>
          <t>FLEXBO</t>
        </is>
      </c>
      <c r="B48" s="386" t="inlineStr">
        <is>
          <t>PGB_LDTB_CONTRACT_MASTER</t>
        </is>
      </c>
      <c r="C48" s="386" t="inlineStr">
        <is>
          <t>CONTRACT_REF_NO</t>
        </is>
      </c>
      <c r="D48" s="385" t="inlineStr">
        <is>
          <t>1:1</t>
        </is>
      </c>
      <c r="E48" s="412" t="inlineStr">
        <is>
          <t>Loan Arrangement / CUST_INFO_DAILY</t>
        </is>
      </c>
      <c r="F48" s="412" t="inlineStr">
        <is>
          <t>Arrangement Code/ Arrangement ID</t>
        </is>
      </c>
      <c r="G48" s="385" t="inlineStr">
        <is>
          <t>PG_BRONZE</t>
        </is>
      </c>
      <c r="H48" s="386" t="inlineStr">
        <is>
          <t>FLEXBO_PGB_LDTB_CONTRACT_MASTER</t>
        </is>
      </c>
      <c r="I48" s="386" t="inlineStr">
        <is>
          <t>CONTRACT_REF_NO</t>
        </is>
      </c>
      <c r="J48" s="410" t="inlineStr">
        <is>
          <t>VARCHAR2</t>
        </is>
      </c>
      <c r="K48" s="408" t="n">
        <v>100</v>
      </c>
      <c r="L48" s="412" t="inlineStr">
        <is>
          <t>Mã Hợp đồng</t>
        </is>
      </c>
      <c r="M48" s="412">
        <f>"COMMENT ON COLUMN "&amp;G48&amp;"."&amp;H48&amp;"."&amp;I48&amp;" IS '"&amp;L48&amp;"';"</f>
        <v/>
      </c>
      <c r="N48" s="414" t="inlineStr">
        <is>
          <t>Map 1:1 nguyên bản từ FLEXBO.PGB_LDTB_CONTRACT_MASTER.CONTRACT_REF_NO sang PG_BRONZE.FLEXBO_PGB_LDTB_CONTRACT_MASTER.CONTRACT_REF_NO</t>
        </is>
      </c>
    </row>
    <row r="49" ht="41.25" customHeight="1" s="335">
      <c r="A49" s="386" t="inlineStr">
        <is>
          <t>FLEXBO</t>
        </is>
      </c>
      <c r="B49" s="386" t="inlineStr">
        <is>
          <t>PGB_LDTB_CONTRACT_MASTER</t>
        </is>
      </c>
      <c r="C49" s="386" t="inlineStr">
        <is>
          <t>VERSION_NO</t>
        </is>
      </c>
      <c r="D49" s="385" t="inlineStr">
        <is>
          <t>1:1</t>
        </is>
      </c>
      <c r="E49" s="412" t="inlineStr">
        <is>
          <t>Loan Arrangement / CUST_INFO_DAILY</t>
        </is>
      </c>
      <c r="F49" s="412" t="inlineStr">
        <is>
          <t>Version No</t>
        </is>
      </c>
      <c r="G49" s="385" t="inlineStr">
        <is>
          <t>PG_BRONZE</t>
        </is>
      </c>
      <c r="H49" s="386" t="inlineStr">
        <is>
          <t>FLEXBO_PGB_LDTB_CONTRACT_MASTER</t>
        </is>
      </c>
      <c r="I49" s="386" t="inlineStr">
        <is>
          <t>VERSION_NO</t>
        </is>
      </c>
      <c r="J49" s="410" t="inlineStr">
        <is>
          <t>NUMBER</t>
        </is>
      </c>
      <c r="K49" s="408" t="n">
        <v>10</v>
      </c>
      <c r="L49" s="412" t="inlineStr">
        <is>
          <t>Version của bản ghi</t>
        </is>
      </c>
      <c r="M49" s="412">
        <f>"COMMENT ON COLUMN "&amp;G49&amp;"."&amp;H49&amp;"."&amp;I49&amp;" IS '"&amp;L49&amp;"';"</f>
        <v/>
      </c>
      <c r="N49" s="414" t="inlineStr">
        <is>
          <t>Map 1:1 nguyên bản từ FLEXBO.PGB_LDTB_CONTRACT_MASTER.VERSION_NO sang PG_BRONZE.FLEXBO_PGB_LDTB_CONTRACT_MASTER.VERSION_NO</t>
        </is>
      </c>
    </row>
    <row r="50" ht="54.75" customHeight="1" s="335">
      <c r="A50" s="386" t="inlineStr">
        <is>
          <t>FLEXBO</t>
        </is>
      </c>
      <c r="B50" s="386" t="inlineStr">
        <is>
          <t>PGB_LOS_CONTRACT_FIELDS_TDATE</t>
        </is>
      </c>
      <c r="C50" s="386" t="inlineStr">
        <is>
          <t>BDS_TT11</t>
        </is>
      </c>
      <c r="D50" s="385" t="inlineStr">
        <is>
          <t>1:1</t>
        </is>
      </c>
      <c r="E50" s="412" t="inlineStr">
        <is>
          <t>Loan Arrangement Profile</t>
        </is>
      </c>
      <c r="F50" s="412" t="inlineStr">
        <is>
          <t>Bds Tt11</t>
        </is>
      </c>
      <c r="G50" s="385" t="inlineStr">
        <is>
          <t>PG_BRONZE</t>
        </is>
      </c>
      <c r="H50" s="386" t="inlineStr">
        <is>
          <t>FLEXBO_PGB_LOS_CONTRACT_FIELDS_TDATE</t>
        </is>
      </c>
      <c r="I50" s="386" t="inlineStr">
        <is>
          <t>BDS_TT11</t>
        </is>
      </c>
      <c r="J50" s="410" t="inlineStr">
        <is>
          <t>VARCHAR2</t>
        </is>
      </c>
      <c r="K50" s="408" t="n">
        <v>100</v>
      </c>
      <c r="L50" s="412" t="inlineStr">
        <is>
          <t>Phân loại theo thông tư 11</t>
        </is>
      </c>
      <c r="M50" s="412">
        <f>"COMMENT ON COLUMN "&amp;G50&amp;"."&amp;H50&amp;"."&amp;I50&amp;" IS '"&amp;L50&amp;"';"</f>
        <v/>
      </c>
      <c r="N50" s="414" t="inlineStr">
        <is>
          <t>Map 1:1 nguyên bản từ FLEXBO.PGB_LOS_CONTRACT_FIELDS_TDATE.BDS_TT11 sang PG_BRONZE.FLEXBO_PGB_LOS_CONTRACT_FIELDS_TDATE.BDS_TT11</t>
        </is>
      </c>
    </row>
    <row r="51" ht="69" customHeight="1" s="335">
      <c r="A51" s="386" t="inlineStr">
        <is>
          <t>FLEXBO</t>
        </is>
      </c>
      <c r="B51" s="386" t="inlineStr">
        <is>
          <t>PGB_LOS_CONTRACT_FIELDS_TDATE</t>
        </is>
      </c>
      <c r="C51" s="386" t="inlineStr">
        <is>
          <t>BIEN_DO_THAY_DOI_LS_THEO_HDTD</t>
        </is>
      </c>
      <c r="D51" s="385" t="inlineStr">
        <is>
          <t>1:1</t>
        </is>
      </c>
      <c r="E51" s="412" t="inlineStr">
        <is>
          <t>Arrangement Rate History</t>
        </is>
      </c>
      <c r="F51" s="412" t="inlineStr">
        <is>
          <t>Margin Rate</t>
        </is>
      </c>
      <c r="G51" s="385" t="inlineStr">
        <is>
          <t>PG_BRONZE</t>
        </is>
      </c>
      <c r="H51" s="386" t="inlineStr">
        <is>
          <t>FLEXBO_PGB_LOS_CONTRACT_FIELDS_TDATE</t>
        </is>
      </c>
      <c r="I51" s="386" t="inlineStr">
        <is>
          <t>BIEN_DO_THAY_DOI_LS_THEO_HDTD</t>
        </is>
      </c>
      <c r="J51" s="410" t="inlineStr">
        <is>
          <t>NUMBER</t>
        </is>
      </c>
      <c r="K51" s="408" t="n">
        <v>10.5</v>
      </c>
      <c r="L51" s="412" t="inlineStr">
        <is>
          <t>Biên độ thay đổi lãi suất</t>
        </is>
      </c>
      <c r="M51" s="412">
        <f>"COMMENT ON COLUMN "&amp;G51&amp;"."&amp;H51&amp;"."&amp;I51&amp;" IS '"&amp;L51&amp;"';"</f>
        <v/>
      </c>
      <c r="N51" s="414" t="inlineStr">
        <is>
          <t>Map 1:1 nguyên bản từ FLEXBO.PGB_LOS_CONTRACT_FIELDS_TDATE.BIEN_DO_THAY_DOI_LS_THEO_HDTD sang PG_BRONZE.FLEXBO_PGB_LOS_CONTRACT_FIELDS_TDATE.BIEN_DO_THAY_DOI_LS_THEO_HDTD</t>
        </is>
      </c>
    </row>
    <row r="52" ht="69" customHeight="1" s="335">
      <c r="A52" s="386" t="inlineStr">
        <is>
          <t>FLEXBO</t>
        </is>
      </c>
      <c r="B52" s="386" t="inlineStr">
        <is>
          <t>PGB_LOS_CONTRACT_FIELDS_TDATE</t>
        </is>
      </c>
      <c r="C52" s="386" t="inlineStr">
        <is>
          <t>CAN_BO_DE_XUAT_GN</t>
        </is>
      </c>
      <c r="D52" s="385" t="inlineStr">
        <is>
          <t>1:1</t>
        </is>
      </c>
      <c r="E52" s="412" t="inlineStr">
        <is>
          <t>Arrangement x Involved Party Relationship</t>
        </is>
      </c>
      <c r="F52" s="412" t="inlineStr">
        <is>
          <t>Disbursement proposal officer</t>
        </is>
      </c>
      <c r="G52" s="385" t="inlineStr">
        <is>
          <t>PG_BRONZE</t>
        </is>
      </c>
      <c r="H52" s="386" t="inlineStr">
        <is>
          <t>FLEXBO_PGB_LOS_CONTRACT_FIELDS_TDATE</t>
        </is>
      </c>
      <c r="I52" s="386" t="inlineStr">
        <is>
          <t>CAN_BO_DE_XUAT_GN</t>
        </is>
      </c>
      <c r="J52" s="410" t="inlineStr">
        <is>
          <t>VARCHAR2</t>
        </is>
      </c>
      <c r="K52" s="408" t="n">
        <v>100</v>
      </c>
      <c r="L52" s="412" t="inlineStr">
        <is>
          <t>Cán bộ đề xuất giải ngân</t>
        </is>
      </c>
      <c r="M52" s="412">
        <f>"COMMENT ON COLUMN "&amp;G52&amp;"."&amp;H52&amp;"."&amp;I52&amp;" IS '"&amp;L52&amp;"';"</f>
        <v/>
      </c>
      <c r="N52" s="414" t="inlineStr">
        <is>
          <t>Map 1:1 nguyên bản từ FLEXBO.PGB_LOS_CONTRACT_FIELDS_TDATE.CAN_BO_DE_XUAT_GN sang PG_BRONZE.FLEXBO_PGB_LOS_CONTRACT_FIELDS_TDATE.CAN_BO_DE_XUAT_GN</t>
        </is>
      </c>
    </row>
    <row r="53" ht="69" customHeight="1" s="335">
      <c r="A53" s="386" t="inlineStr">
        <is>
          <t>FLEXBO</t>
        </is>
      </c>
      <c r="B53" s="386" t="inlineStr">
        <is>
          <t>PGB_LOS_CONTRACT_FIELDS_TDATE</t>
        </is>
      </c>
      <c r="C53" s="386" t="inlineStr">
        <is>
          <t>CAP_PHE_DUYET_GNTL</t>
        </is>
      </c>
      <c r="D53" s="385" t="inlineStr">
        <is>
          <t>1:1</t>
        </is>
      </c>
      <c r="E53" s="412" t="inlineStr">
        <is>
          <t>Arrangement x Involved Party Relationship</t>
        </is>
      </c>
      <c r="F53" s="412" t="inlineStr">
        <is>
          <t>Approval Authority</t>
        </is>
      </c>
      <c r="G53" s="385" t="inlineStr">
        <is>
          <t>PG_BRONZE</t>
        </is>
      </c>
      <c r="H53" s="386" t="inlineStr">
        <is>
          <t>FLEXBO_PGB_LOS_CONTRACT_FIELDS_TDATE</t>
        </is>
      </c>
      <c r="I53" s="386" t="inlineStr">
        <is>
          <t>CAP_PHE_DUYET_GNTL</t>
        </is>
      </c>
      <c r="J53" s="410" t="inlineStr">
        <is>
          <t>VARCHAR2</t>
        </is>
      </c>
      <c r="K53" s="408" t="n">
        <v>100</v>
      </c>
      <c r="L53" s="412" t="inlineStr">
        <is>
          <t>Cấp phê duyệt giải ngân / trả lời tín dụng</t>
        </is>
      </c>
      <c r="M53" s="412">
        <f>"COMMENT ON COLUMN "&amp;G53&amp;"."&amp;H53&amp;"."&amp;I53&amp;" IS '"&amp;L53&amp;"';"</f>
        <v/>
      </c>
      <c r="N53" s="414" t="inlineStr">
        <is>
          <t>Map 1:1 nguyên bản từ FLEXBO.PGB_LOS_CONTRACT_FIELDS_TDATE.CAP_PHE_DUYET_GNTL sang PG_BRONZE.FLEXBO_PGB_LOS_CONTRACT_FIELDS_TDATE.CAP_PHE_DUYET_GNTL</t>
        </is>
      </c>
    </row>
    <row r="54" ht="69" customHeight="1" s="335">
      <c r="A54" s="386" t="inlineStr">
        <is>
          <t>FLEXBO</t>
        </is>
      </c>
      <c r="B54" s="386" t="inlineStr">
        <is>
          <t>PGB_LOS_CONTRACT_FIELDS_TDATE</t>
        </is>
      </c>
      <c r="C54" s="386" t="inlineStr">
        <is>
          <t>CAR_APPLICATION_CODE</t>
        </is>
      </c>
      <c r="D54" s="385" t="inlineStr">
        <is>
          <t>1:1</t>
        </is>
      </c>
      <c r="E54" s="412" t="inlineStr">
        <is>
          <t>Loan Arrangement Profile / CUST_INFO_DAILY</t>
        </is>
      </c>
      <c r="F54" s="412" t="inlineStr">
        <is>
          <t>LOS Application Code</t>
        </is>
      </c>
      <c r="G54" s="385" t="inlineStr">
        <is>
          <t>PG_BRONZE</t>
        </is>
      </c>
      <c r="H54" s="386" t="inlineStr">
        <is>
          <t>FLEXBO_PGB_LOS_CONTRACT_FIELDS_TDATE</t>
        </is>
      </c>
      <c r="I54" s="386" t="inlineStr">
        <is>
          <t>CAR_APPLICATION_CODE</t>
        </is>
      </c>
      <c r="J54" s="410" t="inlineStr">
        <is>
          <t>VARCHAR2</t>
        </is>
      </c>
      <c r="K54" s="408" t="n">
        <v>100</v>
      </c>
      <c r="L54" s="412" t="inlineStr">
        <is>
          <t>Mã hồ sơ đăng kí vay vốn</t>
        </is>
      </c>
      <c r="M54" s="412">
        <f>"COMMENT ON COLUMN "&amp;G54&amp;"."&amp;H54&amp;"."&amp;I54&amp;" IS '"&amp;L54&amp;"';"</f>
        <v/>
      </c>
      <c r="N54" s="414" t="inlineStr">
        <is>
          <t>Map 1:1 nguyên bản từ FLEXBO.PGB_LOS_CONTRACT_FIELDS_TDATE.CAR_APPLICATION_CODE sang PG_BRONZE.FLEXBO_PGB_LOS_CONTRACT_FIELDS_TDATE.CAR_APPLICATION_CODE</t>
        </is>
      </c>
    </row>
    <row r="55" ht="69" customHeight="1" s="335">
      <c r="A55" s="386" t="inlineStr">
        <is>
          <t>FLEXBO</t>
        </is>
      </c>
      <c r="B55" s="386" t="inlineStr">
        <is>
          <t>PGB_LOS_CONTRACT_FIELDS_TDATE</t>
        </is>
      </c>
      <c r="C55" s="386" t="inlineStr">
        <is>
          <t>CBTD_QL_KHOAN_VAY</t>
        </is>
      </c>
      <c r="D55" s="385" t="inlineStr">
        <is>
          <t>1:1</t>
        </is>
      </c>
      <c r="E55" s="412" t="inlineStr">
        <is>
          <t>Arrangement x Involved Party Relationship</t>
        </is>
      </c>
      <c r="F55" s="412" t="inlineStr">
        <is>
          <t>Management Officer</t>
        </is>
      </c>
      <c r="G55" s="385" t="inlineStr">
        <is>
          <t>PG_BRONZE</t>
        </is>
      </c>
      <c r="H55" s="386" t="inlineStr">
        <is>
          <t>FLEXBO_PGB_LOS_CONTRACT_FIELDS_TDATE</t>
        </is>
      </c>
      <c r="I55" s="386" t="inlineStr">
        <is>
          <t>CBTD_QL_KHOAN_VAY</t>
        </is>
      </c>
      <c r="J55" s="410" t="inlineStr">
        <is>
          <t>VARCHAR2</t>
        </is>
      </c>
      <c r="K55" s="408" t="n">
        <v>100</v>
      </c>
      <c r="L55" s="412" t="inlineStr">
        <is>
          <t>Mã cán bộ tín dụng quản lý khoản vay</t>
        </is>
      </c>
      <c r="M55" s="412">
        <f>"COMMENT ON COLUMN "&amp;G55&amp;"."&amp;H55&amp;"."&amp;I55&amp;" IS '"&amp;L55&amp;"';"</f>
        <v/>
      </c>
      <c r="N55" s="414" t="inlineStr">
        <is>
          <t>Map 1:1 nguyên bản từ FLEXBO.PGB_LOS_CONTRACT_FIELDS_TDATE.CBTD_QL_KHOAN_VAY sang PG_BRONZE.FLEXBO_PGB_LOS_CONTRACT_FIELDS_TDATE.CBTD_QL_KHOAN_VAY</t>
        </is>
      </c>
    </row>
    <row r="56" ht="69" customHeight="1" s="335">
      <c r="A56" s="386" t="inlineStr">
        <is>
          <t>FLEXBO</t>
        </is>
      </c>
      <c r="B56" s="386" t="inlineStr">
        <is>
          <t>PGB_LOS_CONTRACT_FIELDS_TDATE</t>
        </is>
      </c>
      <c r="C56" s="386" t="inlineStr">
        <is>
          <t>CONTRACT_REF_NO</t>
        </is>
      </c>
      <c r="D56" s="385" t="inlineStr">
        <is>
          <t>1:1</t>
        </is>
      </c>
      <c r="E56" s="412" t="inlineStr">
        <is>
          <t>Loan Arrangement Profile / CUST_INFO_DAILY</t>
        </is>
      </c>
      <c r="F56" s="412" t="inlineStr">
        <is>
          <t>Arrangement Code/ Arrangement ID</t>
        </is>
      </c>
      <c r="G56" s="385" t="inlineStr">
        <is>
          <t>PG_BRONZE</t>
        </is>
      </c>
      <c r="H56" s="386" t="inlineStr">
        <is>
          <t>FLEXBO_PGB_LOS_CONTRACT_FIELDS_TDATE</t>
        </is>
      </c>
      <c r="I56" s="386" t="inlineStr">
        <is>
          <t>CONTRACT_REF_NO</t>
        </is>
      </c>
      <c r="J56" s="410" t="inlineStr">
        <is>
          <t>VARCHAR2</t>
        </is>
      </c>
      <c r="K56" s="408" t="n">
        <v>100</v>
      </c>
      <c r="L56" s="412" t="inlineStr">
        <is>
          <t>Mã hợp đồng giải ngân</t>
        </is>
      </c>
      <c r="M56" s="412">
        <f>"COMMENT ON COLUMN "&amp;G56&amp;"."&amp;H56&amp;"."&amp;I56&amp;" IS '"&amp;L56&amp;"';"</f>
        <v/>
      </c>
      <c r="N56" s="414" t="inlineStr">
        <is>
          <t>Map 1:1 nguyên bản từ FLEXBO.PGB_LOS_CONTRACT_FIELDS_TDATE.CONTRACT_REF_NO sang PG_BRONZE.FLEXBO_PGB_LOS_CONTRACT_FIELDS_TDATE.CONTRACT_REF_NO</t>
        </is>
      </c>
    </row>
    <row r="57" ht="69" customHeight="1" s="335">
      <c r="A57" s="386" t="inlineStr">
        <is>
          <t>FLEXBO</t>
        </is>
      </c>
      <c r="B57" s="386" t="inlineStr">
        <is>
          <t>PGB_LOS_CONTRACT_FIELDS_TDATE</t>
        </is>
      </c>
      <c r="C57" s="386" t="inlineStr">
        <is>
          <t>CO_CAU_NO_MIEN_GIAM_LAI</t>
        </is>
      </c>
      <c r="D57" s="385" t="inlineStr">
        <is>
          <t>1:1</t>
        </is>
      </c>
      <c r="E57" s="412" t="inlineStr">
        <is>
          <t>Loan Arrangement Profile</t>
        </is>
      </c>
      <c r="F57" s="412" t="inlineStr">
        <is>
          <t>Debt Waiver Flag</t>
        </is>
      </c>
      <c r="G57" s="385" t="inlineStr">
        <is>
          <t>PG_BRONZE</t>
        </is>
      </c>
      <c r="H57" s="386" t="inlineStr">
        <is>
          <t>FLEXBO_PGB_LOS_CONTRACT_FIELDS_TDATE</t>
        </is>
      </c>
      <c r="I57" s="386" t="inlineStr">
        <is>
          <t>CO_CAU_NO_MIEN_GIAM_LAI</t>
        </is>
      </c>
      <c r="J57" s="410" t="inlineStr">
        <is>
          <t>VARCHAR2</t>
        </is>
      </c>
      <c r="K57" s="408" t="n">
        <v>100</v>
      </c>
      <c r="L57" s="412" t="inlineStr">
        <is>
          <t>Cờ đánh dấu cơ cấu nợ miễn giảm lãi</t>
        </is>
      </c>
      <c r="M57" s="412">
        <f>"COMMENT ON COLUMN "&amp;G57&amp;"."&amp;H57&amp;"."&amp;I57&amp;" IS '"&amp;L57&amp;"';"</f>
        <v/>
      </c>
      <c r="N57" s="414" t="inlineStr">
        <is>
          <t>Map 1:1 nguyên bản từ FLEXBO.PGB_LOS_CONTRACT_FIELDS_TDATE.CO_CAU_NO_MIEN_GIAM_LAI sang PG_BRONZE.FLEXBO_PGB_LOS_CONTRACT_FIELDS_TDATE.CO_CAU_NO_MIEN_GIAM_LAI</t>
        </is>
      </c>
    </row>
    <row r="58" ht="69" customHeight="1" s="335">
      <c r="A58" s="386" t="inlineStr">
        <is>
          <t>FLEXBO</t>
        </is>
      </c>
      <c r="B58" s="386" t="inlineStr">
        <is>
          <t>PGB_LOS_CONTRACT_FIELDS_TDATE</t>
        </is>
      </c>
      <c r="C58" s="386" t="inlineStr">
        <is>
          <t>LOS_CONTRACT_CODE</t>
        </is>
      </c>
      <c r="D58" s="385" t="inlineStr">
        <is>
          <t>1:1</t>
        </is>
      </c>
      <c r="E58" s="412" t="inlineStr">
        <is>
          <t>Loan Arrangement Profile / CUST_INFO_DAILY</t>
        </is>
      </c>
      <c r="F58" s="412" t="inlineStr">
        <is>
          <t>LOS Contract Code</t>
        </is>
      </c>
      <c r="G58" s="385" t="inlineStr">
        <is>
          <t>PG_BRONZE</t>
        </is>
      </c>
      <c r="H58" s="386" t="inlineStr">
        <is>
          <t>FLEXBO_PGB_LOS_CONTRACT_FIELDS_TDATE</t>
        </is>
      </c>
      <c r="I58" s="386" t="inlineStr">
        <is>
          <t>LOS_CONTRACT_CODE</t>
        </is>
      </c>
      <c r="J58" s="410" t="inlineStr">
        <is>
          <t>VARCHAR2</t>
        </is>
      </c>
      <c r="K58" s="408" t="n">
        <v>100</v>
      </c>
      <c r="L58" s="412" t="inlineStr">
        <is>
          <t>mã hợp đồng vay</t>
        </is>
      </c>
      <c r="M58" s="412">
        <f>"COMMENT ON COLUMN "&amp;G58&amp;"."&amp;H58&amp;"."&amp;I58&amp;" IS '"&amp;L58&amp;"';"</f>
        <v/>
      </c>
      <c r="N58" s="414" t="inlineStr">
        <is>
          <t>Map 1:1 nguyên bản từ FLEXBO.PGB_LOS_CONTRACT_FIELDS_TDATE.LOS_CONTRACT_CODE sang PG_BRONZE.FLEXBO_PGB_LOS_CONTRACT_FIELDS_TDATE.LOS_CONTRACT_CODE</t>
        </is>
      </c>
    </row>
    <row r="59" ht="69" customHeight="1" s="335">
      <c r="A59" s="386" t="inlineStr">
        <is>
          <t>FLEXBO</t>
        </is>
      </c>
      <c r="B59" s="386" t="inlineStr">
        <is>
          <t>PGB_LOS_CONTRACT_FIELDS_TDATE</t>
        </is>
      </c>
      <c r="C59" s="386" t="inlineStr">
        <is>
          <t>LOS_CONTRACT_ID</t>
        </is>
      </c>
      <c r="D59" s="385" t="inlineStr">
        <is>
          <t>1:1</t>
        </is>
      </c>
      <c r="E59" s="412" t="inlineStr">
        <is>
          <t>Loan Arrangement Profile</t>
        </is>
      </c>
      <c r="F59" s="412" t="inlineStr">
        <is>
          <t>LOS Contract ID</t>
        </is>
      </c>
      <c r="G59" s="385" t="inlineStr">
        <is>
          <t>PG_BRONZE</t>
        </is>
      </c>
      <c r="H59" s="386" t="inlineStr">
        <is>
          <t>FLEXBO_PGB_LOS_CONTRACT_FIELDS_TDATE</t>
        </is>
      </c>
      <c r="I59" s="386" t="inlineStr">
        <is>
          <t>LOS_CONTRACT_ID</t>
        </is>
      </c>
      <c r="J59" s="410" t="inlineStr">
        <is>
          <t>VARCHAR2</t>
        </is>
      </c>
      <c r="K59" s="408" t="n">
        <v>100</v>
      </c>
      <c r="L59" s="412" t="inlineStr">
        <is>
          <t>mã hồ sơ trên LOS</t>
        </is>
      </c>
      <c r="M59" s="412">
        <f>"COMMENT ON COLUMN "&amp;G59&amp;"."&amp;H59&amp;"."&amp;I59&amp;" IS '"&amp;L59&amp;"';"</f>
        <v/>
      </c>
      <c r="N59" s="414" t="inlineStr">
        <is>
          <t>Map 1:1 nguyên bản từ FLEXBO.PGB_LOS_CONTRACT_FIELDS_TDATE.LOS_CONTRACT_ID sang PG_BRONZE.FLEXBO_PGB_LOS_CONTRACT_FIELDS_TDATE.LOS_CONTRACT_ID</t>
        </is>
      </c>
    </row>
    <row r="60" ht="54.75" customHeight="1" s="335">
      <c r="A60" s="386" t="inlineStr">
        <is>
          <t>FLEXBO</t>
        </is>
      </c>
      <c r="B60" s="386" t="inlineStr">
        <is>
          <t>PGB_LOS_CONTRACT_FIELDS_TDATE</t>
        </is>
      </c>
      <c r="C60" s="386" t="inlineStr">
        <is>
          <t>MDVAY_NKT</t>
        </is>
      </c>
      <c r="D60" s="385" t="inlineStr">
        <is>
          <t>1:1</t>
        </is>
      </c>
      <c r="E60" s="412" t="inlineStr">
        <is>
          <t>Loan Arrangement Profile / CUST_INFO_DAILY</t>
        </is>
      </c>
      <c r="F60" s="412" t="inlineStr">
        <is>
          <t>Arrangement purpose by industry</t>
        </is>
      </c>
      <c r="G60" s="385" t="inlineStr">
        <is>
          <t>PG_BRONZE</t>
        </is>
      </c>
      <c r="H60" s="386" t="inlineStr">
        <is>
          <t>FLEXBO_PGB_LOS_CONTRACT_FIELDS_TDATE</t>
        </is>
      </c>
      <c r="I60" s="386" t="inlineStr">
        <is>
          <t>MDVAY_NKT</t>
        </is>
      </c>
      <c r="J60" s="410" t="inlineStr">
        <is>
          <t>VARCHAR2</t>
        </is>
      </c>
      <c r="K60" s="408" t="n">
        <v>100</v>
      </c>
      <c r="L60" s="412" t="inlineStr">
        <is>
          <t>Mục đích vay theo ngành kinh tế</t>
        </is>
      </c>
      <c r="M60" s="412">
        <f>"COMMENT ON COLUMN "&amp;G60&amp;"."&amp;H60&amp;"."&amp;I60&amp;" IS '"&amp;L60&amp;"';"</f>
        <v/>
      </c>
      <c r="N60" s="414" t="inlineStr">
        <is>
          <t>Map 1:1 nguyên bản từ FLEXBO.PGB_LOS_CONTRACT_FIELDS_TDATE.MDVAY_NKT sang PG_BRONZE.FLEXBO_PGB_LOS_CONTRACT_FIELDS_TDATE.MDVAY_NKT</t>
        </is>
      </c>
    </row>
    <row r="61" ht="54.75" customHeight="1" s="335">
      <c r="A61" s="386" t="inlineStr">
        <is>
          <t>FLEXBO</t>
        </is>
      </c>
      <c r="B61" s="386" t="inlineStr">
        <is>
          <t>PGB_LOS_CONTRACT_FIELDS_TDATE</t>
        </is>
      </c>
      <c r="C61" s="386" t="inlineStr">
        <is>
          <t>MDVAY_SP</t>
        </is>
      </c>
      <c r="D61" s="385" t="inlineStr">
        <is>
          <t>1:1</t>
        </is>
      </c>
      <c r="E61" s="412" t="inlineStr">
        <is>
          <t>Loan Arrangement</t>
        </is>
      </c>
      <c r="F61" s="412" t="inlineStr">
        <is>
          <t>Arrangement Purpose Type Code</t>
        </is>
      </c>
      <c r="G61" s="385" t="inlineStr">
        <is>
          <t>PG_BRONZE</t>
        </is>
      </c>
      <c r="H61" s="386" t="inlineStr">
        <is>
          <t>FLEXBO_PGB_LOS_CONTRACT_FIELDS_TDATE</t>
        </is>
      </c>
      <c r="I61" s="386" t="inlineStr">
        <is>
          <t>MDVAY_SP</t>
        </is>
      </c>
      <c r="J61" s="410" t="inlineStr">
        <is>
          <t>VARCHAR2</t>
        </is>
      </c>
      <c r="K61" s="408" t="n">
        <v>100</v>
      </c>
      <c r="L61" s="412" t="inlineStr">
        <is>
          <t>Mục đích vay theo sản phẩm</t>
        </is>
      </c>
      <c r="M61" s="412">
        <f>"COMMENT ON COLUMN "&amp;G61&amp;"."&amp;H61&amp;"."&amp;I61&amp;" IS '"&amp;L61&amp;"';"</f>
        <v/>
      </c>
      <c r="N61" s="414" t="inlineStr">
        <is>
          <t>Map 1:1 nguyên bản từ FLEXBO.PGB_LOS_CONTRACT_FIELDS_TDATE.MDVAY_SP sang PG_BRONZE.FLEXBO_PGB_LOS_CONTRACT_FIELDS_TDATE.MDVAY_SP</t>
        </is>
      </c>
    </row>
    <row r="62" ht="54.75" customHeight="1" s="335">
      <c r="A62" s="386" t="inlineStr">
        <is>
          <t>FLEXBO</t>
        </is>
      </c>
      <c r="B62" s="386" t="inlineStr">
        <is>
          <t>PGB_LOS_CONTRACT_FIELDS_TDATE</t>
        </is>
      </c>
      <c r="C62" s="386" t="inlineStr">
        <is>
          <t>MOV_DATE</t>
        </is>
      </c>
      <c r="D62" s="385" t="inlineStr">
        <is>
          <t>1:1</t>
        </is>
      </c>
      <c r="E62" s="412" t="inlineStr">
        <is>
          <t>Loan Arrangement Profile / CUST_INFO_DAILY</t>
        </is>
      </c>
      <c r="F62" s="412" t="inlineStr">
        <is>
          <t>Mov Date</t>
        </is>
      </c>
      <c r="G62" s="385" t="inlineStr">
        <is>
          <t>PG_BRONZE</t>
        </is>
      </c>
      <c r="H62" s="386" t="inlineStr">
        <is>
          <t>FLEXBO_PGB_LOS_CONTRACT_FIELDS_TDATE</t>
        </is>
      </c>
      <c r="I62" s="386" t="inlineStr">
        <is>
          <t>MOV_DATE</t>
        </is>
      </c>
      <c r="J62" s="410" t="inlineStr">
        <is>
          <t>DATE</t>
        </is>
      </c>
      <c r="K62" s="408" t="n">
        <v>8</v>
      </c>
      <c r="L62" s="412" t="inlineStr">
        <is>
          <t>Ngày dữ liệu</t>
        </is>
      </c>
      <c r="M62" s="412">
        <f>"COMMENT ON COLUMN "&amp;G62&amp;"."&amp;H62&amp;"."&amp;I62&amp;" IS '"&amp;L62&amp;"';"</f>
        <v/>
      </c>
      <c r="N62" s="414" t="inlineStr">
        <is>
          <t>Map 1:1 nguyên bản từ FLEXBO.PGB_LOS_CONTRACT_FIELDS_TDATE.MOV_DATE sang PG_BRONZE.FLEXBO_PGB_LOS_CONTRACT_FIELDS_TDATE.MOV_DATE</t>
        </is>
      </c>
    </row>
    <row r="63" ht="69" customHeight="1" s="335">
      <c r="A63" s="386" t="inlineStr">
        <is>
          <t>FLEXBO</t>
        </is>
      </c>
      <c r="B63" s="386" t="inlineStr">
        <is>
          <t>PGB_LOS_CONTRACT_FIELDS_TDATE</t>
        </is>
      </c>
      <c r="C63" s="386" t="inlineStr">
        <is>
          <t>SAN_PHAM_CHO_VAY_KHCN</t>
        </is>
      </c>
      <c r="D63" s="385" t="inlineStr">
        <is>
          <t>1:1</t>
        </is>
      </c>
      <c r="E63" s="412" t="inlineStr">
        <is>
          <t>Loan Arrangement</t>
        </is>
      </c>
      <c r="F63" s="412" t="inlineStr">
        <is>
          <t>Product Code</t>
        </is>
      </c>
      <c r="G63" s="385" t="inlineStr">
        <is>
          <t>PG_BRONZE</t>
        </is>
      </c>
      <c r="H63" s="386" t="inlineStr">
        <is>
          <t>FLEXBO_PGB_LOS_CONTRACT_FIELDS_TDATE</t>
        </is>
      </c>
      <c r="I63" s="386" t="inlineStr">
        <is>
          <t>SAN_PHAM_CHO_VAY_KHCN</t>
        </is>
      </c>
      <c r="J63" s="410" t="inlineStr">
        <is>
          <t>VARCHAR2</t>
        </is>
      </c>
      <c r="K63" s="408" t="n">
        <v>100</v>
      </c>
      <c r="L63" s="412" t="inlineStr">
        <is>
          <t>Sản phẩm vay KHCN</t>
        </is>
      </c>
      <c r="M63" s="412">
        <f>"COMMENT ON COLUMN "&amp;G63&amp;"."&amp;H63&amp;"."&amp;I63&amp;" IS '"&amp;L63&amp;"';"</f>
        <v/>
      </c>
      <c r="N63" s="414" t="inlineStr">
        <is>
          <t>Map 1:1 nguyên bản từ FLEXBO.PGB_LOS_CONTRACT_FIELDS_TDATE.SAN_PHAM_CHO_VAY_KHCN sang PG_BRONZE.FLEXBO_PGB_LOS_CONTRACT_FIELDS_TDATE.SAN_PHAM_CHO_VAY_KHCN</t>
        </is>
      </c>
    </row>
    <row r="64" ht="69" customHeight="1" s="335">
      <c r="A64" s="386" t="inlineStr">
        <is>
          <t>FLEXBO</t>
        </is>
      </c>
      <c r="B64" s="386" t="inlineStr">
        <is>
          <t>PGB_LOS_CONTRACT_FIELDS_TDATE</t>
        </is>
      </c>
      <c r="C64" s="386" t="inlineStr">
        <is>
          <t>SAN_PHAM_CHO_VAY_KHDN</t>
        </is>
      </c>
      <c r="D64" s="385" t="inlineStr">
        <is>
          <t>1:1</t>
        </is>
      </c>
      <c r="E64" s="412" t="inlineStr">
        <is>
          <t>Loan Arrangement</t>
        </is>
      </c>
      <c r="F64" s="412" t="inlineStr">
        <is>
          <t>Product Code</t>
        </is>
      </c>
      <c r="G64" s="385" t="inlineStr">
        <is>
          <t>PG_BRONZE</t>
        </is>
      </c>
      <c r="H64" s="386" t="inlineStr">
        <is>
          <t>FLEXBO_PGB_LOS_CONTRACT_FIELDS_TDATE</t>
        </is>
      </c>
      <c r="I64" s="386" t="inlineStr">
        <is>
          <t>SAN_PHAM_CHO_VAY_KHDN</t>
        </is>
      </c>
      <c r="J64" s="410" t="inlineStr">
        <is>
          <t>VARCHAR2</t>
        </is>
      </c>
      <c r="K64" s="408" t="n">
        <v>100</v>
      </c>
      <c r="L64" s="412" t="inlineStr">
        <is>
          <t>Sản phẩm vay KHdn</t>
        </is>
      </c>
      <c r="M64" s="412">
        <f>"COMMENT ON COLUMN "&amp;G64&amp;"."&amp;H64&amp;"."&amp;I64&amp;" IS '"&amp;L64&amp;"';"</f>
        <v/>
      </c>
      <c r="N64" s="414" t="inlineStr">
        <is>
          <t>Map 1:1 nguyên bản từ FLEXBO.PGB_LOS_CONTRACT_FIELDS_TDATE.SAN_PHAM_CHO_VAY_KHDN sang PG_BRONZE.FLEXBO_PGB_LOS_CONTRACT_FIELDS_TDATE.SAN_PHAM_CHO_VAY_KHDN</t>
        </is>
      </c>
    </row>
    <row r="65" ht="69" customHeight="1" s="335">
      <c r="A65" s="386" t="inlineStr">
        <is>
          <t>FLEXBO</t>
        </is>
      </c>
      <c r="B65" s="386" t="inlineStr">
        <is>
          <t>PGB_LOS_CONTRACT_FIELDS_TDATE</t>
        </is>
      </c>
      <c r="C65" s="386" t="inlineStr">
        <is>
          <t>SO_LAN_CO_CAU</t>
        </is>
      </c>
      <c r="D65" s="385" t="inlineStr">
        <is>
          <t>1:1</t>
        </is>
      </c>
      <c r="E65" s="412" t="inlineStr">
        <is>
          <t>Loan Arrangement Profile</t>
        </is>
      </c>
      <c r="F65" s="412" t="inlineStr">
        <is>
          <t>Number of debt restructurings</t>
        </is>
      </c>
      <c r="G65" s="385" t="inlineStr">
        <is>
          <t>PG_BRONZE</t>
        </is>
      </c>
      <c r="H65" s="386" t="inlineStr">
        <is>
          <t>FLEXBO_PGB_LOS_CONTRACT_FIELDS_TDATE</t>
        </is>
      </c>
      <c r="I65" s="386" t="inlineStr">
        <is>
          <t>SO_LAN_CO_CAU</t>
        </is>
      </c>
      <c r="J65" s="410" t="inlineStr">
        <is>
          <t>NUMBER</t>
        </is>
      </c>
      <c r="K65" s="408" t="n">
        <v>20</v>
      </c>
      <c r="L65" s="412" t="inlineStr">
        <is>
          <t>Số lần cơ cấu nợ</t>
        </is>
      </c>
      <c r="M65" s="412">
        <f>"COMMENT ON COLUMN "&amp;G65&amp;"."&amp;H65&amp;"."&amp;I65&amp;" IS '"&amp;L65&amp;"';"</f>
        <v/>
      </c>
      <c r="N65" s="414" t="inlineStr">
        <is>
          <t>Map 1:1 nguyên bản từ FLEXBO.PGB_LOS_CONTRACT_FIELDS_TDATE.SO_LAN_CO_CAU sang PG_BRONZE.FLEXBO_PGB_LOS_CONTRACT_FIELDS_TDATE.SO_LAN_CO_CAU</t>
        </is>
      </c>
    </row>
    <row r="66" ht="69" customHeight="1" s="335">
      <c r="A66" s="386" t="inlineStr">
        <is>
          <t>FLEXBO</t>
        </is>
      </c>
      <c r="B66" s="386" t="inlineStr">
        <is>
          <t>PGB_LOS_CONTRACT_FIELDS_TDATE</t>
        </is>
      </c>
      <c r="C66" s="386" t="inlineStr">
        <is>
          <t>TP_PP_QL_KHOAN_VAY</t>
        </is>
      </c>
      <c r="D66" s="385" t="inlineStr">
        <is>
          <t>1:1</t>
        </is>
      </c>
      <c r="E66" s="412" t="inlineStr">
        <is>
          <t>Arrangement x Involved Party Relationship</t>
        </is>
      </c>
      <c r="F66" s="412" t="inlineStr">
        <is>
          <t>Management Manager</t>
        </is>
      </c>
      <c r="G66" s="385" t="inlineStr">
        <is>
          <t>PG_BRONZE</t>
        </is>
      </c>
      <c r="H66" s="386" t="inlineStr">
        <is>
          <t>FLEXBO_PGB_LOS_CONTRACT_FIELDS_TDATE</t>
        </is>
      </c>
      <c r="I66" s="386" t="inlineStr">
        <is>
          <t>TP_PP_QL_KHOAN_VAY</t>
        </is>
      </c>
      <c r="J66" s="410" t="inlineStr">
        <is>
          <t>VARCHAR2</t>
        </is>
      </c>
      <c r="K66" s="408" t="n">
        <v>100</v>
      </c>
      <c r="L66" s="412" t="inlineStr">
        <is>
          <t>Mã Trưởng/Phó phòng quản lý khoản vay</t>
        </is>
      </c>
      <c r="M66" s="412">
        <f>"COMMENT ON COLUMN "&amp;G66&amp;"."&amp;H66&amp;"."&amp;I66&amp;" IS '"&amp;L66&amp;"';"</f>
        <v/>
      </c>
      <c r="N66" s="414" t="inlineStr">
        <is>
          <t>Map 1:1 nguyên bản từ FLEXBO.PGB_LOS_CONTRACT_FIELDS_TDATE.TP_PP_QL_KHOAN_VAY sang PG_BRONZE.FLEXBO_PGB_LOS_CONTRACT_FIELDS_TDATE.TP_PP_QL_KHOAN_VAY</t>
        </is>
      </c>
    </row>
    <row r="67" ht="69" customHeight="1" s="335">
      <c r="A67" s="386" t="inlineStr">
        <is>
          <t>FLEXBO</t>
        </is>
      </c>
      <c r="B67" s="386" t="inlineStr">
        <is>
          <t>PGB_LOS_CONTRACT_FIELDS_TDATE</t>
        </is>
      </c>
      <c r="C67" s="386" t="inlineStr">
        <is>
          <t>TT_PP_DE_XUAT_GN</t>
        </is>
      </c>
      <c r="D67" s="385" t="inlineStr">
        <is>
          <t>1:1</t>
        </is>
      </c>
      <c r="E67" s="412" t="inlineStr">
        <is>
          <t>Arrangement x Involved Party Relationship</t>
        </is>
      </c>
      <c r="F67" s="412" t="inlineStr">
        <is>
          <t>Disbursement Proposal Manager</t>
        </is>
      </c>
      <c r="G67" s="385" t="inlineStr">
        <is>
          <t>PG_BRONZE</t>
        </is>
      </c>
      <c r="H67" s="386" t="inlineStr">
        <is>
          <t>FLEXBO_PGB_LOS_CONTRACT_FIELDS_TDATE</t>
        </is>
      </c>
      <c r="I67" s="386" t="inlineStr">
        <is>
          <t>TT_PP_DE_XUAT_GN</t>
        </is>
      </c>
      <c r="J67" s="410" t="inlineStr">
        <is>
          <t>VARCHAR2</t>
        </is>
      </c>
      <c r="K67" s="408" t="n">
        <v>100</v>
      </c>
      <c r="L67" s="412" t="inlineStr">
        <is>
          <t>Người đề xuất giải ngân</t>
        </is>
      </c>
      <c r="M67" s="412">
        <f>"COMMENT ON COLUMN "&amp;G67&amp;"."&amp;H67&amp;"."&amp;I67&amp;" IS '"&amp;L67&amp;"';"</f>
        <v/>
      </c>
      <c r="N67" s="414" t="inlineStr">
        <is>
          <t>Map 1:1 nguyên bản từ FLEXBO.PGB_LOS_CONTRACT_FIELDS_TDATE.TT_PP_DE_XUAT_GN sang PG_BRONZE.FLEXBO_PGB_LOS_CONTRACT_FIELDS_TDATE.TT_PP_DE_XUAT_GN</t>
        </is>
      </c>
    </row>
    <row r="68" ht="27" customHeight="1" s="335">
      <c r="A68" s="386" t="inlineStr">
        <is>
          <t>LOS_APP</t>
        </is>
      </c>
      <c r="B68" s="386" t="inlineStr">
        <is>
          <t>FACILITY@TO_LOS</t>
        </is>
      </c>
      <c r="C68" s="386" t="inlineStr">
        <is>
          <t>ID</t>
        </is>
      </c>
      <c r="D68" s="385" t="inlineStr">
        <is>
          <t>1:1</t>
        </is>
      </c>
      <c r="E68" s="412" t="inlineStr">
        <is>
          <t>Loan Arrangement / CUST_INFO_DAILY</t>
        </is>
      </c>
      <c r="F68" s="412" t="inlineStr">
        <is>
          <t>Id</t>
        </is>
      </c>
      <c r="G68" s="385" t="inlineStr">
        <is>
          <t>PG_BRONZE</t>
        </is>
      </c>
      <c r="H68" s="386" t="inlineStr">
        <is>
          <t>LOS_APP_FACILITY</t>
        </is>
      </c>
      <c r="I68" s="386" t="inlineStr">
        <is>
          <t>ID</t>
        </is>
      </c>
      <c r="J68" s="410" t="inlineStr">
        <is>
          <t>VARCHAR2</t>
        </is>
      </c>
      <c r="K68" s="408" t="n">
        <v>100</v>
      </c>
      <c r="L68" s="412" t="inlineStr">
        <is>
          <t>Key của bản ghi</t>
        </is>
      </c>
      <c r="M68" s="412">
        <f>"COMMENT ON COLUMN "&amp;G68&amp;"."&amp;H68&amp;"."&amp;I68&amp;" IS '"&amp;L68&amp;"';"</f>
        <v/>
      </c>
      <c r="N68" s="414" t="inlineStr">
        <is>
          <t>Map 1:1 nguyên bản từ LOS_APP.FACILITY@TO_LOS.ID sang PG_BRONZE.LOS_APP_FACILITY.ID</t>
        </is>
      </c>
    </row>
    <row r="69" ht="27" customHeight="1" s="335">
      <c r="A69" s="386" t="inlineStr">
        <is>
          <t>LOS_APP</t>
        </is>
      </c>
      <c r="B69" s="386" t="inlineStr">
        <is>
          <t>FACILITY@TO_LOS</t>
        </is>
      </c>
      <c r="C69" s="386" t="inlineStr">
        <is>
          <t>PRODUCT_ID</t>
        </is>
      </c>
      <c r="D69" s="385" t="inlineStr">
        <is>
          <t>1:1</t>
        </is>
      </c>
      <c r="E69" s="412" t="inlineStr">
        <is>
          <t>Loan Arrangement / CUST_INFO_DAILY</t>
        </is>
      </c>
      <c r="F69" s="412" t="inlineStr">
        <is>
          <t>Product Id</t>
        </is>
      </c>
      <c r="G69" s="385" t="inlineStr">
        <is>
          <t>PG_BRONZE</t>
        </is>
      </c>
      <c r="H69" s="386" t="inlineStr">
        <is>
          <t>LOS_APP_FACILITY</t>
        </is>
      </c>
      <c r="I69" s="386" t="inlineStr">
        <is>
          <t>PRODUCT_ID</t>
        </is>
      </c>
      <c r="J69" s="410" t="inlineStr">
        <is>
          <t>VARCHAR2</t>
        </is>
      </c>
      <c r="K69" s="408" t="n">
        <v>100</v>
      </c>
      <c r="L69" s="412" t="inlineStr">
        <is>
          <t>Mã sản phẩm</t>
        </is>
      </c>
      <c r="M69" s="412">
        <f>"COMMENT ON COLUMN "&amp;G69&amp;"."&amp;H69&amp;"."&amp;I69&amp;" IS '"&amp;L69&amp;"';"</f>
        <v/>
      </c>
      <c r="N69" s="414" t="inlineStr">
        <is>
          <t>Map 1:1 nguyên bản từ LOS_APP.FACILITY@TO_LOS.PRODUCT_ID sang PG_BRONZE.LOS_APP_FACILITY.PRODUCT_ID</t>
        </is>
      </c>
    </row>
    <row r="70" ht="41.25" customHeight="1" s="335">
      <c r="A70" s="386" t="inlineStr">
        <is>
          <t>LOS_APP</t>
        </is>
      </c>
      <c r="B70" s="386" t="inlineStr">
        <is>
          <t>LOAN_DISBURSEMENT@TO_LOS</t>
        </is>
      </c>
      <c r="C70" s="386" t="inlineStr">
        <is>
          <t>AMND_STATE</t>
        </is>
      </c>
      <c r="D70" s="385" t="inlineStr">
        <is>
          <t>1:1</t>
        </is>
      </c>
      <c r="E70" s="412" t="inlineStr">
        <is>
          <t>Loan Arrangement / CUST_INFO_DAILY</t>
        </is>
      </c>
      <c r="F70" s="412" t="inlineStr">
        <is>
          <t>Amnd State</t>
        </is>
      </c>
      <c r="G70" s="385" t="inlineStr">
        <is>
          <t>PG_BRONZE</t>
        </is>
      </c>
      <c r="H70" s="386" t="inlineStr">
        <is>
          <t>LOS_APP_LOAN_DISBURSEMENT</t>
        </is>
      </c>
      <c r="I70" s="386" t="inlineStr">
        <is>
          <t>AMND_STATE</t>
        </is>
      </c>
      <c r="J70" s="410" t="inlineStr">
        <is>
          <t>VARCHAR2</t>
        </is>
      </c>
      <c r="K70" s="408" t="n">
        <v>100</v>
      </c>
      <c r="L70" s="412" t="inlineStr">
        <is>
          <t>Trạng thái Hợp đồng</t>
        </is>
      </c>
      <c r="M70" s="412">
        <f>"COMMENT ON COLUMN "&amp;G70&amp;"."&amp;H70&amp;"."&amp;I70&amp;" IS '"&amp;L70&amp;"';"</f>
        <v/>
      </c>
      <c r="N70" s="414" t="inlineStr">
        <is>
          <t>Map 1:1 nguyên bản từ LOS_APP.LOAN_DISBURSEMENT@TO_LOS.AMND_STATE sang PG_BRONZE.LOS_APP_LOAN_DISBURSEMENT.AMND_STATE</t>
        </is>
      </c>
    </row>
    <row r="71" ht="41.25" customHeight="1" s="335">
      <c r="A71" s="386" t="inlineStr">
        <is>
          <t>LOS_APP</t>
        </is>
      </c>
      <c r="B71" s="386" t="inlineStr">
        <is>
          <t>LOAN_DISBURSEMENT@TO_LOS</t>
        </is>
      </c>
      <c r="C71" s="386" t="inlineStr">
        <is>
          <t>BOOKING_DATE</t>
        </is>
      </c>
      <c r="D71" s="385" t="inlineStr">
        <is>
          <t>1:1</t>
        </is>
      </c>
      <c r="E71" s="412" t="inlineStr">
        <is>
          <t>Loan Arrangement / CUST_INFO_DAILY</t>
        </is>
      </c>
      <c r="F71" s="412" t="inlineStr">
        <is>
          <t>Booking Date</t>
        </is>
      </c>
      <c r="G71" s="385" t="inlineStr">
        <is>
          <t>PG_BRONZE</t>
        </is>
      </c>
      <c r="H71" s="386" t="inlineStr">
        <is>
          <t>LOS_APP_LOAN_DISBURSEMENT</t>
        </is>
      </c>
      <c r="I71" s="386" t="inlineStr">
        <is>
          <t>BOOKING_DATE</t>
        </is>
      </c>
      <c r="J71" s="410" t="inlineStr">
        <is>
          <t>DATE</t>
        </is>
      </c>
      <c r="K71" s="408" t="n">
        <v>8</v>
      </c>
      <c r="L71" s="412" t="inlineStr">
        <is>
          <t>Ngày ghi nhận</t>
        </is>
      </c>
      <c r="M71" s="412">
        <f>"COMMENT ON COLUMN "&amp;G71&amp;"."&amp;H71&amp;"."&amp;I71&amp;" IS '"&amp;L71&amp;"';"</f>
        <v/>
      </c>
      <c r="N71" s="414" t="inlineStr">
        <is>
          <t>Map 1:1 nguyên bản từ LOS_APP.LOAN_DISBURSEMENT@TO_LOS.BOOKING_DATE sang PG_BRONZE.LOS_APP_LOAN_DISBURSEMENT.BOOKING_DATE</t>
        </is>
      </c>
    </row>
    <row r="72" ht="41.25" customHeight="1" s="335">
      <c r="A72" s="386" t="inlineStr">
        <is>
          <t>LOS_APP</t>
        </is>
      </c>
      <c r="B72" s="386" t="inlineStr">
        <is>
          <t>LOAN_DISBURSEMENT@TO_LOS</t>
        </is>
      </c>
      <c r="C72" s="386" t="inlineStr">
        <is>
          <t>EXT_REF_NO_1</t>
        </is>
      </c>
      <c r="D72" s="385" t="inlineStr">
        <is>
          <t>1:1</t>
        </is>
      </c>
      <c r="E72" s="412" t="inlineStr">
        <is>
          <t>Loan Arrangement / CUST_INFO_DAILY</t>
        </is>
      </c>
      <c r="F72" s="412" t="inlineStr">
        <is>
          <t>Ext Ref No 1</t>
        </is>
      </c>
      <c r="G72" s="385" t="inlineStr">
        <is>
          <t>PG_BRONZE</t>
        </is>
      </c>
      <c r="H72" s="386" t="inlineStr">
        <is>
          <t>LOS_APP_LOAN_DISBURSEMENT</t>
        </is>
      </c>
      <c r="I72" s="386" t="inlineStr">
        <is>
          <t>EXT_REF_NO_1</t>
        </is>
      </c>
      <c r="J72" s="410" t="inlineStr">
        <is>
          <t>VARCHAR2</t>
        </is>
      </c>
      <c r="K72" s="408" t="n">
        <v>100</v>
      </c>
      <c r="L72" s="412" t="inlineStr">
        <is>
          <t>Số tham chiếu bên ngoài</t>
        </is>
      </c>
      <c r="M72" s="412">
        <f>"COMMENT ON COLUMN "&amp;G72&amp;"."&amp;H72&amp;"."&amp;I72&amp;" IS '"&amp;L72&amp;"';"</f>
        <v/>
      </c>
      <c r="N72" s="414" t="inlineStr">
        <is>
          <t>Map 1:1 nguyên bản từ LOS_APP.LOAN_DISBURSEMENT@TO_LOS.EXT_REF_NO_1 sang PG_BRONZE.LOS_APP_LOAN_DISBURSEMENT.EXT_REF_NO_1</t>
        </is>
      </c>
    </row>
    <row r="73" ht="41.25" customHeight="1" s="335">
      <c r="A73" s="386" t="inlineStr">
        <is>
          <t>LOS_APP</t>
        </is>
      </c>
      <c r="B73" s="386" t="inlineStr">
        <is>
          <t>LOAN_DISBURSEMENT@TO_LOS</t>
        </is>
      </c>
      <c r="C73" s="386" t="inlineStr">
        <is>
          <t>FACILITY_ID</t>
        </is>
      </c>
      <c r="D73" s="385" t="inlineStr">
        <is>
          <t>1:1</t>
        </is>
      </c>
      <c r="E73" s="412" t="inlineStr">
        <is>
          <t>Loan Arrangement / CUST_INFO_DAILY</t>
        </is>
      </c>
      <c r="F73" s="412" t="inlineStr">
        <is>
          <t>Facility Id</t>
        </is>
      </c>
      <c r="G73" s="385" t="inlineStr">
        <is>
          <t>PG_BRONZE</t>
        </is>
      </c>
      <c r="H73" s="386" t="inlineStr">
        <is>
          <t>LOS_APP_LOAN_DISBURSEMENT</t>
        </is>
      </c>
      <c r="I73" s="386" t="inlineStr">
        <is>
          <t>FACILITY_ID</t>
        </is>
      </c>
      <c r="J73" s="410" t="inlineStr">
        <is>
          <t>VARCHAR2</t>
        </is>
      </c>
      <c r="K73" s="408" t="n">
        <v>100</v>
      </c>
      <c r="L73" s="412" t="inlineStr">
        <is>
          <t>Mã định danh hạn mức tín dụng</t>
        </is>
      </c>
      <c r="M73" s="412">
        <f>"COMMENT ON COLUMN "&amp;G73&amp;"."&amp;H73&amp;"."&amp;I73&amp;" IS '"&amp;L73&amp;"';"</f>
        <v/>
      </c>
      <c r="N73" s="414" t="inlineStr">
        <is>
          <t>Map 1:1 nguyên bản từ LOS_APP.LOAN_DISBURSEMENT@TO_LOS.FACILITY_ID sang PG_BRONZE.LOS_APP_LOAN_DISBURSEMENT.FACILITY_ID</t>
        </is>
      </c>
    </row>
    <row r="74" ht="41.25" customHeight="1" s="335">
      <c r="A74" s="386" t="inlineStr">
        <is>
          <t>LOS_APP</t>
        </is>
      </c>
      <c r="B74" s="386" t="inlineStr">
        <is>
          <t>LOAN_DISBURSEMENT@TO_LOS</t>
        </is>
      </c>
      <c r="C74" s="386" t="inlineStr">
        <is>
          <t>STATUS</t>
        </is>
      </c>
      <c r="D74" s="385" t="inlineStr">
        <is>
          <t>1:1</t>
        </is>
      </c>
      <c r="E74" s="412" t="inlineStr">
        <is>
          <t>Loan Arrangement / CUST_INFO_DAILY</t>
        </is>
      </c>
      <c r="F74" s="412" t="inlineStr">
        <is>
          <t>Status</t>
        </is>
      </c>
      <c r="G74" s="385" t="inlineStr">
        <is>
          <t>PG_BRONZE</t>
        </is>
      </c>
      <c r="H74" s="386" t="inlineStr">
        <is>
          <t>LOS_APP_LOAN_DISBURSEMENT</t>
        </is>
      </c>
      <c r="I74" s="386" t="inlineStr">
        <is>
          <t>STATUS</t>
        </is>
      </c>
      <c r="J74" s="410" t="inlineStr">
        <is>
          <t>VARCHAR2</t>
        </is>
      </c>
      <c r="K74" s="408" t="n">
        <v>100</v>
      </c>
      <c r="L74" s="412" t="inlineStr">
        <is>
          <t>Trạng thái tín dụng</t>
        </is>
      </c>
      <c r="M74" s="412">
        <f>"COMMENT ON COLUMN "&amp;G74&amp;"."&amp;H74&amp;"."&amp;I74&amp;" IS '"&amp;L74&amp;"';"</f>
        <v/>
      </c>
      <c r="N74" s="414" t="inlineStr">
        <is>
          <t>Map 1:1 nguyên bản từ LOS_APP.LOAN_DISBURSEMENT@TO_LOS.STATUS sang PG_BRONZE.LOS_APP_LOAN_DISBURSEMENT.STATUS</t>
        </is>
      </c>
    </row>
    <row r="75" ht="27" customHeight="1" s="335">
      <c r="A75" s="386" t="inlineStr">
        <is>
          <t>LOS_APP</t>
        </is>
      </c>
      <c r="B75" s="386" t="inlineStr">
        <is>
          <t>PRODUCT@TO_LOS</t>
        </is>
      </c>
      <c r="C75" s="386" t="inlineStr">
        <is>
          <t>ID</t>
        </is>
      </c>
      <c r="D75" s="385" t="inlineStr">
        <is>
          <t>1:1</t>
        </is>
      </c>
      <c r="E75" s="412" t="inlineStr">
        <is>
          <t>Product / CUST_INFO_DAILY</t>
        </is>
      </c>
      <c r="F75" s="412" t="inlineStr">
        <is>
          <t>Id</t>
        </is>
      </c>
      <c r="G75" s="385" t="inlineStr">
        <is>
          <t>PG_BRONZE</t>
        </is>
      </c>
      <c r="H75" s="386" t="inlineStr">
        <is>
          <t>LOS_APP_PRODUCT</t>
        </is>
      </c>
      <c r="I75" s="386" t="inlineStr">
        <is>
          <t>ID</t>
        </is>
      </c>
      <c r="J75" s="410" t="inlineStr">
        <is>
          <t>VARCHAR2</t>
        </is>
      </c>
      <c r="K75" s="408" t="n">
        <v>100</v>
      </c>
      <c r="L75" s="412" t="inlineStr">
        <is>
          <t>Key của bản ghi</t>
        </is>
      </c>
      <c r="M75" s="412">
        <f>"COMMENT ON COLUMN "&amp;G75&amp;"."&amp;H75&amp;"."&amp;I75&amp;" IS '"&amp;L75&amp;"';"</f>
        <v/>
      </c>
      <c r="N75" s="414" t="inlineStr">
        <is>
          <t>Map 1:1 nguyên bản từ LOS_APP.PRODUCT@TO_LOS.ID sang PG_BRONZE.LOS_APP_PRODUCT.ID</t>
        </is>
      </c>
    </row>
    <row r="76" ht="41.25" customHeight="1" s="335">
      <c r="A76" s="386" t="inlineStr">
        <is>
          <t>LOS_APP</t>
        </is>
      </c>
      <c r="B76" s="386" t="inlineStr">
        <is>
          <t>PRODUCT@TO_LOS</t>
        </is>
      </c>
      <c r="C76" s="386" t="inlineStr">
        <is>
          <t>PRODUCT_CODE</t>
        </is>
      </c>
      <c r="D76" s="385" t="inlineStr">
        <is>
          <t>1:1</t>
        </is>
      </c>
      <c r="E76" s="412" t="inlineStr">
        <is>
          <t>Loan Arrangement</t>
        </is>
      </c>
      <c r="F76" s="412" t="inlineStr">
        <is>
          <t>Product Code</t>
        </is>
      </c>
      <c r="G76" s="385" t="inlineStr">
        <is>
          <t>PG_BRONZE</t>
        </is>
      </c>
      <c r="H76" s="386" t="inlineStr">
        <is>
          <t>LOS_APP_PRODUCT</t>
        </is>
      </c>
      <c r="I76" s="386" t="inlineStr">
        <is>
          <t>PRODUCT_CODE</t>
        </is>
      </c>
      <c r="J76" s="410" t="inlineStr">
        <is>
          <t>VARCHAR2</t>
        </is>
      </c>
      <c r="K76" s="408" t="n">
        <v>100</v>
      </c>
      <c r="L76" s="412" t="inlineStr">
        <is>
          <t>Mã sản phẩm</t>
        </is>
      </c>
      <c r="M76" s="412">
        <f>"COMMENT ON COLUMN "&amp;G76&amp;"."&amp;H76&amp;"."&amp;I76&amp;" IS '"&amp;L76&amp;"';"</f>
        <v/>
      </c>
      <c r="N76" s="414" t="inlineStr">
        <is>
          <t>Map 1:1 nguyên bản từ LOS_APP.PRODUCT@TO_LOS.PRODUCT_CODE sang PG_BRONZE.LOS_APP_PRODUCT.PRODUCT_CODE</t>
        </is>
      </c>
    </row>
    <row r="77" ht="41.25" customHeight="1" s="335">
      <c r="A77" s="386" t="inlineStr">
        <is>
          <t>LOS_APP</t>
        </is>
      </c>
      <c r="B77" s="386" t="inlineStr">
        <is>
          <t>PRODUCT@TO_LOS</t>
        </is>
      </c>
      <c r="C77" s="386" t="inlineStr">
        <is>
          <t>PRODUCT_NAME</t>
        </is>
      </c>
      <c r="D77" s="385" t="inlineStr">
        <is>
          <t>1:1</t>
        </is>
      </c>
      <c r="E77" s="412" t="inlineStr">
        <is>
          <t>Product / CUST_INFO_DAILY</t>
        </is>
      </c>
      <c r="F77" s="412" t="inlineStr">
        <is>
          <t>Product Name</t>
        </is>
      </c>
      <c r="G77" s="385" t="inlineStr">
        <is>
          <t>PG_BRONZE</t>
        </is>
      </c>
      <c r="H77" s="386" t="inlineStr">
        <is>
          <t>LOS_APP_PRODUCT</t>
        </is>
      </c>
      <c r="I77" s="386" t="inlineStr">
        <is>
          <t>PRODUCT_NAME</t>
        </is>
      </c>
      <c r="J77" s="410" t="inlineStr">
        <is>
          <t>VARCHAR2</t>
        </is>
      </c>
      <c r="K77" s="408" t="n">
        <v>255</v>
      </c>
      <c r="L77" s="412" t="inlineStr">
        <is>
          <t>Tên sản phẩm</t>
        </is>
      </c>
      <c r="M77" s="412">
        <f>"COMMENT ON COLUMN "&amp;G77&amp;"."&amp;H77&amp;"."&amp;I77&amp;" IS '"&amp;L77&amp;"';"</f>
        <v/>
      </c>
      <c r="N77" s="414" t="inlineStr">
        <is>
          <t>Map 1:1 nguyên bản từ LOS_APP.PRODUCT@TO_LOS.PRODUCT_NAME sang PG_BRONZE.LOS_APP_PRODUCT.PRODUCT_NAME</t>
        </is>
      </c>
    </row>
    <row r="78" ht="27" customHeight="1" s="335">
      <c r="A78" s="386" t="inlineStr">
        <is>
          <t>LOS_APP</t>
        </is>
      </c>
      <c r="B78" s="386" t="inlineStr">
        <is>
          <t>PRODUCT@TO_LOS</t>
        </is>
      </c>
      <c r="C78" s="386" t="inlineStr">
        <is>
          <t>RECID</t>
        </is>
      </c>
      <c r="D78" s="385" t="inlineStr">
        <is>
          <t>1:1</t>
        </is>
      </c>
      <c r="E78" s="412" t="inlineStr">
        <is>
          <t>Product</t>
        </is>
      </c>
      <c r="F78" s="412" t="inlineStr">
        <is>
          <t>Product ID</t>
        </is>
      </c>
      <c r="G78" s="385" t="inlineStr">
        <is>
          <t>PG_BRONZE</t>
        </is>
      </c>
      <c r="H78" s="386" t="inlineStr">
        <is>
          <t>LOS_APP_PRODUCT</t>
        </is>
      </c>
      <c r="I78" s="386" t="inlineStr">
        <is>
          <t>RECID</t>
        </is>
      </c>
      <c r="J78" s="410" t="inlineStr">
        <is>
          <t>VARCHAR2</t>
        </is>
      </c>
      <c r="K78" s="408" t="n">
        <v>100</v>
      </c>
      <c r="L78" s="412" t="inlineStr">
        <is>
          <t>Khóa bản ghi danh mục sản phẩm trên LOS</t>
        </is>
      </c>
      <c r="M78" s="412">
        <f>"COMMENT ON COLUMN "&amp;G78&amp;"."&amp;H78&amp;"."&amp;I78&amp;" IS '"&amp;L78&amp;"';"</f>
        <v/>
      </c>
      <c r="N78" s="414" t="inlineStr">
        <is>
          <t>Map 1:1 nguyên bản từ LOS_APP.PRODUCT@TO_LOS.RECID sang PG_BRONZE.LOS_APP_PRODUCT.RECID</t>
        </is>
      </c>
    </row>
    <row r="79" ht="27" customHeight="1" s="335">
      <c r="A79" s="386" t="inlineStr">
        <is>
          <t>SMY</t>
        </is>
      </c>
      <c r="B79" s="386" t="inlineStr">
        <is>
          <t>STMT_DAILY</t>
        </is>
      </c>
      <c r="C79" s="386" t="inlineStr">
        <is>
          <t>ACCOUNT</t>
        </is>
      </c>
      <c r="D79" s="385" t="inlineStr">
        <is>
          <t>1:1</t>
        </is>
      </c>
      <c r="E79" s="412" t="inlineStr">
        <is>
          <t>CUST_INFO_DAILY</t>
        </is>
      </c>
      <c r="F79" s="412" t="inlineStr">
        <is>
          <t>Account</t>
        </is>
      </c>
      <c r="G79" s="385" t="inlineStr">
        <is>
          <t>PG_BRONZE</t>
        </is>
      </c>
      <c r="H79" s="386" t="inlineStr">
        <is>
          <t>SMY_STMT_DAILY</t>
        </is>
      </c>
      <c r="I79" s="386" t="inlineStr">
        <is>
          <t>ACCOUNT</t>
        </is>
      </c>
      <c r="J79" s="410" t="inlineStr">
        <is>
          <t>VARCHAR2</t>
        </is>
      </c>
      <c r="K79" s="408" t="n">
        <v>100</v>
      </c>
      <c r="L79" s="412" t="inlineStr">
        <is>
          <t>Trường ACCOUNT của bảng nguồn SMY.STMT_DAILY</t>
        </is>
      </c>
      <c r="M79" s="412">
        <f>"COMMENT ON COLUMN "&amp;G79&amp;"."&amp;H79&amp;"."&amp;I79&amp;" IS '"&amp;L79&amp;"';"</f>
        <v/>
      </c>
      <c r="N79" s="414" t="inlineStr">
        <is>
          <t>Map 1:1 nguyên bản từ SMY.STMT_DAILY.ACCOUNT sang PG_BRONZE.SMY_STMT_DAILY.ACCOUNT</t>
        </is>
      </c>
    </row>
    <row r="80" ht="41.25" customHeight="1" s="335">
      <c r="A80" s="386" t="inlineStr">
        <is>
          <t>SMY</t>
        </is>
      </c>
      <c r="B80" s="386" t="inlineStr">
        <is>
          <t>STMT_DAILY</t>
        </is>
      </c>
      <c r="C80" s="386" t="inlineStr">
        <is>
          <t>ACCOUNTING_DATE</t>
        </is>
      </c>
      <c r="D80" s="385" t="inlineStr">
        <is>
          <t>1:1</t>
        </is>
      </c>
      <c r="E80" s="412" t="inlineStr">
        <is>
          <t>CUST_INFO_DAILY</t>
        </is>
      </c>
      <c r="F80" s="412" t="inlineStr">
        <is>
          <t>Accounting Date</t>
        </is>
      </c>
      <c r="G80" s="385" t="inlineStr">
        <is>
          <t>PG_BRONZE</t>
        </is>
      </c>
      <c r="H80" s="386" t="inlineStr">
        <is>
          <t>SMY_STMT_DAILY</t>
        </is>
      </c>
      <c r="I80" s="386" t="inlineStr">
        <is>
          <t>ACCOUNTING_DATE</t>
        </is>
      </c>
      <c r="J80" s="410" t="inlineStr">
        <is>
          <t>DATE</t>
        </is>
      </c>
      <c r="K80" s="408" t="n">
        <v>8</v>
      </c>
      <c r="L80" s="412" t="inlineStr">
        <is>
          <t>Ngày hạch toán</t>
        </is>
      </c>
      <c r="M80" s="412">
        <f>"COMMENT ON COLUMN "&amp;G80&amp;"."&amp;H80&amp;"."&amp;I80&amp;" IS '"&amp;L80&amp;"';"</f>
        <v/>
      </c>
      <c r="N80" s="414" t="inlineStr">
        <is>
          <t>Map 1:1 nguyên bản từ SMY.STMT_DAILY.ACCOUNTING_DATE sang PG_BRONZE.SMY_STMT_DAILY.ACCOUNTING_DATE</t>
        </is>
      </c>
    </row>
    <row r="81" ht="41.25" customHeight="1" s="335">
      <c r="A81" s="386" t="inlineStr">
        <is>
          <t>SMY</t>
        </is>
      </c>
      <c r="B81" s="386" t="inlineStr">
        <is>
          <t>STMT_DAILY</t>
        </is>
      </c>
      <c r="C81" s="386" t="inlineStr">
        <is>
          <t>ACCOUNT_ID</t>
        </is>
      </c>
      <c r="D81" s="385" t="inlineStr">
        <is>
          <t>1:1</t>
        </is>
      </c>
      <c r="E81" s="412" t="inlineStr">
        <is>
          <t>CUST_INFO_DAILY</t>
        </is>
      </c>
      <c r="F81" s="412" t="inlineStr">
        <is>
          <t>Account Id</t>
        </is>
      </c>
      <c r="G81" s="385" t="inlineStr">
        <is>
          <t>PG_BRONZE</t>
        </is>
      </c>
      <c r="H81" s="386" t="inlineStr">
        <is>
          <t>SMY_STMT_DAILY</t>
        </is>
      </c>
      <c r="I81" s="386" t="inlineStr">
        <is>
          <t>ACCOUNT_ID</t>
        </is>
      </c>
      <c r="J81" s="410" t="inlineStr">
        <is>
          <t>VARCHAR2</t>
        </is>
      </c>
      <c r="K81" s="408" t="n">
        <v>100</v>
      </c>
      <c r="L81" s="412" t="inlineStr">
        <is>
          <t>Trường ACCOUNT_ID của bảng nguồn SMY.STMT_DAILY</t>
        </is>
      </c>
      <c r="M81" s="412">
        <f>"COMMENT ON COLUMN "&amp;G81&amp;"."&amp;H81&amp;"."&amp;I81&amp;" IS '"&amp;L81&amp;"';"</f>
        <v/>
      </c>
      <c r="N81" s="414" t="inlineStr">
        <is>
          <t>Map 1:1 nguyên bản từ SMY.STMT_DAILY.ACCOUNT_ID sang PG_BRONZE.SMY_STMT_DAILY.ACCOUNT_ID</t>
        </is>
      </c>
    </row>
    <row r="82" ht="41.25" customHeight="1" s="335">
      <c r="A82" s="386" t="inlineStr">
        <is>
          <t>SMY</t>
        </is>
      </c>
      <c r="B82" s="386" t="inlineStr">
        <is>
          <t>STMT_DAILY</t>
        </is>
      </c>
      <c r="C82" s="386" t="inlineStr">
        <is>
          <t>ACCOUNT_NUM</t>
        </is>
      </c>
      <c r="D82" s="385" t="inlineStr">
        <is>
          <t>1:1</t>
        </is>
      </c>
      <c r="E82" s="412" t="inlineStr">
        <is>
          <t>CUST_INFO_DAILY</t>
        </is>
      </c>
      <c r="F82" s="412" t="inlineStr">
        <is>
          <t>Account Num</t>
        </is>
      </c>
      <c r="G82" s="385" t="inlineStr">
        <is>
          <t>PG_BRONZE</t>
        </is>
      </c>
      <c r="H82" s="386" t="inlineStr">
        <is>
          <t>SMY_STMT_DAILY</t>
        </is>
      </c>
      <c r="I82" s="386" t="inlineStr">
        <is>
          <t>ACCOUNT_NUM</t>
        </is>
      </c>
      <c r="J82" s="410" t="inlineStr">
        <is>
          <t>VARCHAR2</t>
        </is>
      </c>
      <c r="K82" s="408" t="n">
        <v>100</v>
      </c>
      <c r="L82" s="412" t="inlineStr">
        <is>
          <t>Trường ACCOUNT_NUM của bảng nguồn SMY.STMT_DAILY</t>
        </is>
      </c>
      <c r="M82" s="412">
        <f>"COMMENT ON COLUMN "&amp;G82&amp;"."&amp;H82&amp;"."&amp;I82&amp;" IS '"&amp;L82&amp;"';"</f>
        <v/>
      </c>
      <c r="N82" s="414" t="inlineStr">
        <is>
          <t>Map 1:1 nguyên bản từ SMY.STMT_DAILY.ACCOUNT_NUM sang PG_BRONZE.SMY_STMT_DAILY.ACCOUNT_NUM</t>
        </is>
      </c>
    </row>
    <row r="83" ht="41.25" customHeight="1" s="335">
      <c r="A83" s="386" t="inlineStr">
        <is>
          <t>SMY</t>
        </is>
      </c>
      <c r="B83" s="386" t="inlineStr">
        <is>
          <t>STMT_DAILY</t>
        </is>
      </c>
      <c r="C83" s="386" t="inlineStr">
        <is>
          <t>ACCOUNT_NUMBER</t>
        </is>
      </c>
      <c r="D83" s="385" t="inlineStr">
        <is>
          <t>1:1</t>
        </is>
      </c>
      <c r="E83" s="412" t="inlineStr">
        <is>
          <t>CUST_INFO_DAILY</t>
        </is>
      </c>
      <c r="F83" s="412" t="inlineStr">
        <is>
          <t>Account Number</t>
        </is>
      </c>
      <c r="G83" s="385" t="inlineStr">
        <is>
          <t>PG_BRONZE</t>
        </is>
      </c>
      <c r="H83" s="386" t="inlineStr">
        <is>
          <t>SMY_STMT_DAILY</t>
        </is>
      </c>
      <c r="I83" s="386" t="inlineStr">
        <is>
          <t>ACCOUNT_NUMBER</t>
        </is>
      </c>
      <c r="J83" s="410" t="inlineStr">
        <is>
          <t>VARCHAR2</t>
        </is>
      </c>
      <c r="K83" s="408" t="n">
        <v>100</v>
      </c>
      <c r="L83" s="412" t="inlineStr">
        <is>
          <t>Số tài khoản liên quan</t>
        </is>
      </c>
      <c r="M83" s="412">
        <f>"COMMENT ON COLUMN "&amp;G83&amp;"."&amp;H83&amp;"."&amp;I83&amp;" IS '"&amp;L83&amp;"';"</f>
        <v/>
      </c>
      <c r="N83" s="414" t="inlineStr">
        <is>
          <t>Map 1:1 nguyên bản từ SMY.STMT_DAILY.ACCOUNT_NUMBER sang PG_BRONZE.SMY_STMT_DAILY.ACCOUNT_NUMBER</t>
        </is>
      </c>
    </row>
    <row r="84" ht="27" customHeight="1" s="335">
      <c r="A84" s="386" t="inlineStr">
        <is>
          <t>SMY</t>
        </is>
      </c>
      <c r="B84" s="386" t="inlineStr">
        <is>
          <t>STMT_DAILY</t>
        </is>
      </c>
      <c r="C84" s="386" t="inlineStr">
        <is>
          <t>ACCT_ID</t>
        </is>
      </c>
      <c r="D84" s="385" t="inlineStr">
        <is>
          <t>1:1</t>
        </is>
      </c>
      <c r="E84" s="412" t="inlineStr">
        <is>
          <t>CUST_INFO_DAILY</t>
        </is>
      </c>
      <c r="F84" s="412" t="inlineStr">
        <is>
          <t>Account Id</t>
        </is>
      </c>
      <c r="G84" s="385" t="inlineStr">
        <is>
          <t>PG_BRONZE</t>
        </is>
      </c>
      <c r="H84" s="386" t="inlineStr">
        <is>
          <t>SMY_STMT_DAILY</t>
        </is>
      </c>
      <c r="I84" s="386" t="inlineStr">
        <is>
          <t>ACCT_ID</t>
        </is>
      </c>
      <c r="J84" s="410" t="inlineStr">
        <is>
          <t>VARCHAR2</t>
        </is>
      </c>
      <c r="K84" s="408" t="n">
        <v>100</v>
      </c>
      <c r="L84" s="412" t="inlineStr">
        <is>
          <t>Maã định danh tài khoản</t>
        </is>
      </c>
      <c r="M84" s="412">
        <f>"COMMENT ON COLUMN "&amp;G84&amp;"."&amp;H84&amp;"."&amp;I84&amp;" IS '"&amp;L84&amp;"';"</f>
        <v/>
      </c>
      <c r="N84" s="414" t="inlineStr">
        <is>
          <t>Map 1:1 nguyên bản từ SMY.STMT_DAILY.ACCT_ID sang PG_BRONZE.SMY_STMT_DAILY.ACCT_ID</t>
        </is>
      </c>
    </row>
    <row r="85" ht="27" customHeight="1" s="335">
      <c r="A85" s="386" t="inlineStr">
        <is>
          <t>SMY</t>
        </is>
      </c>
      <c r="B85" s="386" t="inlineStr">
        <is>
          <t>STMT_DAILY</t>
        </is>
      </c>
      <c r="C85" s="386" t="inlineStr">
        <is>
          <t>AMOUNT_FCY</t>
        </is>
      </c>
      <c r="D85" s="385" t="inlineStr">
        <is>
          <t>1:1</t>
        </is>
      </c>
      <c r="E85" s="412" t="inlineStr">
        <is>
          <t>CUST_INFO_DAILY</t>
        </is>
      </c>
      <c r="F85" s="412" t="inlineStr">
        <is>
          <t>Posting Entry Amount FCY</t>
        </is>
      </c>
      <c r="G85" s="385" t="inlineStr">
        <is>
          <t>PG_BRONZE</t>
        </is>
      </c>
      <c r="H85" s="386" t="inlineStr">
        <is>
          <t>SMY_STMT_DAILY</t>
        </is>
      </c>
      <c r="I85" s="386" t="inlineStr">
        <is>
          <t>AMOUNT_FCY</t>
        </is>
      </c>
      <c r="J85" s="410" t="inlineStr">
        <is>
          <t>NUMBER</t>
        </is>
      </c>
      <c r="K85" s="408" t="n">
        <v>25.5</v>
      </c>
      <c r="L85" s="412" t="inlineStr">
        <is>
          <t>Dư nợ nguyên tệ</t>
        </is>
      </c>
      <c r="M85" s="412">
        <f>"COMMENT ON COLUMN "&amp;G85&amp;"."&amp;H85&amp;"."&amp;I85&amp;" IS '"&amp;L85&amp;"';"</f>
        <v/>
      </c>
      <c r="N85" s="414" t="inlineStr">
        <is>
          <t>Map 1:1 nguyên bản từ SMY.STMT_DAILY.AMOUNT_FCY sang PG_BRONZE.SMY_STMT_DAILY.AMOUNT_FCY</t>
        </is>
      </c>
    </row>
    <row r="86" ht="27" customHeight="1" s="335">
      <c r="A86" s="386" t="inlineStr">
        <is>
          <t>SMY</t>
        </is>
      </c>
      <c r="B86" s="386" t="inlineStr">
        <is>
          <t>STMT_DAILY</t>
        </is>
      </c>
      <c r="C86" s="386" t="inlineStr">
        <is>
          <t>AMOUNT_LCY</t>
        </is>
      </c>
      <c r="D86" s="385" t="inlineStr">
        <is>
          <t>1:1</t>
        </is>
      </c>
      <c r="E86" s="412" t="inlineStr">
        <is>
          <t>CUST_INFO_DAILY</t>
        </is>
      </c>
      <c r="F86" s="412" t="inlineStr">
        <is>
          <t>Posting Entry Amount LCY</t>
        </is>
      </c>
      <c r="G86" s="385" t="inlineStr">
        <is>
          <t>PG_BRONZE</t>
        </is>
      </c>
      <c r="H86" s="386" t="inlineStr">
        <is>
          <t>SMY_STMT_DAILY</t>
        </is>
      </c>
      <c r="I86" s="386" t="inlineStr">
        <is>
          <t>AMOUNT_LCY</t>
        </is>
      </c>
      <c r="J86" s="410" t="inlineStr">
        <is>
          <t>NUMBER</t>
        </is>
      </c>
      <c r="K86" s="408" t="n">
        <v>25.5</v>
      </c>
      <c r="L86" s="412" t="inlineStr">
        <is>
          <t>Dư nợ quy đổi</t>
        </is>
      </c>
      <c r="M86" s="412">
        <f>"COMMENT ON COLUMN "&amp;G86&amp;"."&amp;H86&amp;"."&amp;I86&amp;" IS '"&amp;L86&amp;"';"</f>
        <v/>
      </c>
      <c r="N86" s="414" t="inlineStr">
        <is>
          <t>Map 1:1 nguyên bản từ SMY.STMT_DAILY.AMOUNT_LCY sang PG_BRONZE.SMY_STMT_DAILY.AMOUNT_LCY</t>
        </is>
      </c>
    </row>
    <row r="87" ht="27" customHeight="1" s="335">
      <c r="A87" s="386" t="inlineStr">
        <is>
          <t>SMY</t>
        </is>
      </c>
      <c r="B87" s="386" t="inlineStr">
        <is>
          <t>STMT_DAILY</t>
        </is>
      </c>
      <c r="C87" s="386" t="inlineStr">
        <is>
          <t>BALANCE_TYPE</t>
        </is>
      </c>
      <c r="D87" s="385" t="inlineStr">
        <is>
          <t>1:1</t>
        </is>
      </c>
      <c r="E87" s="412" t="inlineStr">
        <is>
          <t>CUST_INFO_DAILY</t>
        </is>
      </c>
      <c r="F87" s="412" t="inlineStr">
        <is>
          <t>Balance Type</t>
        </is>
      </c>
      <c r="G87" s="385" t="inlineStr">
        <is>
          <t>PG_BRONZE</t>
        </is>
      </c>
      <c r="H87" s="386" t="inlineStr">
        <is>
          <t>SMY_STMT_DAILY</t>
        </is>
      </c>
      <c r="I87" s="386" t="inlineStr">
        <is>
          <t>BALANCE_TYPE</t>
        </is>
      </c>
      <c r="J87" s="410" t="inlineStr">
        <is>
          <t>VARCHAR2</t>
        </is>
      </c>
      <c r="K87" s="408" t="n">
        <v>20</v>
      </c>
      <c r="L87" s="412" t="inlineStr">
        <is>
          <t>Loại bút toán</t>
        </is>
      </c>
      <c r="M87" s="412">
        <f>"COMMENT ON COLUMN "&amp;G87&amp;"."&amp;H87&amp;"."&amp;I87&amp;" IS '"&amp;L87&amp;"';"</f>
        <v/>
      </c>
      <c r="N87" s="414" t="inlineStr">
        <is>
          <t>Map 1:1 nguyên bản từ SMY.STMT_DAILY.BALANCE_TYPE sang PG_BRONZE.SMY_STMT_DAILY.BALANCE_TYPE</t>
        </is>
      </c>
    </row>
    <row r="88" ht="41.25" customHeight="1" s="335">
      <c r="A88" s="386" t="inlineStr">
        <is>
          <t>SMY</t>
        </is>
      </c>
      <c r="B88" s="386" t="inlineStr">
        <is>
          <t>STMT_DAILY</t>
        </is>
      </c>
      <c r="C88" s="386" t="inlineStr">
        <is>
          <t>BOOKING_DATE</t>
        </is>
      </c>
      <c r="D88" s="385" t="inlineStr">
        <is>
          <t>1:1</t>
        </is>
      </c>
      <c r="E88" s="412" t="inlineStr">
        <is>
          <t>CUST_INFO_DAILY</t>
        </is>
      </c>
      <c r="F88" s="412" t="inlineStr">
        <is>
          <t>Posting Date</t>
        </is>
      </c>
      <c r="G88" s="385" t="inlineStr">
        <is>
          <t>PG_BRONZE</t>
        </is>
      </c>
      <c r="H88" s="386" t="inlineStr">
        <is>
          <t>SMY_STMT_DAILY</t>
        </is>
      </c>
      <c r="I88" s="386" t="inlineStr">
        <is>
          <t>BOOKING_DATE</t>
        </is>
      </c>
      <c r="J88" s="410" t="inlineStr">
        <is>
          <t>DATE</t>
        </is>
      </c>
      <c r="K88" s="408" t="n">
        <v>8</v>
      </c>
      <c r="L88" s="412" t="inlineStr">
        <is>
          <t>Ngay but toan ghi nhan vao he thong</t>
        </is>
      </c>
      <c r="M88" s="412">
        <f>"COMMENT ON COLUMN "&amp;G88&amp;"."&amp;H88&amp;"."&amp;I88&amp;" IS '"&amp;L88&amp;"';"</f>
        <v/>
      </c>
      <c r="N88" s="414" t="inlineStr">
        <is>
          <t>Map 1:1 nguyên bản từ SMY.STMT_DAILY.BOOKING_DATE sang PG_BRONZE.SMY_STMT_DAILY.BOOKING_DATE</t>
        </is>
      </c>
    </row>
    <row r="89" ht="27" customHeight="1" s="335">
      <c r="A89" s="386" t="inlineStr">
        <is>
          <t>SMY</t>
        </is>
      </c>
      <c r="B89" s="386" t="inlineStr">
        <is>
          <t>STMT_DAILY</t>
        </is>
      </c>
      <c r="C89" s="386" t="inlineStr">
        <is>
          <t>CARD_NUMBER</t>
        </is>
      </c>
      <c r="D89" s="385" t="inlineStr">
        <is>
          <t>1:1</t>
        </is>
      </c>
      <c r="E89" s="412" t="inlineStr">
        <is>
          <t>CUST_INFO_DAILY</t>
        </is>
      </c>
      <c r="F89" s="412" t="inlineStr">
        <is>
          <t>Card Number</t>
        </is>
      </c>
      <c r="G89" s="385" t="inlineStr">
        <is>
          <t>PG_BRONZE</t>
        </is>
      </c>
      <c r="H89" s="386" t="inlineStr">
        <is>
          <t>SMY_STMT_DAILY</t>
        </is>
      </c>
      <c r="I89" s="386" t="inlineStr">
        <is>
          <t>CARD_NUMBER</t>
        </is>
      </c>
      <c r="J89" s="410" t="inlineStr">
        <is>
          <t>VARCHAR2</t>
        </is>
      </c>
      <c r="K89" s="408" t="n">
        <v>100</v>
      </c>
      <c r="L89" s="412" t="inlineStr">
        <is>
          <t>Số thẻ</t>
        </is>
      </c>
      <c r="M89" s="412">
        <f>"COMMENT ON COLUMN "&amp;G89&amp;"."&amp;H89&amp;"."&amp;I89&amp;" IS '"&amp;L89&amp;"';"</f>
        <v/>
      </c>
      <c r="N89" s="414" t="inlineStr">
        <is>
          <t>Map 1:1 nguyên bản từ SMY.STMT_DAILY.CARD_NUMBER sang PG_BRONZE.SMY_STMT_DAILY.CARD_NUMBER</t>
        </is>
      </c>
    </row>
    <row r="90" ht="41.25" customHeight="1" s="335">
      <c r="A90" s="386" t="inlineStr">
        <is>
          <t>SMY</t>
        </is>
      </c>
      <c r="B90" s="386" t="inlineStr">
        <is>
          <t>STMT_DAILY</t>
        </is>
      </c>
      <c r="C90" s="386" t="inlineStr">
        <is>
          <t>COMMIT_ACTION</t>
        </is>
      </c>
      <c r="D90" s="385" t="inlineStr">
        <is>
          <t>1:1</t>
        </is>
      </c>
      <c r="E90" s="412" t="inlineStr">
        <is>
          <t>CUST_INFO_DAILY</t>
        </is>
      </c>
      <c r="F90" s="412" t="inlineStr">
        <is>
          <t>Commit Action</t>
        </is>
      </c>
      <c r="G90" s="385" t="inlineStr">
        <is>
          <t>PG_BRONZE</t>
        </is>
      </c>
      <c r="H90" s="386" t="inlineStr">
        <is>
          <t>SMY_STMT_DAILY</t>
        </is>
      </c>
      <c r="I90" s="386" t="inlineStr">
        <is>
          <t>COMMIT_ACTION</t>
        </is>
      </c>
      <c r="J90" s="410" t="inlineStr">
        <is>
          <t>VARCHAR2</t>
        </is>
      </c>
      <c r="K90" s="408" t="n">
        <v>100</v>
      </c>
      <c r="L90" s="412" t="inlineStr">
        <is>
          <t>Trường kỹ thuật đánh dấu bản ghi IUD</t>
        </is>
      </c>
      <c r="M90" s="412">
        <f>"COMMENT ON COLUMN "&amp;G90&amp;"."&amp;H90&amp;"."&amp;I90&amp;" IS '"&amp;L90&amp;"';"</f>
        <v/>
      </c>
      <c r="N90" s="414" t="inlineStr">
        <is>
          <t>Map 1:1 nguyên bản từ SMY.STMT_DAILY.COMMIT_ACTION sang PG_BRONZE.SMY_STMT_DAILY.COMMIT_ACTION</t>
        </is>
      </c>
    </row>
    <row r="91" ht="41.25" customHeight="1" s="335">
      <c r="A91" s="386" t="inlineStr">
        <is>
          <t>SMY</t>
        </is>
      </c>
      <c r="B91" s="386" t="inlineStr">
        <is>
          <t>STMT_DAILY</t>
        </is>
      </c>
      <c r="C91" s="386" t="inlineStr">
        <is>
          <t>COMMIT_TS</t>
        </is>
      </c>
      <c r="D91" s="385" t="inlineStr">
        <is>
          <t>1:1</t>
        </is>
      </c>
      <c r="E91" s="412" t="inlineStr">
        <is>
          <t>CUST_INFO_DAILY</t>
        </is>
      </c>
      <c r="F91" s="412" t="inlineStr">
        <is>
          <t>Commit Timestamp</t>
        </is>
      </c>
      <c r="G91" s="385" t="inlineStr">
        <is>
          <t>PG_BRONZE</t>
        </is>
      </c>
      <c r="H91" s="386" t="inlineStr">
        <is>
          <t>SMY_STMT_DAILY</t>
        </is>
      </c>
      <c r="I91" s="386" t="inlineStr">
        <is>
          <t>COMMIT_TS</t>
        </is>
      </c>
      <c r="J91" s="410" t="inlineStr">
        <is>
          <t>TIMESTAMP</t>
        </is>
      </c>
      <c r="K91" s="408" t="n">
        <v>11</v>
      </c>
      <c r="L91" s="412" t="inlineStr">
        <is>
          <t>Thời điểm ghi nhận commit giao dịch trên Core T24</t>
        </is>
      </c>
      <c r="M91" s="412">
        <f>"COMMENT ON COLUMN "&amp;G91&amp;"."&amp;H91&amp;"."&amp;I91&amp;" IS '"&amp;L91&amp;"';"</f>
        <v/>
      </c>
      <c r="N91" s="414" t="inlineStr">
        <is>
          <t>Map 1:1 nguyên bản từ SMY.STMT_DAILY.COMMIT_TS sang PG_BRONZE.SMY_STMT_DAILY.COMMIT_TS</t>
        </is>
      </c>
    </row>
    <row r="92" ht="41.25" customHeight="1" s="335">
      <c r="A92" s="386" t="inlineStr">
        <is>
          <t>SMY</t>
        </is>
      </c>
      <c r="B92" s="386" t="inlineStr">
        <is>
          <t>STMT_DAILY</t>
        </is>
      </c>
      <c r="C92" s="386" t="inlineStr">
        <is>
          <t>COMPANY_CODE</t>
        </is>
      </c>
      <c r="D92" s="385" t="inlineStr">
        <is>
          <t>1:1</t>
        </is>
      </c>
      <c r="E92" s="412" t="inlineStr">
        <is>
          <t>CUST_INFO_DAILY</t>
        </is>
      </c>
      <c r="F92" s="412" t="inlineStr">
        <is>
          <t>Organization Unit Code</t>
        </is>
      </c>
      <c r="G92" s="385" t="inlineStr">
        <is>
          <t>PG_BRONZE</t>
        </is>
      </c>
      <c r="H92" s="386" t="inlineStr">
        <is>
          <t>SMY_STMT_DAILY</t>
        </is>
      </c>
      <c r="I92" s="386" t="inlineStr">
        <is>
          <t>COMPANY_CODE</t>
        </is>
      </c>
      <c r="J92" s="410" t="inlineStr">
        <is>
          <t>VARCHAR2</t>
        </is>
      </c>
      <c r="K92" s="408" t="n">
        <v>100</v>
      </c>
      <c r="L92" s="412" t="inlineStr">
        <is>
          <t>Mã chi nhánh hạch toán</t>
        </is>
      </c>
      <c r="M92" s="412">
        <f>"COMMENT ON COLUMN "&amp;G92&amp;"."&amp;H92&amp;"."&amp;I92&amp;" IS '"&amp;L92&amp;"';"</f>
        <v/>
      </c>
      <c r="N92" s="414" t="inlineStr">
        <is>
          <t>Map 1:1 nguyên bản từ SMY.STMT_DAILY.COMPANY_CODE sang PG_BRONZE.SMY_STMT_DAILY.COMPANY_CODE</t>
        </is>
      </c>
    </row>
    <row r="93" ht="41.25" customHeight="1" s="335">
      <c r="A93" s="386" t="inlineStr">
        <is>
          <t>SMY</t>
        </is>
      </c>
      <c r="B93" s="386" t="inlineStr">
        <is>
          <t>STMT_DAILY</t>
        </is>
      </c>
      <c r="C93" s="386" t="inlineStr">
        <is>
          <t>CONSOL_KEY</t>
        </is>
      </c>
      <c r="D93" s="385" t="inlineStr">
        <is>
          <t>1:1</t>
        </is>
      </c>
      <c r="E93" s="412" t="inlineStr">
        <is>
          <t>CUST_INFO_DAILY</t>
        </is>
      </c>
      <c r="F93" s="412" t="inlineStr">
        <is>
          <t>Consolidate Key</t>
        </is>
      </c>
      <c r="G93" s="385" t="inlineStr">
        <is>
          <t>PG_BRONZE</t>
        </is>
      </c>
      <c r="H93" s="386" t="inlineStr">
        <is>
          <t>SMY_STMT_DAILY</t>
        </is>
      </c>
      <c r="I93" s="386" t="inlineStr">
        <is>
          <t>CONSOL_KEY</t>
        </is>
      </c>
      <c r="J93" s="410" t="inlineStr">
        <is>
          <t>VARCHAR2</t>
        </is>
      </c>
      <c r="K93" s="408" t="n">
        <v>100</v>
      </c>
      <c r="L93" s="412" t="inlineStr">
        <is>
          <t>Consol key của bút toán STMT</t>
        </is>
      </c>
      <c r="M93" s="412">
        <f>"COMMENT ON COLUMN "&amp;G93&amp;"."&amp;H93&amp;"."&amp;I93&amp;" IS '"&amp;L93&amp;"';"</f>
        <v/>
      </c>
      <c r="N93" s="414" t="inlineStr">
        <is>
          <t>Map 1:1 nguyên bản từ SMY.STMT_DAILY.CONSOL_KEY sang PG_BRONZE.SMY_STMT_DAILY.CONSOL_KEY</t>
        </is>
      </c>
    </row>
    <row r="94" ht="41.25" customHeight="1" s="335">
      <c r="A94" s="386" t="inlineStr">
        <is>
          <t>SMY</t>
        </is>
      </c>
      <c r="B94" s="386" t="inlineStr">
        <is>
          <t>STMT_DAILY</t>
        </is>
      </c>
      <c r="C94" s="386" t="inlineStr">
        <is>
          <t>CONTRACT_BAL_ID</t>
        </is>
      </c>
      <c r="D94" s="385" t="inlineStr">
        <is>
          <t>1:1</t>
        </is>
      </c>
      <c r="E94" s="412" t="inlineStr">
        <is>
          <t>CUST_INFO_DAILY</t>
        </is>
      </c>
      <c r="F94" s="412" t="inlineStr">
        <is>
          <t>Contract Bal Id</t>
        </is>
      </c>
      <c r="G94" s="385" t="inlineStr">
        <is>
          <t>PG_BRONZE</t>
        </is>
      </c>
      <c r="H94" s="386" t="inlineStr">
        <is>
          <t>SMY_STMT_DAILY</t>
        </is>
      </c>
      <c r="I94" s="386" t="inlineStr">
        <is>
          <t>CONTRACT_BAL_ID</t>
        </is>
      </c>
      <c r="J94" s="410" t="inlineStr">
        <is>
          <t>VARCHAR2</t>
        </is>
      </c>
      <c r="K94" s="408" t="n">
        <v>40</v>
      </c>
      <c r="L94" s="412" t="inlineStr">
        <is>
          <t>Trường CONTRACT_BAL_ID của bảng nguồn SMY.STMT_DAILY</t>
        </is>
      </c>
      <c r="M94" s="412">
        <f>"COMMENT ON COLUMN "&amp;G94&amp;"."&amp;H94&amp;"."&amp;I94&amp;" IS '"&amp;L94&amp;"';"</f>
        <v/>
      </c>
      <c r="N94" s="414" t="inlineStr">
        <is>
          <t>Map 1:1 nguyên bản từ SMY.STMT_DAILY.CONTRACT_BAL_ID sang PG_BRONZE.SMY_STMT_DAILY.CONTRACT_BAL_ID</t>
        </is>
      </c>
    </row>
    <row r="95" ht="27" customHeight="1" s="335">
      <c r="A95" s="386" t="inlineStr">
        <is>
          <t>SMY</t>
        </is>
      </c>
      <c r="B95" s="386" t="inlineStr">
        <is>
          <t>STMT_DAILY</t>
        </is>
      </c>
      <c r="C95" s="386" t="inlineStr">
        <is>
          <t>CO_CODE</t>
        </is>
      </c>
      <c r="D95" s="385" t="inlineStr">
        <is>
          <t>1:1</t>
        </is>
      </c>
      <c r="E95" s="412" t="inlineStr">
        <is>
          <t>CUST_INFO_DAILY</t>
        </is>
      </c>
      <c r="F95" s="412" t="inlineStr">
        <is>
          <t>Co Code</t>
        </is>
      </c>
      <c r="G95" s="385" t="inlineStr">
        <is>
          <t>PG_BRONZE</t>
        </is>
      </c>
      <c r="H95" s="386" t="inlineStr">
        <is>
          <t>SMY_STMT_DAILY</t>
        </is>
      </c>
      <c r="I95" s="386" t="inlineStr">
        <is>
          <t>CO_CODE</t>
        </is>
      </c>
      <c r="J95" s="410" t="inlineStr">
        <is>
          <t>VARCHAR2</t>
        </is>
      </c>
      <c r="K95" s="408" t="n">
        <v>100</v>
      </c>
      <c r="L95" s="412" t="inlineStr">
        <is>
          <t>Trường CO_CODE của bảng nguồn SMY.STMT_DAILY</t>
        </is>
      </c>
      <c r="M95" s="412">
        <f>"COMMENT ON COLUMN "&amp;G95&amp;"."&amp;H95&amp;"."&amp;I95&amp;" IS '"&amp;L95&amp;"';"</f>
        <v/>
      </c>
      <c r="N95" s="414" t="inlineStr">
        <is>
          <t>Map 1:1 nguyên bản từ SMY.STMT_DAILY.CO_CODE sang PG_BRONZE.SMY_STMT_DAILY.CO_CODE</t>
        </is>
      </c>
    </row>
    <row r="96" ht="41.25" customHeight="1" s="335">
      <c r="A96" s="386" t="inlineStr">
        <is>
          <t>SMY</t>
        </is>
      </c>
      <c r="B96" s="386" t="inlineStr">
        <is>
          <t>STMT_DAILY</t>
        </is>
      </c>
      <c r="C96" s="386" t="inlineStr">
        <is>
          <t>CRF_PROD_CAT</t>
        </is>
      </c>
      <c r="D96" s="385" t="inlineStr">
        <is>
          <t>1:1</t>
        </is>
      </c>
      <c r="E96" s="412" t="inlineStr">
        <is>
          <t>CUST_INFO_DAILY</t>
        </is>
      </c>
      <c r="F96" s="412" t="inlineStr">
        <is>
          <t>Category Product Code</t>
        </is>
      </c>
      <c r="G96" s="385" t="inlineStr">
        <is>
          <t>PG_BRONZE</t>
        </is>
      </c>
      <c r="H96" s="386" t="inlineStr">
        <is>
          <t>SMY_STMT_DAILY</t>
        </is>
      </c>
      <c r="I96" s="386" t="inlineStr">
        <is>
          <t>CRF_PROD_CAT</t>
        </is>
      </c>
      <c r="J96" s="410" t="inlineStr">
        <is>
          <t>VARCHAR2</t>
        </is>
      </c>
      <c r="K96" s="408" t="n">
        <v>100</v>
      </c>
      <c r="L96" s="412" t="inlineStr">
        <is>
          <t>Mã Category phân loại bút toán</t>
        </is>
      </c>
      <c r="M96" s="412">
        <f>"COMMENT ON COLUMN "&amp;G96&amp;"."&amp;H96&amp;"."&amp;I96&amp;" IS '"&amp;L96&amp;"';"</f>
        <v/>
      </c>
      <c r="N96" s="414" t="inlineStr">
        <is>
          <t>Map 1:1 nguyên bản từ SMY.STMT_DAILY.CRF_PROD_CAT sang PG_BRONZE.SMY_STMT_DAILY.CRF_PROD_CAT</t>
        </is>
      </c>
    </row>
    <row r="97" ht="27" customHeight="1" s="335">
      <c r="A97" s="386" t="inlineStr">
        <is>
          <t>SMY</t>
        </is>
      </c>
      <c r="B97" s="386" t="inlineStr">
        <is>
          <t>STMT_DAILY</t>
        </is>
      </c>
      <c r="C97" s="386" t="inlineStr">
        <is>
          <t>CRF_TYPE</t>
        </is>
      </c>
      <c r="D97" s="385" t="inlineStr">
        <is>
          <t>1:1</t>
        </is>
      </c>
      <c r="E97" s="412" t="inlineStr">
        <is>
          <t>CUST_INFO_DAILY</t>
        </is>
      </c>
      <c r="F97" s="412" t="inlineStr">
        <is>
          <t>Accounting Credit Debit Flag</t>
        </is>
      </c>
      <c r="G97" s="385" t="inlineStr">
        <is>
          <t>PG_BRONZE</t>
        </is>
      </c>
      <c r="H97" s="386" t="inlineStr">
        <is>
          <t>SMY_STMT_DAILY</t>
        </is>
      </c>
      <c r="I97" s="386" t="inlineStr">
        <is>
          <t>CRF_TYPE</t>
        </is>
      </c>
      <c r="J97" s="410" t="inlineStr">
        <is>
          <t>VARCHAR2</t>
        </is>
      </c>
      <c r="K97" s="408" t="n">
        <v>100</v>
      </c>
      <c r="L97" s="412" t="inlineStr">
        <is>
          <t>Cờ đánh dấu ghi nợ/ghi có</t>
        </is>
      </c>
      <c r="M97" s="412">
        <f>"COMMENT ON COLUMN "&amp;G97&amp;"."&amp;H97&amp;"."&amp;I97&amp;" IS '"&amp;L97&amp;"';"</f>
        <v/>
      </c>
      <c r="N97" s="414" t="inlineStr">
        <is>
          <t>Map 1:1 nguyên bản từ SMY.STMT_DAILY.CRF_TYPE sang PG_BRONZE.SMY_STMT_DAILY.CRF_TYPE</t>
        </is>
      </c>
    </row>
    <row r="98" ht="27" customHeight="1" s="335">
      <c r="A98" s="386" t="inlineStr">
        <is>
          <t>SMY</t>
        </is>
      </c>
      <c r="B98" s="386" t="inlineStr">
        <is>
          <t>STMT_DAILY</t>
        </is>
      </c>
      <c r="C98" s="386" t="inlineStr">
        <is>
          <t>CURRENCY</t>
        </is>
      </c>
      <c r="D98" s="385" t="inlineStr">
        <is>
          <t>1:1</t>
        </is>
      </c>
      <c r="E98" s="412" t="inlineStr">
        <is>
          <t>CUST_INFO_DAILY</t>
        </is>
      </c>
      <c r="F98" s="412" t="inlineStr">
        <is>
          <t>Currency Code</t>
        </is>
      </c>
      <c r="G98" s="385" t="inlineStr">
        <is>
          <t>PG_BRONZE</t>
        </is>
      </c>
      <c r="H98" s="386" t="inlineStr">
        <is>
          <t>SMY_STMT_DAILY</t>
        </is>
      </c>
      <c r="I98" s="386" t="inlineStr">
        <is>
          <t>CURRENCY</t>
        </is>
      </c>
      <c r="J98" s="410" t="inlineStr">
        <is>
          <t>VARCHAR2</t>
        </is>
      </c>
      <c r="K98" s="408" t="n">
        <v>100</v>
      </c>
      <c r="L98" s="412" t="inlineStr">
        <is>
          <t>Loai tien but toan</t>
        </is>
      </c>
      <c r="M98" s="412">
        <f>"COMMENT ON COLUMN "&amp;G98&amp;"."&amp;H98&amp;"."&amp;I98&amp;" IS '"&amp;L98&amp;"';"</f>
        <v/>
      </c>
      <c r="N98" s="414" t="inlineStr">
        <is>
          <t>Map 1:1 nguyên bản từ SMY.STMT_DAILY.CURRENCY sang PG_BRONZE.SMY_STMT_DAILY.CURRENCY</t>
        </is>
      </c>
    </row>
    <row r="99" ht="27" customHeight="1" s="335">
      <c r="A99" s="386" t="inlineStr">
        <is>
          <t>SMY</t>
        </is>
      </c>
      <c r="B99" s="386" t="inlineStr">
        <is>
          <t>STMT_DAILY</t>
        </is>
      </c>
      <c r="C99" s="386" t="inlineStr">
        <is>
          <t>CURR_NO</t>
        </is>
      </c>
      <c r="D99" s="385" t="inlineStr">
        <is>
          <t>1:1</t>
        </is>
      </c>
      <c r="E99" s="412" t="inlineStr">
        <is>
          <t>CUST_INFO_DAILY</t>
        </is>
      </c>
      <c r="F99" s="412" t="inlineStr">
        <is>
          <t>Current Number</t>
        </is>
      </c>
      <c r="G99" s="385" t="inlineStr">
        <is>
          <t>PG_BRONZE</t>
        </is>
      </c>
      <c r="H99" s="386" t="inlineStr">
        <is>
          <t>SMY_STMT_DAILY</t>
        </is>
      </c>
      <c r="I99" s="386" t="inlineStr">
        <is>
          <t>CURR_NO</t>
        </is>
      </c>
      <c r="J99" s="410" t="inlineStr">
        <is>
          <t>NUMBER</t>
        </is>
      </c>
      <c r="K99" s="408" t="n">
        <v>10</v>
      </c>
      <c r="L99" s="412" t="inlineStr">
        <is>
          <t>Trường kỹ thuật, đánh dấu version thay đổi bút toán</t>
        </is>
      </c>
      <c r="M99" s="412">
        <f>"COMMENT ON COLUMN "&amp;G99&amp;"."&amp;H99&amp;"."&amp;I99&amp;" IS '"&amp;L99&amp;"';"</f>
        <v/>
      </c>
      <c r="N99" s="414" t="inlineStr">
        <is>
          <t>Map 1:1 nguyên bản từ SMY.STMT_DAILY.CURR_NO sang PG_BRONZE.SMY_STMT_DAILY.CURR_NO</t>
        </is>
      </c>
    </row>
    <row r="100" ht="41.25" customHeight="1" s="335">
      <c r="A100" s="386" t="inlineStr">
        <is>
          <t>SMY</t>
        </is>
      </c>
      <c r="B100" s="386" t="inlineStr">
        <is>
          <t>STMT_DAILY</t>
        </is>
      </c>
      <c r="C100" s="386" t="inlineStr">
        <is>
          <t>CUSTOMER_ID</t>
        </is>
      </c>
      <c r="D100" s="385" t="inlineStr">
        <is>
          <t>1:1</t>
        </is>
      </c>
      <c r="E100" s="412" t="inlineStr">
        <is>
          <t>CUST_INFO_DAILY</t>
        </is>
      </c>
      <c r="F100" s="412" t="inlineStr">
        <is>
          <t>Customer Id/ Customer Code</t>
        </is>
      </c>
      <c r="G100" s="385" t="inlineStr">
        <is>
          <t>PG_BRONZE</t>
        </is>
      </c>
      <c r="H100" s="386" t="inlineStr">
        <is>
          <t>SMY_STMT_DAILY</t>
        </is>
      </c>
      <c r="I100" s="386" t="inlineStr">
        <is>
          <t>CUSTOMER_ID</t>
        </is>
      </c>
      <c r="J100" s="410" t="inlineStr">
        <is>
          <t>VARCHAR2</t>
        </is>
      </c>
      <c r="K100" s="408" t="n">
        <v>100</v>
      </c>
      <c r="L100" s="412" t="inlineStr">
        <is>
          <t>Mã khách hàng ứng với Account_number</t>
        </is>
      </c>
      <c r="M100" s="412">
        <f>"COMMENT ON COLUMN "&amp;G100&amp;"."&amp;H100&amp;"."&amp;I100&amp;" IS '"&amp;L100&amp;"';"</f>
        <v/>
      </c>
      <c r="N100" s="414" t="inlineStr">
        <is>
          <t>Map 1:1 nguyên bản từ SMY.STMT_DAILY.CUSTOMER_ID sang PG_BRONZE.SMY_STMT_DAILY.CUSTOMER_ID</t>
        </is>
      </c>
    </row>
    <row r="101" ht="41.25" customHeight="1" s="335">
      <c r="A101" s="386" t="inlineStr">
        <is>
          <t>SMY</t>
        </is>
      </c>
      <c r="B101" s="386" t="inlineStr">
        <is>
          <t>STMT_DAILY</t>
        </is>
      </c>
      <c r="C101" s="386" t="inlineStr">
        <is>
          <t>CYCLE_FORWARD</t>
        </is>
      </c>
      <c r="D101" s="385" t="inlineStr">
        <is>
          <t>1:1</t>
        </is>
      </c>
      <c r="E101" s="412" t="inlineStr">
        <is>
          <t>CUST_INFO_DAILY</t>
        </is>
      </c>
      <c r="F101" s="412" t="inlineStr">
        <is>
          <t>Cycle Forward</t>
        </is>
      </c>
      <c r="G101" s="385" t="inlineStr">
        <is>
          <t>PG_BRONZE</t>
        </is>
      </c>
      <c r="H101" s="386" t="inlineStr">
        <is>
          <t>SMY_STMT_DAILY</t>
        </is>
      </c>
      <c r="I101" s="386" t="inlineStr">
        <is>
          <t>CYCLE_FORWARD</t>
        </is>
      </c>
      <c r="J101" s="410" t="inlineStr">
        <is>
          <t>DATE</t>
        </is>
      </c>
      <c r="K101" s="408" t="n"/>
      <c r="L101" s="412" t="inlineStr">
        <is>
          <t>Cờ kết chuyển chu kỳ hạch toán (Cycle Forward)</t>
        </is>
      </c>
      <c r="M101" s="412">
        <f>"COMMENT ON COLUMN "&amp;G101&amp;"."&amp;H101&amp;"."&amp;I101&amp;" IS '"&amp;L101&amp;"';"</f>
        <v/>
      </c>
      <c r="N101" s="414" t="inlineStr">
        <is>
          <t>Map 1:1 nguyên bản từ SMY.STMT_DAILY.CYCLE_FORWARD sang PG_BRONZE.SMY_STMT_DAILY.CYCLE_FORWARD</t>
        </is>
      </c>
    </row>
    <row r="102" ht="27" customHeight="1" s="335">
      <c r="A102" s="386" t="inlineStr">
        <is>
          <t>SMY</t>
        </is>
      </c>
      <c r="B102" s="386" t="inlineStr">
        <is>
          <t>STMT_DAILY</t>
        </is>
      </c>
      <c r="C102" s="386" t="inlineStr">
        <is>
          <t>DATE_TIME</t>
        </is>
      </c>
      <c r="D102" s="385" t="inlineStr">
        <is>
          <t>1:1</t>
        </is>
      </c>
      <c r="E102" s="412" t="inlineStr">
        <is>
          <t>CUST_INFO_DAILY</t>
        </is>
      </c>
      <c r="F102" s="412" t="inlineStr">
        <is>
          <t>Date Time</t>
        </is>
      </c>
      <c r="G102" s="385" t="inlineStr">
        <is>
          <t>PG_BRONZE</t>
        </is>
      </c>
      <c r="H102" s="386" t="inlineStr">
        <is>
          <t>SMY_STMT_DAILY</t>
        </is>
      </c>
      <c r="I102" s="386" t="inlineStr">
        <is>
          <t>DATE_TIME</t>
        </is>
      </c>
      <c r="J102" s="410" t="inlineStr">
        <is>
          <t>DATE</t>
        </is>
      </c>
      <c r="K102" s="408" t="n">
        <v>8</v>
      </c>
      <c r="L102" s="412" t="inlineStr">
        <is>
          <t>Trường kỹ thuật, ghi nhận thời gian sửa đổi</t>
        </is>
      </c>
      <c r="M102" s="412">
        <f>"COMMENT ON COLUMN "&amp;G102&amp;"."&amp;H102&amp;"."&amp;I102&amp;" IS '"&amp;L102&amp;"';"</f>
        <v/>
      </c>
      <c r="N102" s="414" t="inlineStr">
        <is>
          <t>Map 1:1 nguyên bản từ SMY.STMT_DAILY.DATE_TIME sang PG_BRONZE.SMY_STMT_DAILY.DATE_TIME</t>
        </is>
      </c>
    </row>
    <row r="103" ht="41.25" customHeight="1" s="335">
      <c r="A103" s="386" t="inlineStr">
        <is>
          <t>SMY</t>
        </is>
      </c>
      <c r="B103" s="386" t="inlineStr">
        <is>
          <t>STMT_DAILY</t>
        </is>
      </c>
      <c r="C103" s="386" t="inlineStr">
        <is>
          <t>DEPARTMENT_CODE</t>
        </is>
      </c>
      <c r="D103" s="385" t="inlineStr">
        <is>
          <t>1:1</t>
        </is>
      </c>
      <c r="E103" s="412" t="inlineStr">
        <is>
          <t>CUST_INFO_DAILY</t>
        </is>
      </c>
      <c r="F103" s="412" t="inlineStr">
        <is>
          <t>Department Code</t>
        </is>
      </c>
      <c r="G103" s="385" t="inlineStr">
        <is>
          <t>PG_BRONZE</t>
        </is>
      </c>
      <c r="H103" s="386" t="inlineStr">
        <is>
          <t>SMY_STMT_DAILY</t>
        </is>
      </c>
      <c r="I103" s="386" t="inlineStr">
        <is>
          <t>DEPARTMENT_CODE</t>
        </is>
      </c>
      <c r="J103" s="410" t="inlineStr">
        <is>
          <t>VARCHAR2</t>
        </is>
      </c>
      <c r="K103" s="408" t="n">
        <v>100</v>
      </c>
      <c r="L103" s="412" t="inlineStr">
        <is>
          <t>Mã đơn vị hạch toán</t>
        </is>
      </c>
      <c r="M103" s="412">
        <f>"COMMENT ON COLUMN "&amp;G103&amp;"."&amp;H103&amp;"."&amp;I103&amp;" IS '"&amp;L103&amp;"';"</f>
        <v/>
      </c>
      <c r="N103" s="414" t="inlineStr">
        <is>
          <t>Map 1:1 nguyên bản từ SMY.STMT_DAILY.DEPARTMENT_CODE sang PG_BRONZE.SMY_STMT_DAILY.DEPARTMENT_CODE</t>
        </is>
      </c>
    </row>
    <row r="104" ht="41.25" customHeight="1" s="335">
      <c r="A104" s="386" t="inlineStr">
        <is>
          <t>SMY</t>
        </is>
      </c>
      <c r="B104" s="386" t="inlineStr">
        <is>
          <t>STMT_DAILY</t>
        </is>
      </c>
      <c r="C104" s="386" t="inlineStr">
        <is>
          <t>DRAWN_ACCOUNT</t>
        </is>
      </c>
      <c r="D104" s="385" t="inlineStr">
        <is>
          <t>1:1</t>
        </is>
      </c>
      <c r="E104" s="412" t="inlineStr">
        <is>
          <t>CUST_INFO_DAILY</t>
        </is>
      </c>
      <c r="F104" s="412" t="inlineStr">
        <is>
          <t>Drawn Account</t>
        </is>
      </c>
      <c r="G104" s="385" t="inlineStr">
        <is>
          <t>PG_BRONZE</t>
        </is>
      </c>
      <c r="H104" s="386" t="inlineStr">
        <is>
          <t>SMY_STMT_DAILY</t>
        </is>
      </c>
      <c r="I104" s="386" t="inlineStr">
        <is>
          <t>DRAWN_ACCOUNT</t>
        </is>
      </c>
      <c r="J104" s="410" t="inlineStr">
        <is>
          <t>VARCHAR2</t>
        </is>
      </c>
      <c r="K104" s="408" t="n">
        <v>100</v>
      </c>
      <c r="L104" s="412" t="inlineStr">
        <is>
          <t>Tài khoản ghi nhận số tiền rút</t>
        </is>
      </c>
      <c r="M104" s="412">
        <f>"COMMENT ON COLUMN "&amp;G104&amp;"."&amp;H104&amp;"."&amp;I104&amp;" IS '"&amp;L104&amp;"';"</f>
        <v/>
      </c>
      <c r="N104" s="414" t="inlineStr">
        <is>
          <t>Map 1:1 nguyên bản từ SMY.STMT_DAILY.DRAWN_ACCOUNT sang PG_BRONZE.SMY_STMT_DAILY.DRAWN_ACCOUNT</t>
        </is>
      </c>
    </row>
    <row r="105" ht="27" customHeight="1" s="335">
      <c r="A105" s="386" t="inlineStr">
        <is>
          <t>SMY</t>
        </is>
      </c>
      <c r="B105" s="386" t="inlineStr">
        <is>
          <t>STMT_DAILY</t>
        </is>
      </c>
      <c r="C105" s="386" t="inlineStr">
        <is>
          <t>EXCHANGE_RATE</t>
        </is>
      </c>
      <c r="D105" s="385" t="inlineStr">
        <is>
          <t>1:1</t>
        </is>
      </c>
      <c r="E105" s="412" t="inlineStr">
        <is>
          <t>CUST_INFO_DAILY</t>
        </is>
      </c>
      <c r="F105" s="412" t="inlineStr">
        <is>
          <t>Exchange Rate To Local Currency</t>
        </is>
      </c>
      <c r="G105" s="385" t="inlineStr">
        <is>
          <t>PG_BRONZE</t>
        </is>
      </c>
      <c r="H105" s="386" t="inlineStr">
        <is>
          <t>SMY_STMT_DAILY</t>
        </is>
      </c>
      <c r="I105" s="386" t="inlineStr">
        <is>
          <t>EXCHANGE_RATE</t>
        </is>
      </c>
      <c r="J105" s="410" t="inlineStr">
        <is>
          <t>NUMBER</t>
        </is>
      </c>
      <c r="K105" s="408" t="n">
        <v>13.7</v>
      </c>
      <c r="L105" s="412" t="inlineStr">
        <is>
          <t>Tỷ giá quy đổi</t>
        </is>
      </c>
      <c r="M105" s="412">
        <f>"COMMENT ON COLUMN "&amp;G105&amp;"."&amp;H105&amp;"."&amp;I105&amp;" IS '"&amp;L105&amp;"';"</f>
        <v/>
      </c>
      <c r="N105" s="414" t="inlineStr">
        <is>
          <t>Map 1:1 nguyên bản từ SMY.STMT_DAILY.EXCHANGE_RATE sang PG_BRONZE.SMY_STMT_DAILY.EXCHANGE_RATE</t>
        </is>
      </c>
    </row>
    <row r="106" ht="41.25" customHeight="1" s="335">
      <c r="A106" s="386" t="inlineStr">
        <is>
          <t>SMY</t>
        </is>
      </c>
      <c r="B106" s="386" t="inlineStr">
        <is>
          <t>STMT_DAILY</t>
        </is>
      </c>
      <c r="C106" s="386" t="inlineStr">
        <is>
          <t>INTERNAL_CATEGORY</t>
        </is>
      </c>
      <c r="D106" s="385" t="inlineStr">
        <is>
          <t>1:1</t>
        </is>
      </c>
      <c r="E106" s="412" t="inlineStr">
        <is>
          <t>CUST_INFO_DAILY</t>
        </is>
      </c>
      <c r="F106" s="412" t="inlineStr">
        <is>
          <t>Internal Category</t>
        </is>
      </c>
      <c r="G106" s="385" t="inlineStr">
        <is>
          <t>PG_BRONZE</t>
        </is>
      </c>
      <c r="H106" s="386" t="inlineStr">
        <is>
          <t>SMY_STMT_DAILY</t>
        </is>
      </c>
      <c r="I106" s="386" t="inlineStr">
        <is>
          <t>INTERNAL_CATEGORY</t>
        </is>
      </c>
      <c r="J106" s="410" t="inlineStr">
        <is>
          <t>VARCHAR2</t>
        </is>
      </c>
      <c r="K106" s="408" t="n">
        <v>100</v>
      </c>
      <c r="L106" s="412" t="inlineStr">
        <is>
          <t>Mã Category nội bộ</t>
        </is>
      </c>
      <c r="M106" s="412">
        <f>"COMMENT ON COLUMN "&amp;G106&amp;"."&amp;H106&amp;"."&amp;I106&amp;" IS '"&amp;L106&amp;"';"</f>
        <v/>
      </c>
      <c r="N106" s="414" t="inlineStr">
        <is>
          <t>Map 1:1 nguyên bản từ SMY.STMT_DAILY.INTERNAL_CATEGORY sang PG_BRONZE.SMY_STMT_DAILY.INTERNAL_CATEGORY</t>
        </is>
      </c>
    </row>
    <row r="107" ht="27" customHeight="1" s="335">
      <c r="A107" s="386" t="inlineStr">
        <is>
          <t>SMY</t>
        </is>
      </c>
      <c r="B107" s="386" t="inlineStr">
        <is>
          <t>STMT_DAILY</t>
        </is>
      </c>
      <c r="C107" s="386" t="inlineStr">
        <is>
          <t>LOCAL_REF</t>
        </is>
      </c>
      <c r="D107" s="385" t="inlineStr">
        <is>
          <t>1:1</t>
        </is>
      </c>
      <c r="E107" s="412" t="inlineStr">
        <is>
          <t>CUST_INFO_DAILY</t>
        </is>
      </c>
      <c r="F107" s="412" t="inlineStr">
        <is>
          <t>Local Reference</t>
        </is>
      </c>
      <c r="G107" s="385" t="inlineStr">
        <is>
          <t>PG_BRONZE</t>
        </is>
      </c>
      <c r="H107" s="386" t="inlineStr">
        <is>
          <t>SMY_STMT_DAILY</t>
        </is>
      </c>
      <c r="I107" s="386" t="inlineStr">
        <is>
          <t>LOCAL_REF</t>
        </is>
      </c>
      <c r="J107" s="410" t="inlineStr">
        <is>
          <t>VARCHAR2</t>
        </is>
      </c>
      <c r="K107" s="408" t="n">
        <v>100</v>
      </c>
      <c r="L107" s="412" t="inlineStr">
        <is>
          <t>Trường multivalue - đa nghĩa của T24</t>
        </is>
      </c>
      <c r="M107" s="412">
        <f>"COMMENT ON COLUMN "&amp;G107&amp;"."&amp;H107&amp;"."&amp;I107&amp;" IS '"&amp;L107&amp;"';"</f>
        <v/>
      </c>
      <c r="N107" s="414" t="inlineStr">
        <is>
          <t>Map 1:1 nguyên bản từ SMY.STMT_DAILY.LOCAL_REF sang PG_BRONZE.SMY_STMT_DAILY.LOCAL_REF</t>
        </is>
      </c>
    </row>
    <row r="108" ht="27" customHeight="1" s="335">
      <c r="A108" s="386" t="inlineStr">
        <is>
          <t>SMY</t>
        </is>
      </c>
      <c r="B108" s="386" t="inlineStr">
        <is>
          <t>STMT_DAILY</t>
        </is>
      </c>
      <c r="C108" s="386" t="inlineStr">
        <is>
          <t>NARRATIVE</t>
        </is>
      </c>
      <c r="D108" s="385" t="inlineStr">
        <is>
          <t>1:1</t>
        </is>
      </c>
      <c r="E108" s="412" t="inlineStr">
        <is>
          <t>Saoke_GIAINGAN</t>
        </is>
      </c>
      <c r="F108" s="412" t="inlineStr">
        <is>
          <t>Posting Entry Description</t>
        </is>
      </c>
      <c r="G108" s="385" t="inlineStr">
        <is>
          <t>PG_BRONZE</t>
        </is>
      </c>
      <c r="H108" s="386" t="inlineStr">
        <is>
          <t>SMY_STMT_DAILY</t>
        </is>
      </c>
      <c r="I108" s="386" t="inlineStr">
        <is>
          <t>NARRATIVE</t>
        </is>
      </c>
      <c r="J108" s="410" t="inlineStr">
        <is>
          <t>VARCHAR2</t>
        </is>
      </c>
      <c r="K108" s="408" t="n">
        <v>255</v>
      </c>
      <c r="L108" s="412" t="inlineStr">
        <is>
          <t>Mô tả bút toán</t>
        </is>
      </c>
      <c r="M108" s="412">
        <f>"COMMENT ON COLUMN "&amp;G108&amp;"."&amp;H108&amp;"."&amp;I108&amp;" IS '"&amp;L108&amp;"';"</f>
        <v/>
      </c>
      <c r="N108" s="414" t="inlineStr">
        <is>
          <t>Map 1:1 nguyên bản từ SMY.STMT_DAILY.NARRATIVE sang PG_BRONZE.SMY_STMT_DAILY.NARRATIVE</t>
        </is>
      </c>
    </row>
    <row r="109" ht="41.25" customHeight="1" s="335">
      <c r="A109" s="386" t="inlineStr">
        <is>
          <t>SMY</t>
        </is>
      </c>
      <c r="B109" s="386" t="inlineStr">
        <is>
          <t>STMT_DAILY</t>
        </is>
      </c>
      <c r="C109" s="386" t="inlineStr">
        <is>
          <t>ORIGINAL_ACCT</t>
        </is>
      </c>
      <c r="D109" s="385" t="inlineStr">
        <is>
          <t>1:1</t>
        </is>
      </c>
      <c r="E109" s="412" t="inlineStr">
        <is>
          <t>Saoke_GIAINGAN</t>
        </is>
      </c>
      <c r="F109" s="412" t="inlineStr">
        <is>
          <t>Original Account</t>
        </is>
      </c>
      <c r="G109" s="385" t="inlineStr">
        <is>
          <t>PG_BRONZE</t>
        </is>
      </c>
      <c r="H109" s="386" t="inlineStr">
        <is>
          <t>SMY_STMT_DAILY</t>
        </is>
      </c>
      <c r="I109" s="386" t="inlineStr">
        <is>
          <t>ORIGINAL_ACCT</t>
        </is>
      </c>
      <c r="J109" s="410" t="inlineStr">
        <is>
          <t>VARCHAR2</t>
        </is>
      </c>
      <c r="K109" s="408" t="n">
        <v>100</v>
      </c>
      <c r="L109" s="412" t="inlineStr">
        <is>
          <t>Số tài khoản hạch toán ban đầu</t>
        </is>
      </c>
      <c r="M109" s="412">
        <f>"COMMENT ON COLUMN "&amp;G109&amp;"."&amp;H109&amp;"."&amp;I109&amp;" IS '"&amp;L109&amp;"';"</f>
        <v/>
      </c>
      <c r="N109" s="414" t="inlineStr">
        <is>
          <t>Map 1:1 nguyên bản từ SMY.STMT_DAILY.ORIGINAL_ACCT sang PG_BRONZE.SMY_STMT_DAILY.ORIGINAL_ACCT</t>
        </is>
      </c>
    </row>
    <row r="110" ht="41.25" customHeight="1" s="335">
      <c r="A110" s="386" t="inlineStr">
        <is>
          <t>SMY</t>
        </is>
      </c>
      <c r="B110" s="386" t="inlineStr">
        <is>
          <t>STMT_DAILY</t>
        </is>
      </c>
      <c r="C110" s="386" t="inlineStr">
        <is>
          <t>ORIGINAL_AMOUNT</t>
        </is>
      </c>
      <c r="D110" s="385" t="inlineStr">
        <is>
          <t>1:1</t>
        </is>
      </c>
      <c r="E110" s="412" t="inlineStr">
        <is>
          <t>Saoke_GIAINGAN</t>
        </is>
      </c>
      <c r="F110" s="412" t="inlineStr">
        <is>
          <t>Original Amount</t>
        </is>
      </c>
      <c r="G110" s="385" t="inlineStr">
        <is>
          <t>PG_BRONZE</t>
        </is>
      </c>
      <c r="H110" s="386" t="inlineStr">
        <is>
          <t>SMY_STMT_DAILY</t>
        </is>
      </c>
      <c r="I110" s="386" t="inlineStr">
        <is>
          <t>ORIGINAL_AMOUNT</t>
        </is>
      </c>
      <c r="J110" s="410" t="inlineStr">
        <is>
          <t>NUMBER</t>
        </is>
      </c>
      <c r="K110" s="408" t="n">
        <v>25.5</v>
      </c>
      <c r="L110" s="412" t="inlineStr">
        <is>
          <t>Giá trị hạch toán ban đầu nguyên tệ</t>
        </is>
      </c>
      <c r="M110" s="412">
        <f>"COMMENT ON COLUMN "&amp;G110&amp;"."&amp;H110&amp;"."&amp;I110&amp;" IS '"&amp;L110&amp;"';"</f>
        <v/>
      </c>
      <c r="N110" s="414" t="inlineStr">
        <is>
          <t>Map 1:1 nguyên bản từ SMY.STMT_DAILY.ORIGINAL_AMOUNT sang PG_BRONZE.SMY_STMT_DAILY.ORIGINAL_AMOUNT</t>
        </is>
      </c>
    </row>
    <row r="111" ht="41.25" customHeight="1" s="335">
      <c r="A111" s="386" t="inlineStr">
        <is>
          <t>SMY</t>
        </is>
      </c>
      <c r="B111" s="386" t="inlineStr">
        <is>
          <t>STMT_DAILY</t>
        </is>
      </c>
      <c r="C111" s="386" t="inlineStr">
        <is>
          <t>ORIGINAL_CCY</t>
        </is>
      </c>
      <c r="D111" s="385" t="inlineStr">
        <is>
          <t>1:1</t>
        </is>
      </c>
      <c r="E111" s="412" t="inlineStr">
        <is>
          <t>Saoke_GIAINGAN</t>
        </is>
      </c>
      <c r="F111" s="412" t="inlineStr">
        <is>
          <t>Original Currency</t>
        </is>
      </c>
      <c r="G111" s="385" t="inlineStr">
        <is>
          <t>PG_BRONZE</t>
        </is>
      </c>
      <c r="H111" s="386" t="inlineStr">
        <is>
          <t>SMY_STMT_DAILY</t>
        </is>
      </c>
      <c r="I111" s="386" t="inlineStr">
        <is>
          <t>ORIGINAL_CCY</t>
        </is>
      </c>
      <c r="J111" s="410" t="inlineStr">
        <is>
          <t>VARCHAR2</t>
        </is>
      </c>
      <c r="K111" s="408" t="n">
        <v>100</v>
      </c>
      <c r="L111" s="412" t="inlineStr">
        <is>
          <t>Loại tiền giao dịch ban đầu</t>
        </is>
      </c>
      <c r="M111" s="412">
        <f>"COMMENT ON COLUMN "&amp;G111&amp;"."&amp;H111&amp;"."&amp;I111&amp;" IS '"&amp;L111&amp;"';"</f>
        <v/>
      </c>
      <c r="N111" s="414" t="inlineStr">
        <is>
          <t>Map 1:1 nguyên bản từ SMY.STMT_DAILY.ORIGINAL_CCY sang PG_BRONZE.SMY_STMT_DAILY.ORIGINAL_CCY</t>
        </is>
      </c>
    </row>
    <row r="112" ht="41.25" customHeight="1" s="335">
      <c r="A112" s="386" t="inlineStr">
        <is>
          <t>SMY</t>
        </is>
      </c>
      <c r="B112" s="386" t="inlineStr">
        <is>
          <t>STMT_DAILY</t>
        </is>
      </c>
      <c r="C112" s="386" t="inlineStr">
        <is>
          <t>ORIGINAL_EXCH_RATE</t>
        </is>
      </c>
      <c r="D112" s="385" t="inlineStr">
        <is>
          <t>1:1</t>
        </is>
      </c>
      <c r="E112" s="412" t="inlineStr">
        <is>
          <t>Saoke_GIAINGAN</t>
        </is>
      </c>
      <c r="F112" s="412" t="inlineStr">
        <is>
          <t>Original Exchange Rate</t>
        </is>
      </c>
      <c r="G112" s="385" t="inlineStr">
        <is>
          <t>PG_BRONZE</t>
        </is>
      </c>
      <c r="H112" s="386" t="inlineStr">
        <is>
          <t>SMY_STMT_DAILY</t>
        </is>
      </c>
      <c r="I112" s="386" t="inlineStr">
        <is>
          <t>ORIGINAL_EXCH_RATE</t>
        </is>
      </c>
      <c r="J112" s="410" t="inlineStr">
        <is>
          <t>NUMBER</t>
        </is>
      </c>
      <c r="K112" s="408" t="n">
        <v>13.7</v>
      </c>
      <c r="L112" s="412" t="inlineStr">
        <is>
          <t>Tỷ giá quy đổi cho loại tiền ban đầu</t>
        </is>
      </c>
      <c r="M112" s="412">
        <f>"COMMENT ON COLUMN "&amp;G112&amp;"."&amp;H112&amp;"."&amp;I112&amp;" IS '"&amp;L112&amp;"';"</f>
        <v/>
      </c>
      <c r="N112" s="414" t="inlineStr">
        <is>
          <t>Map 1:1 nguyên bản từ SMY.STMT_DAILY.ORIGINAL_EXCH_RATE sang PG_BRONZE.SMY_STMT_DAILY.ORIGINAL_EXCH_RATE</t>
        </is>
      </c>
    </row>
    <row r="113" ht="41.25" customHeight="1" s="335">
      <c r="A113" s="386" t="inlineStr">
        <is>
          <t>SMY</t>
        </is>
      </c>
      <c r="B113" s="386" t="inlineStr">
        <is>
          <t>STMT_DAILY</t>
        </is>
      </c>
      <c r="C113" s="386" t="inlineStr">
        <is>
          <t>ORIG_AMOUNT_LCY</t>
        </is>
      </c>
      <c r="D113" s="385" t="inlineStr">
        <is>
          <t>1:1</t>
        </is>
      </c>
      <c r="E113" s="412" t="inlineStr">
        <is>
          <t>Saoke_GIAINGAN</t>
        </is>
      </c>
      <c r="F113" s="412" t="inlineStr">
        <is>
          <t>Original Amount LCY</t>
        </is>
      </c>
      <c r="G113" s="385" t="inlineStr">
        <is>
          <t>PG_BRONZE</t>
        </is>
      </c>
      <c r="H113" s="386" t="inlineStr">
        <is>
          <t>SMY_STMT_DAILY</t>
        </is>
      </c>
      <c r="I113" s="386" t="inlineStr">
        <is>
          <t>ORIG_AMOUNT_LCY</t>
        </is>
      </c>
      <c r="J113" s="410" t="inlineStr">
        <is>
          <t>NUMBER</t>
        </is>
      </c>
      <c r="K113" s="408" t="n">
        <v>25.5</v>
      </c>
      <c r="L113" s="412" t="inlineStr">
        <is>
          <t>Giá trị hạch toán ban đầu quy đổi</t>
        </is>
      </c>
      <c r="M113" s="412">
        <f>"COMMENT ON COLUMN "&amp;G113&amp;"."&amp;H113&amp;"."&amp;I113&amp;" IS '"&amp;L113&amp;"';"</f>
        <v/>
      </c>
      <c r="N113" s="414" t="inlineStr">
        <is>
          <t>Map 1:1 nguyên bản từ SMY.STMT_DAILY.ORIG_AMOUNT_LCY sang PG_BRONZE.SMY_STMT_DAILY.ORIG_AMOUNT_LCY</t>
        </is>
      </c>
    </row>
    <row r="114" ht="27" customHeight="1" s="335">
      <c r="A114" s="386" t="inlineStr">
        <is>
          <t>SMY</t>
        </is>
      </c>
      <c r="B114" s="386" t="inlineStr">
        <is>
          <t>STMT_DAILY</t>
        </is>
      </c>
      <c r="C114" s="386" t="inlineStr">
        <is>
          <t>OUR_REFERENCE</t>
        </is>
      </c>
      <c r="D114" s="385" t="inlineStr">
        <is>
          <t>1:1</t>
        </is>
      </c>
      <c r="E114" s="412" t="inlineStr">
        <is>
          <t>Saoke_GIAINGAN</t>
        </is>
      </c>
      <c r="F114" s="412" t="inlineStr">
        <is>
          <t>Transaction Number</t>
        </is>
      </c>
      <c r="G114" s="385" t="inlineStr">
        <is>
          <t>PG_BRONZE</t>
        </is>
      </c>
      <c r="H114" s="386" t="inlineStr">
        <is>
          <t>SMY_STMT_DAILY</t>
        </is>
      </c>
      <c r="I114" s="386" t="inlineStr">
        <is>
          <t>OUR_REFERENCE</t>
        </is>
      </c>
      <c r="J114" s="410" t="inlineStr">
        <is>
          <t>VARCHAR2</t>
        </is>
      </c>
      <c r="K114" s="408" t="n">
        <v>100</v>
      </c>
      <c r="L114" s="412" t="inlineStr">
        <is>
          <t>Ma tham chieu</t>
        </is>
      </c>
      <c r="M114" s="412">
        <f>"COMMENT ON COLUMN "&amp;G114&amp;"."&amp;H114&amp;"."&amp;I114&amp;" IS '"&amp;L114&amp;"';"</f>
        <v/>
      </c>
      <c r="N114" s="414" t="inlineStr">
        <is>
          <t>Map 1:1 nguyên bản từ SMY.STMT_DAILY.OUR_REFERENCE sang PG_BRONZE.SMY_STMT_DAILY.OUR_REFERENCE</t>
        </is>
      </c>
    </row>
    <row r="115" ht="41.25" customHeight="1" s="335">
      <c r="A115" s="386" t="inlineStr">
        <is>
          <t>SMY</t>
        </is>
      </c>
      <c r="B115" s="386" t="inlineStr">
        <is>
          <t>STMT_DAILY</t>
        </is>
      </c>
      <c r="C115" s="386" t="inlineStr">
        <is>
          <t>OUTSTANDING_BAL</t>
        </is>
      </c>
      <c r="D115" s="385" t="inlineStr">
        <is>
          <t>1:1</t>
        </is>
      </c>
      <c r="E115" s="412" t="inlineStr">
        <is>
          <t>Saoke_GIAINGAN</t>
        </is>
      </c>
      <c r="F115" s="412" t="inlineStr">
        <is>
          <t>Outstanding Balance</t>
        </is>
      </c>
      <c r="G115" s="385" t="inlineStr">
        <is>
          <t>PG_BRONZE</t>
        </is>
      </c>
      <c r="H115" s="386" t="inlineStr">
        <is>
          <t>SMY_STMT_DAILY</t>
        </is>
      </c>
      <c r="I115" s="386" t="inlineStr">
        <is>
          <t>OUTSTANDING_BAL</t>
        </is>
      </c>
      <c r="J115" s="410" t="inlineStr">
        <is>
          <t>NUMBER</t>
        </is>
      </c>
      <c r="K115" s="408" t="n">
        <v>25.5</v>
      </c>
      <c r="L115" s="412" t="inlineStr">
        <is>
          <t>Dư nợ tín dụng của hợp đồng ( OUR_REFERENCE)</t>
        </is>
      </c>
      <c r="M115" s="412">
        <f>"COMMENT ON COLUMN "&amp;G115&amp;"."&amp;H115&amp;"."&amp;I115&amp;" IS '"&amp;L115&amp;"';"</f>
        <v/>
      </c>
      <c r="N115" s="414" t="inlineStr">
        <is>
          <t>Map 1:1 nguyên bản từ SMY.STMT_DAILY.OUTSTANDING_BAL sang PG_BRONZE.SMY_STMT_DAILY.OUTSTANDING_BAL</t>
        </is>
      </c>
    </row>
    <row r="116" ht="27" customHeight="1" s="335">
      <c r="A116" s="386" t="inlineStr">
        <is>
          <t>SMY</t>
        </is>
      </c>
      <c r="B116" s="386" t="inlineStr">
        <is>
          <t>STMT_DAILY</t>
        </is>
      </c>
      <c r="C116" s="386" t="inlineStr">
        <is>
          <t>OVERRIDE</t>
        </is>
      </c>
      <c r="D116" s="385" t="inlineStr">
        <is>
          <t>1:1</t>
        </is>
      </c>
      <c r="E116" s="412" t="inlineStr">
        <is>
          <t>Saoke_GIAINGAN</t>
        </is>
      </c>
      <c r="F116" s="412" t="inlineStr">
        <is>
          <t>Override Flag</t>
        </is>
      </c>
      <c r="G116" s="385" t="inlineStr">
        <is>
          <t>PG_BRONZE</t>
        </is>
      </c>
      <c r="H116" s="386" t="inlineStr">
        <is>
          <t>SMY_STMT_DAILY</t>
        </is>
      </c>
      <c r="I116" s="386" t="inlineStr">
        <is>
          <t>OVERRIDE</t>
        </is>
      </c>
      <c r="J116" s="410" t="inlineStr">
        <is>
          <t>VARCHAR2</t>
        </is>
      </c>
      <c r="K116" s="408" t="n">
        <v>100</v>
      </c>
      <c r="L116" s="412" t="inlineStr">
        <is>
          <t>Cờ cảnh báo</t>
        </is>
      </c>
      <c r="M116" s="412">
        <f>"COMMENT ON COLUMN "&amp;G116&amp;"."&amp;H116&amp;"."&amp;I116&amp;" IS '"&amp;L116&amp;"';"</f>
        <v/>
      </c>
      <c r="N116" s="414" t="inlineStr">
        <is>
          <t>Map 1:1 nguyên bản từ SMY.STMT_DAILY.OVERRIDE sang PG_BRONZE.SMY_STMT_DAILY.OVERRIDE</t>
        </is>
      </c>
    </row>
    <row r="117" ht="41.25" customHeight="1" s="335">
      <c r="A117" s="386" t="inlineStr">
        <is>
          <t>SMY</t>
        </is>
      </c>
      <c r="B117" s="386" t="inlineStr">
        <is>
          <t>STMT_DAILY</t>
        </is>
      </c>
      <c r="C117" s="386" t="inlineStr">
        <is>
          <t>PROCESSING_DATE</t>
        </is>
      </c>
      <c r="D117" s="385" t="inlineStr">
        <is>
          <t>1:1</t>
        </is>
      </c>
      <c r="E117" s="412" t="inlineStr">
        <is>
          <t>Saoke_GIAINGAN</t>
        </is>
      </c>
      <c r="F117" s="412" t="inlineStr">
        <is>
          <t>Processing Date</t>
        </is>
      </c>
      <c r="G117" s="385" t="inlineStr">
        <is>
          <t>PG_BRONZE</t>
        </is>
      </c>
      <c r="H117" s="386" t="inlineStr">
        <is>
          <t>SMY_STMT_DAILY</t>
        </is>
      </c>
      <c r="I117" s="386" t="inlineStr">
        <is>
          <t>PROCESSING_DATE</t>
        </is>
      </c>
      <c r="J117" s="410" t="inlineStr">
        <is>
          <t>DATE</t>
        </is>
      </c>
      <c r="K117" s="408" t="n">
        <v>8</v>
      </c>
      <c r="L117" s="412" t="inlineStr">
        <is>
          <t>Trường PROCESSING_DATE của bảng nguồn SMY.STMT_DAILY</t>
        </is>
      </c>
      <c r="M117" s="412">
        <f>"COMMENT ON COLUMN "&amp;G117&amp;"."&amp;H117&amp;"."&amp;I117&amp;" IS '"&amp;L117&amp;"';"</f>
        <v/>
      </c>
      <c r="N117" s="414" t="inlineStr">
        <is>
          <t>Map 1:1 nguyên bản từ SMY.STMT_DAILY.PROCESSING_DATE sang PG_BRONZE.SMY_STMT_DAILY.PROCESSING_DATE</t>
        </is>
      </c>
    </row>
    <row r="118" ht="41.25" customHeight="1" s="335">
      <c r="A118" s="386" t="inlineStr">
        <is>
          <t>SMY</t>
        </is>
      </c>
      <c r="B118" s="386" t="inlineStr">
        <is>
          <t>STMT_DAILY</t>
        </is>
      </c>
      <c r="C118" s="386" t="inlineStr">
        <is>
          <t>PROCESS_FORWARD</t>
        </is>
      </c>
      <c r="D118" s="385" t="inlineStr">
        <is>
          <t>1:1</t>
        </is>
      </c>
      <c r="E118" s="412" t="inlineStr">
        <is>
          <t>Saoke_GIAINGAN</t>
        </is>
      </c>
      <c r="F118" s="412" t="inlineStr">
        <is>
          <t>Process Forward</t>
        </is>
      </c>
      <c r="G118" s="385" t="inlineStr">
        <is>
          <t>PG_BRONZE</t>
        </is>
      </c>
      <c r="H118" s="386" t="inlineStr">
        <is>
          <t>SMY_STMT_DAILY</t>
        </is>
      </c>
      <c r="I118" s="386" t="inlineStr">
        <is>
          <t>PROCESS_FORWARD</t>
        </is>
      </c>
      <c r="J118" s="410" t="inlineStr">
        <is>
          <t>VARCHAR2</t>
        </is>
      </c>
      <c r="K118" s="408" t="n">
        <v>100</v>
      </c>
      <c r="L118" s="412" t="inlineStr">
        <is>
          <t>Cờ xử lý chuyển tiếp bút toán hạch toán (Process Forward)</t>
        </is>
      </c>
      <c r="M118" s="412">
        <f>"COMMENT ON COLUMN "&amp;G118&amp;"."&amp;H118&amp;"."&amp;I118&amp;" IS '"&amp;L118&amp;"';"</f>
        <v/>
      </c>
      <c r="N118" s="414" t="inlineStr">
        <is>
          <t>Map 1:1 nguyên bản từ SMY.STMT_DAILY.PROCESS_FORWARD sang PG_BRONZE.SMY_STMT_DAILY.PROCESS_FORWARD</t>
        </is>
      </c>
    </row>
    <row r="119" ht="41.25" customHeight="1" s="335">
      <c r="A119" s="386" t="inlineStr">
        <is>
          <t>SMY</t>
        </is>
      </c>
      <c r="B119" s="386" t="inlineStr">
        <is>
          <t>STMT_DAILY</t>
        </is>
      </c>
      <c r="C119" s="386" t="inlineStr">
        <is>
          <t>PRODUCT_CATEGORY</t>
        </is>
      </c>
      <c r="D119" s="385" t="inlineStr">
        <is>
          <t>1:1</t>
        </is>
      </c>
      <c r="E119" s="412" t="inlineStr">
        <is>
          <t>Saoke_GIAINGAN</t>
        </is>
      </c>
      <c r="F119" s="412" t="inlineStr">
        <is>
          <t>Accounting Product Category Code</t>
        </is>
      </c>
      <c r="G119" s="385" t="inlineStr">
        <is>
          <t>PG_BRONZE</t>
        </is>
      </c>
      <c r="H119" s="386" t="inlineStr">
        <is>
          <t>SMY_STMT_DAILY</t>
        </is>
      </c>
      <c r="I119" s="386" t="inlineStr">
        <is>
          <t>PRODUCT_CATEGORY</t>
        </is>
      </c>
      <c r="J119" s="410" t="inlineStr">
        <is>
          <t>VARCHAR2</t>
        </is>
      </c>
      <c r="K119" s="408" t="n">
        <v>100</v>
      </c>
      <c r="L119" s="412" t="inlineStr">
        <is>
          <t>Loại sản phẩm hạch toán</t>
        </is>
      </c>
      <c r="M119" s="412">
        <f>"COMMENT ON COLUMN "&amp;G119&amp;"."&amp;H119&amp;"."&amp;I119&amp;" IS '"&amp;L119&amp;"';"</f>
        <v/>
      </c>
      <c r="N119" s="414" t="inlineStr">
        <is>
          <t>Map 1:1 nguyên bản từ SMY.STMT_DAILY.PRODUCT_CATEGORY sang PG_BRONZE.SMY_STMT_DAILY.PRODUCT_CATEGORY</t>
        </is>
      </c>
    </row>
    <row r="120" ht="27" customHeight="1" s="335">
      <c r="A120" s="386" t="inlineStr">
        <is>
          <t>SMY</t>
        </is>
      </c>
      <c r="B120" s="386" t="inlineStr">
        <is>
          <t>STMT_DAILY</t>
        </is>
      </c>
      <c r="C120" s="386" t="inlineStr">
        <is>
          <t>RECID</t>
        </is>
      </c>
      <c r="D120" s="385" t="inlineStr">
        <is>
          <t>1:1</t>
        </is>
      </c>
      <c r="E120" s="412" t="inlineStr">
        <is>
          <t>Saoke_GIAINGAN</t>
        </is>
      </c>
      <c r="F120" s="412" t="inlineStr">
        <is>
          <t>Posting Entry Number</t>
        </is>
      </c>
      <c r="G120" s="385" t="inlineStr">
        <is>
          <t>PG_BRONZE</t>
        </is>
      </c>
      <c r="H120" s="386" t="inlineStr">
        <is>
          <t>SMY_STMT_DAILY</t>
        </is>
      </c>
      <c r="I120" s="386" t="inlineStr">
        <is>
          <t>RECID</t>
        </is>
      </c>
      <c r="J120" s="410" t="inlineStr">
        <is>
          <t>VARCHAR2</t>
        </is>
      </c>
      <c r="K120" s="408" t="n">
        <v>100</v>
      </c>
      <c r="L120" s="412" t="inlineStr">
        <is>
          <t>Mã giao dịch, Unique ID</t>
        </is>
      </c>
      <c r="M120" s="412">
        <f>"COMMENT ON COLUMN "&amp;G120&amp;"."&amp;H120&amp;"."&amp;I120&amp;" IS '"&amp;L120&amp;"';"</f>
        <v/>
      </c>
      <c r="N120" s="414" t="inlineStr">
        <is>
          <t>Map 1:1 nguyên bản từ SMY.STMT_DAILY.RECID sang PG_BRONZE.SMY_STMT_DAILY.RECID</t>
        </is>
      </c>
    </row>
    <row r="121" ht="41.25" customHeight="1" s="335">
      <c r="A121" s="386" t="inlineStr">
        <is>
          <t>SMY</t>
        </is>
      </c>
      <c r="B121" s="386" t="inlineStr">
        <is>
          <t>STMT_DAILY</t>
        </is>
      </c>
      <c r="C121" s="386" t="inlineStr">
        <is>
          <t>RECORD_STATUS</t>
        </is>
      </c>
      <c r="D121" s="385" t="inlineStr">
        <is>
          <t>1:1</t>
        </is>
      </c>
      <c r="E121" s="412" t="inlineStr">
        <is>
          <t>Saoke_GIAINGAN</t>
        </is>
      </c>
      <c r="F121" s="412" t="inlineStr">
        <is>
          <t>Record Status</t>
        </is>
      </c>
      <c r="G121" s="385" t="inlineStr">
        <is>
          <t>PG_BRONZE</t>
        </is>
      </c>
      <c r="H121" s="386" t="inlineStr">
        <is>
          <t>SMY_STMT_DAILY</t>
        </is>
      </c>
      <c r="I121" s="386" t="inlineStr">
        <is>
          <t>RECORD_STATUS</t>
        </is>
      </c>
      <c r="J121" s="410" t="inlineStr">
        <is>
          <t>VARCHAR2</t>
        </is>
      </c>
      <c r="K121" s="408" t="n">
        <v>100</v>
      </c>
      <c r="L121" s="412" t="inlineStr">
        <is>
          <t>Trạng Thái bản ghi</t>
        </is>
      </c>
      <c r="M121" s="412">
        <f>"COMMENT ON COLUMN "&amp;G121&amp;"."&amp;H121&amp;"."&amp;I121&amp;" IS '"&amp;L121&amp;"';"</f>
        <v/>
      </c>
      <c r="N121" s="414" t="inlineStr">
        <is>
          <t>Map 1:1 nguyên bản từ SMY.STMT_DAILY.RECORD_STATUS sang PG_BRONZE.SMY_STMT_DAILY.RECORD_STATUS</t>
        </is>
      </c>
    </row>
    <row r="122" ht="27" customHeight="1" s="335">
      <c r="A122" s="386" t="inlineStr">
        <is>
          <t>SMY</t>
        </is>
      </c>
      <c r="B122" s="386" t="inlineStr">
        <is>
          <t>STMT_DAILY</t>
        </is>
      </c>
      <c r="C122" s="386" t="inlineStr">
        <is>
          <t>REPAYMENT_AMT</t>
        </is>
      </c>
      <c r="D122" s="385" t="inlineStr">
        <is>
          <t>1:1</t>
        </is>
      </c>
      <c r="E122" s="412" t="inlineStr">
        <is>
          <t>Saoke_GIAINGAN</t>
        </is>
      </c>
      <c r="F122" s="412" t="inlineStr">
        <is>
          <t>Repayment Amount</t>
        </is>
      </c>
      <c r="G122" s="385" t="inlineStr">
        <is>
          <t>PG_BRONZE</t>
        </is>
      </c>
      <c r="H122" s="386" t="inlineStr">
        <is>
          <t>SMY_STMT_DAILY</t>
        </is>
      </c>
      <c r="I122" s="386" t="inlineStr">
        <is>
          <t>REPAYMENT_AMT</t>
        </is>
      </c>
      <c r="J122" s="410" t="inlineStr">
        <is>
          <t>NUMBER</t>
        </is>
      </c>
      <c r="K122" s="408" t="n">
        <v>25.5</v>
      </c>
      <c r="L122" s="412" t="inlineStr">
        <is>
          <t>Số tiền thu nợ</t>
        </is>
      </c>
      <c r="M122" s="412">
        <f>"COMMENT ON COLUMN "&amp;G122&amp;"."&amp;H122&amp;"."&amp;I122&amp;" IS '"&amp;L122&amp;"';"</f>
        <v/>
      </c>
      <c r="N122" s="414" t="inlineStr">
        <is>
          <t>Map 1:1 nguyên bản từ SMY.STMT_DAILY.REPAYMENT_AMT sang PG_BRONZE.SMY_STMT_DAILY.REPAYMENT_AMT</t>
        </is>
      </c>
    </row>
    <row r="123" ht="27" customHeight="1" s="335">
      <c r="A123" s="386" t="inlineStr">
        <is>
          <t>SMY</t>
        </is>
      </c>
      <c r="B123" s="386" t="inlineStr">
        <is>
          <t>STMT_DAILY</t>
        </is>
      </c>
      <c r="C123" s="386" t="inlineStr">
        <is>
          <t>REPAYMENT_DATE</t>
        </is>
      </c>
      <c r="D123" s="385" t="inlineStr">
        <is>
          <t>1:1</t>
        </is>
      </c>
      <c r="E123" s="412" t="inlineStr">
        <is>
          <t>Saoke_GIAINGAN</t>
        </is>
      </c>
      <c r="F123" s="412" t="inlineStr">
        <is>
          <t>Repayment Date</t>
        </is>
      </c>
      <c r="G123" s="385" t="inlineStr">
        <is>
          <t>PG_BRONZE</t>
        </is>
      </c>
      <c r="H123" s="386" t="inlineStr">
        <is>
          <t>SMY_STMT_DAILY</t>
        </is>
      </c>
      <c r="I123" s="386" t="inlineStr">
        <is>
          <t>REPAYMENT_DATE</t>
        </is>
      </c>
      <c r="J123" s="410" t="inlineStr">
        <is>
          <t>DATE</t>
        </is>
      </c>
      <c r="K123" s="408" t="n">
        <v>8</v>
      </c>
      <c r="L123" s="412" t="inlineStr">
        <is>
          <t>Ngày thu</t>
        </is>
      </c>
      <c r="M123" s="412">
        <f>"COMMENT ON COLUMN "&amp;G123&amp;"."&amp;H123&amp;"."&amp;I123&amp;" IS '"&amp;L123&amp;"';"</f>
        <v/>
      </c>
      <c r="N123" s="414" t="inlineStr">
        <is>
          <t>Map 1:1 nguyên bản từ SMY.STMT_DAILY.REPAYMENT_DATE sang PG_BRONZE.SMY_STMT_DAILY.REPAYMENT_DATE</t>
        </is>
      </c>
    </row>
    <row r="124" ht="27" customHeight="1" s="335">
      <c r="A124" s="386" t="inlineStr">
        <is>
          <t>SMY</t>
        </is>
      </c>
      <c r="B124" s="386" t="inlineStr">
        <is>
          <t>STMT_DAILY</t>
        </is>
      </c>
      <c r="C124" s="386" t="inlineStr">
        <is>
          <t>REPAYMENT_TYPE</t>
        </is>
      </c>
      <c r="D124" s="385" t="inlineStr">
        <is>
          <t>1:1</t>
        </is>
      </c>
      <c r="E124" s="412" t="inlineStr">
        <is>
          <t>Saoke_GIAINGAN</t>
        </is>
      </c>
      <c r="F124" s="412" t="inlineStr">
        <is>
          <t>Repayment Type</t>
        </is>
      </c>
      <c r="G124" s="385" t="inlineStr">
        <is>
          <t>PG_BRONZE</t>
        </is>
      </c>
      <c r="H124" s="386" t="inlineStr">
        <is>
          <t>SMY_STMT_DAILY</t>
        </is>
      </c>
      <c r="I124" s="386" t="inlineStr">
        <is>
          <t>REPAYMENT_TYPE</t>
        </is>
      </c>
      <c r="J124" s="410" t="inlineStr">
        <is>
          <t>VARCHAR2</t>
        </is>
      </c>
      <c r="K124" s="408" t="n">
        <v>100</v>
      </c>
      <c r="L124" s="412" t="inlineStr">
        <is>
          <t>Loại thu nợ</t>
        </is>
      </c>
      <c r="M124" s="412">
        <f>"COMMENT ON COLUMN "&amp;G124&amp;"."&amp;H124&amp;"."&amp;I124&amp;" IS '"&amp;L124&amp;"';"</f>
        <v/>
      </c>
      <c r="N124" s="414" t="inlineStr">
        <is>
          <t>Map 1:1 nguyên bản từ SMY.STMT_DAILY.REPAYMENT_TYPE sang PG_BRONZE.SMY_STMT_DAILY.REPAYMENT_TYPE</t>
        </is>
      </c>
    </row>
    <row r="125" ht="41.25" customHeight="1" s="335">
      <c r="A125" s="386" t="inlineStr">
        <is>
          <t>SMY</t>
        </is>
      </c>
      <c r="B125" s="386" t="inlineStr">
        <is>
          <t>STMT_DAILY</t>
        </is>
      </c>
      <c r="C125" s="386" t="inlineStr">
        <is>
          <t>STMT_ENTRY_ID</t>
        </is>
      </c>
      <c r="D125" s="385" t="inlineStr">
        <is>
          <t>1:1</t>
        </is>
      </c>
      <c r="E125" s="412" t="inlineStr">
        <is>
          <t>Saoke_GIAINGAN</t>
        </is>
      </c>
      <c r="F125" s="412" t="inlineStr">
        <is>
          <t>Stmt Entry Id</t>
        </is>
      </c>
      <c r="G125" s="385" t="inlineStr">
        <is>
          <t>PG_BRONZE</t>
        </is>
      </c>
      <c r="H125" s="386" t="inlineStr">
        <is>
          <t>SMY_STMT_DAILY</t>
        </is>
      </c>
      <c r="I125" s="386" t="inlineStr">
        <is>
          <t>STMT_ENTRY_ID</t>
        </is>
      </c>
      <c r="J125" s="410" t="inlineStr">
        <is>
          <t>VARCHAR2</t>
        </is>
      </c>
      <c r="K125" s="408" t="n">
        <v>100</v>
      </c>
      <c r="L125" s="412" t="inlineStr">
        <is>
          <t>Trường STMT_ENTRY_ID của bảng nguồn SMY.STMT_DAILY</t>
        </is>
      </c>
      <c r="M125" s="412">
        <f>"COMMENT ON COLUMN "&amp;G125&amp;"."&amp;H125&amp;"."&amp;I125&amp;" IS '"&amp;L125&amp;"';"</f>
        <v/>
      </c>
      <c r="N125" s="414" t="inlineStr">
        <is>
          <t>Map 1:1 nguyên bản từ SMY.STMT_DAILY.STMT_ENTRY_ID sang PG_BRONZE.SMY_STMT_DAILY.STMT_ENTRY_ID</t>
        </is>
      </c>
    </row>
    <row r="126" ht="27" customHeight="1" s="335">
      <c r="A126" s="386" t="inlineStr">
        <is>
          <t>SMY</t>
        </is>
      </c>
      <c r="B126" s="386" t="inlineStr">
        <is>
          <t>STMT_DAILY</t>
        </is>
      </c>
      <c r="C126" s="386" t="inlineStr">
        <is>
          <t>STMT_NO</t>
        </is>
      </c>
      <c r="D126" s="385" t="inlineStr">
        <is>
          <t>1:1</t>
        </is>
      </c>
      <c r="E126" s="412" t="inlineStr">
        <is>
          <t>Saoke_GIAINGAN</t>
        </is>
      </c>
      <c r="F126" s="412" t="inlineStr">
        <is>
          <t>Stmt No</t>
        </is>
      </c>
      <c r="G126" s="385" t="inlineStr">
        <is>
          <t>PG_BRONZE</t>
        </is>
      </c>
      <c r="H126" s="386" t="inlineStr">
        <is>
          <t>SMY_STMT_DAILY</t>
        </is>
      </c>
      <c r="I126" s="386" t="inlineStr">
        <is>
          <t>STMT_NO</t>
        </is>
      </c>
      <c r="J126" s="410" t="inlineStr">
        <is>
          <t>VARCHAR2</t>
        </is>
      </c>
      <c r="K126" s="408" t="n">
        <v>100</v>
      </c>
      <c r="L126" s="412" t="inlineStr">
        <is>
          <t>Trường STMT_NO của bảng nguồn SMY.STMT_DAILY</t>
        </is>
      </c>
      <c r="M126" s="412">
        <f>"COMMENT ON COLUMN "&amp;G126&amp;"."&amp;H126&amp;"."&amp;I126&amp;" IS '"&amp;L126&amp;"';"</f>
        <v/>
      </c>
      <c r="N126" s="414" t="inlineStr">
        <is>
          <t>Map 1:1 nguyên bản từ SMY.STMT_DAILY.STMT_NO sang PG_BRONZE.SMY_STMT_DAILY.STMT_NO</t>
        </is>
      </c>
    </row>
    <row r="127" ht="41.25" customHeight="1" s="335">
      <c r="A127" s="386" t="inlineStr">
        <is>
          <t>SMY</t>
        </is>
      </c>
      <c r="B127" s="386" t="inlineStr">
        <is>
          <t>STMT_DAILY</t>
        </is>
      </c>
      <c r="C127" s="386" t="inlineStr">
        <is>
          <t>SUSPENSE_CATEGORY</t>
        </is>
      </c>
      <c r="D127" s="385" t="inlineStr">
        <is>
          <t>1:1</t>
        </is>
      </c>
      <c r="E127" s="412" t="inlineStr">
        <is>
          <t>Saoke_GIAINGAN</t>
        </is>
      </c>
      <c r="F127" s="412" t="inlineStr">
        <is>
          <t>Suspense Category</t>
        </is>
      </c>
      <c r="G127" s="385" t="inlineStr">
        <is>
          <t>PG_BRONZE</t>
        </is>
      </c>
      <c r="H127" s="386" t="inlineStr">
        <is>
          <t>SMY_STMT_DAILY</t>
        </is>
      </c>
      <c r="I127" s="386" t="inlineStr">
        <is>
          <t>SUSPENSE_CATEGORY</t>
        </is>
      </c>
      <c r="J127" s="410" t="inlineStr">
        <is>
          <t>VARCHAR2</t>
        </is>
      </c>
      <c r="K127" s="408" t="n">
        <v>100</v>
      </c>
      <c r="L127" s="412" t="inlineStr">
        <is>
          <t>Mã Category phân loại bút toán bị treo</t>
        </is>
      </c>
      <c r="M127" s="412">
        <f>"COMMENT ON COLUMN "&amp;G127&amp;"."&amp;H127&amp;"."&amp;I127&amp;" IS '"&amp;L127&amp;"';"</f>
        <v/>
      </c>
      <c r="N127" s="414" t="inlineStr">
        <is>
          <t>Map 1:1 nguyên bản từ SMY.STMT_DAILY.SUSPENSE_CATEGORY sang PG_BRONZE.SMY_STMT_DAILY.SUSPENSE_CATEGORY</t>
        </is>
      </c>
    </row>
    <row r="128" ht="41.25" customHeight="1" s="335">
      <c r="A128" s="386" t="inlineStr">
        <is>
          <t>SMY</t>
        </is>
      </c>
      <c r="B128" s="386" t="inlineStr">
        <is>
          <t>STMT_DAILY</t>
        </is>
      </c>
      <c r="C128" s="386" t="inlineStr">
        <is>
          <t>SUSPNSE_VALUE_DATE</t>
        </is>
      </c>
      <c r="D128" s="385" t="inlineStr">
        <is>
          <t>1:1</t>
        </is>
      </c>
      <c r="E128" s="412" t="inlineStr">
        <is>
          <t>Saoke_GIAINGAN</t>
        </is>
      </c>
      <c r="F128" s="412" t="inlineStr">
        <is>
          <t>Suspense Value Date</t>
        </is>
      </c>
      <c r="G128" s="385" t="inlineStr">
        <is>
          <t>PG_BRONZE</t>
        </is>
      </c>
      <c r="H128" s="386" t="inlineStr">
        <is>
          <t>SMY_STMT_DAILY</t>
        </is>
      </c>
      <c r="I128" s="386" t="inlineStr">
        <is>
          <t>SUSPNSE_VALUE_DATE</t>
        </is>
      </c>
      <c r="J128" s="410" t="inlineStr">
        <is>
          <t>DATE</t>
        </is>
      </c>
      <c r="K128" s="408" t="n">
        <v>8</v>
      </c>
      <c r="L128" s="412" t="inlineStr">
        <is>
          <t>Ngày bút toán treo</t>
        </is>
      </c>
      <c r="M128" s="412">
        <f>"COMMENT ON COLUMN "&amp;G128&amp;"."&amp;H128&amp;"."&amp;I128&amp;" IS '"&amp;L128&amp;"';"</f>
        <v/>
      </c>
      <c r="N128" s="414" t="inlineStr">
        <is>
          <t>Map 1:1 nguyên bản từ SMY.STMT_DAILY.SUSPNSE_VALUE_DATE sang PG_BRONZE.SMY_STMT_DAILY.SUSPNSE_VALUE_DATE</t>
        </is>
      </c>
    </row>
    <row r="129" ht="27" customHeight="1" s="335">
      <c r="A129" s="386" t="inlineStr">
        <is>
          <t>SMY</t>
        </is>
      </c>
      <c r="B129" s="386" t="inlineStr">
        <is>
          <t>STMT_DAILY</t>
        </is>
      </c>
      <c r="C129" s="386" t="inlineStr">
        <is>
          <t>SYSTEM_ID</t>
        </is>
      </c>
      <c r="D129" s="385" t="inlineStr">
        <is>
          <t>1:1</t>
        </is>
      </c>
      <c r="E129" s="412" t="inlineStr">
        <is>
          <t>Saoke_GIAINGAN</t>
        </is>
      </c>
      <c r="F129" s="412" t="inlineStr">
        <is>
          <t>Module Code</t>
        </is>
      </c>
      <c r="G129" s="385" t="inlineStr">
        <is>
          <t>PG_BRONZE</t>
        </is>
      </c>
      <c r="H129" s="386" t="inlineStr">
        <is>
          <t>SMY_STMT_DAILY</t>
        </is>
      </c>
      <c r="I129" s="386" t="inlineStr">
        <is>
          <t>SYSTEM_ID</t>
        </is>
      </c>
      <c r="J129" s="410" t="inlineStr">
        <is>
          <t>VARCHAR2</t>
        </is>
      </c>
      <c r="K129" s="408" t="n">
        <v>100</v>
      </c>
      <c r="L129" s="412" t="inlineStr">
        <is>
          <t>Mã phân hệ</t>
        </is>
      </c>
      <c r="M129" s="412">
        <f>"COMMENT ON COLUMN "&amp;G129&amp;"."&amp;H129&amp;"."&amp;I129&amp;" IS '"&amp;L129&amp;"';"</f>
        <v/>
      </c>
      <c r="N129" s="414" t="inlineStr">
        <is>
          <t>Map 1:1 nguyên bản từ SMY.STMT_DAILY.SYSTEM_ID sang PG_BRONZE.SMY_STMT_DAILY.SYSTEM_ID</t>
        </is>
      </c>
    </row>
    <row r="130" ht="41.25" customHeight="1" s="335">
      <c r="A130" s="386" t="inlineStr">
        <is>
          <t>SMY</t>
        </is>
      </c>
      <c r="B130" s="386" t="inlineStr">
        <is>
          <t>STMT_DAILY</t>
        </is>
      </c>
      <c r="C130" s="386" t="inlineStr">
        <is>
          <t>THEIR_REFERENCE</t>
        </is>
      </c>
      <c r="D130" s="385" t="inlineStr">
        <is>
          <t>1:1</t>
        </is>
      </c>
      <c r="E130" s="412" t="inlineStr">
        <is>
          <t>Saoke_GIAINGAN</t>
        </is>
      </c>
      <c r="F130" s="412" t="inlineStr">
        <is>
          <t>Their Reference</t>
        </is>
      </c>
      <c r="G130" s="385" t="inlineStr">
        <is>
          <t>PG_BRONZE</t>
        </is>
      </c>
      <c r="H130" s="386" t="inlineStr">
        <is>
          <t>SMY_STMT_DAILY</t>
        </is>
      </c>
      <c r="I130" s="386" t="inlineStr">
        <is>
          <t>THEIR_REFERENCE</t>
        </is>
      </c>
      <c r="J130" s="410" t="inlineStr">
        <is>
          <t>VARCHAR2</t>
        </is>
      </c>
      <c r="K130" s="408" t="n">
        <v>100</v>
      </c>
      <c r="L130" s="412" t="inlineStr">
        <is>
          <t>Trường THEIR_REFERENCE của bảng nguồn SMY.STMT_DAILY</t>
        </is>
      </c>
      <c r="M130" s="412">
        <f>"COMMENT ON COLUMN "&amp;G130&amp;"."&amp;H130&amp;"."&amp;I130&amp;" IS '"&amp;L130&amp;"';"</f>
        <v/>
      </c>
      <c r="N130" s="414" t="inlineStr">
        <is>
          <t>Map 1:1 nguyên bản từ SMY.STMT_DAILY.THEIR_REFERENCE sang PG_BRONZE.SMY_STMT_DAILY.THEIR_REFERENCE</t>
        </is>
      </c>
    </row>
    <row r="131" ht="41.25" customHeight="1" s="335">
      <c r="A131" s="386" t="inlineStr">
        <is>
          <t>SMY</t>
        </is>
      </c>
      <c r="B131" s="386" t="inlineStr">
        <is>
          <t>STMT_DAILY</t>
        </is>
      </c>
      <c r="C131" s="386" t="inlineStr">
        <is>
          <t>TRANSACTION_CODE</t>
        </is>
      </c>
      <c r="D131" s="385" t="inlineStr">
        <is>
          <t>1:1</t>
        </is>
      </c>
      <c r="E131" s="412" t="inlineStr">
        <is>
          <t>Saoke_GIAINGAN</t>
        </is>
      </c>
      <c r="F131" s="412" t="inlineStr">
        <is>
          <t>Transaction Type</t>
        </is>
      </c>
      <c r="G131" s="385" t="inlineStr">
        <is>
          <t>PG_BRONZE</t>
        </is>
      </c>
      <c r="H131" s="386" t="inlineStr">
        <is>
          <t>SMY_STMT_DAILY</t>
        </is>
      </c>
      <c r="I131" s="386" t="inlineStr">
        <is>
          <t>TRANSACTION_CODE</t>
        </is>
      </c>
      <c r="J131" s="410" t="inlineStr">
        <is>
          <t>VARCHAR2</t>
        </is>
      </c>
      <c r="K131" s="408" t="n">
        <v>100</v>
      </c>
      <c r="L131" s="412" t="inlineStr">
        <is>
          <t>Mã giao dịch</t>
        </is>
      </c>
      <c r="M131" s="412">
        <f>"COMMENT ON COLUMN "&amp;G131&amp;"."&amp;H131&amp;"."&amp;I131&amp;" IS '"&amp;L131&amp;"';"</f>
        <v/>
      </c>
      <c r="N131" s="414" t="inlineStr">
        <is>
          <t>Map 1:1 nguyên bản từ SMY.STMT_DAILY.TRANSACTION_CODE sang PG_BRONZE.SMY_STMT_DAILY.TRANSACTION_CODE</t>
        </is>
      </c>
    </row>
    <row r="132" ht="41.25" customHeight="1" s="335">
      <c r="A132" s="386" t="inlineStr">
        <is>
          <t>SMY</t>
        </is>
      </c>
      <c r="B132" s="386" t="inlineStr">
        <is>
          <t>STMT_DAILY</t>
        </is>
      </c>
      <c r="C132" s="386" t="inlineStr">
        <is>
          <t>TRANS_REFERENCE</t>
        </is>
      </c>
      <c r="D132" s="385" t="inlineStr">
        <is>
          <t>1:1</t>
        </is>
      </c>
      <c r="E132" s="412" t="inlineStr">
        <is>
          <t>Saoke_GIAINGAN</t>
        </is>
      </c>
      <c r="F132" s="412" t="inlineStr">
        <is>
          <t>Trans Reference</t>
        </is>
      </c>
      <c r="G132" s="385" t="inlineStr">
        <is>
          <t>PG_BRONZE</t>
        </is>
      </c>
      <c r="H132" s="386" t="inlineStr">
        <is>
          <t>SMY_STMT_DAILY</t>
        </is>
      </c>
      <c r="I132" s="386" t="inlineStr">
        <is>
          <t>TRANS_REFERENCE</t>
        </is>
      </c>
      <c r="J132" s="410" t="inlineStr">
        <is>
          <t>VARCHAR2</t>
        </is>
      </c>
      <c r="K132" s="408" t="n">
        <v>100</v>
      </c>
      <c r="L132" s="412" t="inlineStr">
        <is>
          <t>Trường TRANS_REFERENCE của bảng nguồn SMY.STMT_DAILY</t>
        </is>
      </c>
      <c r="M132" s="412">
        <f>"COMMENT ON COLUMN "&amp;G132&amp;"."&amp;H132&amp;"."&amp;I132&amp;" IS '"&amp;L132&amp;"';"</f>
        <v/>
      </c>
      <c r="N132" s="414" t="inlineStr">
        <is>
          <t>Map 1:1 nguyên bản từ SMY.STMT_DAILY.TRANS_REFERENCE sang PG_BRONZE.SMY_STMT_DAILY.TRANS_REFERENCE</t>
        </is>
      </c>
    </row>
    <row r="133" ht="27" customHeight="1" s="335">
      <c r="A133" s="386" t="inlineStr">
        <is>
          <t>SMY</t>
        </is>
      </c>
      <c r="B133" s="386" t="inlineStr">
        <is>
          <t>STMT_DAILY</t>
        </is>
      </c>
      <c r="C133" s="386" t="inlineStr">
        <is>
          <t>TXN_DATE</t>
        </is>
      </c>
      <c r="D133" s="385" t="inlineStr">
        <is>
          <t>1:1</t>
        </is>
      </c>
      <c r="E133" s="412" t="inlineStr">
        <is>
          <t>Saoke_GIAINGAN</t>
        </is>
      </c>
      <c r="F133" s="412" t="inlineStr">
        <is>
          <t>Txn Date</t>
        </is>
      </c>
      <c r="G133" s="385" t="inlineStr">
        <is>
          <t>PG_BRONZE</t>
        </is>
      </c>
      <c r="H133" s="386" t="inlineStr">
        <is>
          <t>SMY_STMT_DAILY</t>
        </is>
      </c>
      <c r="I133" s="386" t="inlineStr">
        <is>
          <t>TXN_DATE</t>
        </is>
      </c>
      <c r="J133" s="410" t="inlineStr">
        <is>
          <t>DATE</t>
        </is>
      </c>
      <c r="K133" s="408" t="n">
        <v>8</v>
      </c>
      <c r="L133" s="412" t="inlineStr">
        <is>
          <t>Trường TXN_DATE của bảng nguồn SMY.STMT_DAILY</t>
        </is>
      </c>
      <c r="M133" s="412">
        <f>"COMMENT ON COLUMN "&amp;G133&amp;"."&amp;H133&amp;"."&amp;I133&amp;" IS '"&amp;L133&amp;"';"</f>
        <v/>
      </c>
      <c r="N133" s="414" t="inlineStr">
        <is>
          <t>Map 1:1 nguyên bản từ SMY.STMT_DAILY.TXN_DATE sang PG_BRONZE.SMY_STMT_DAILY.TXN_DATE</t>
        </is>
      </c>
    </row>
    <row r="134" ht="41.25" customHeight="1" s="335">
      <c r="A134" s="386" t="inlineStr">
        <is>
          <t>SMY</t>
        </is>
      </c>
      <c r="B134" s="386" t="inlineStr">
        <is>
          <t>STMT_DAILY</t>
        </is>
      </c>
      <c r="C134" s="386" t="inlineStr">
        <is>
          <t>VALUE_DATE</t>
        </is>
      </c>
      <c r="D134" s="385" t="inlineStr">
        <is>
          <t>1:1</t>
        </is>
      </c>
      <c r="E134" s="412" t="inlineStr">
        <is>
          <t>Saoke_GIAINGAN</t>
        </is>
      </c>
      <c r="F134" s="412" t="inlineStr">
        <is>
          <t>Value Date</t>
        </is>
      </c>
      <c r="G134" s="385" t="inlineStr">
        <is>
          <t>PG_BRONZE</t>
        </is>
      </c>
      <c r="H134" s="386" t="inlineStr">
        <is>
          <t>SMY_STMT_DAILY</t>
        </is>
      </c>
      <c r="I134" s="386" t="inlineStr">
        <is>
          <t>VALUE_DATE</t>
        </is>
      </c>
      <c r="J134" s="410" t="inlineStr">
        <is>
          <t>DATE</t>
        </is>
      </c>
      <c r="K134" s="408" t="n">
        <v>8</v>
      </c>
      <c r="L134" s="412" t="inlineStr">
        <is>
          <t>Ngay Hieu luc but toan</t>
        </is>
      </c>
      <c r="M134" s="412">
        <f>"COMMENT ON COLUMN "&amp;G134&amp;"."&amp;H134&amp;"."&amp;I134&amp;" IS '"&amp;L134&amp;"';"</f>
        <v/>
      </c>
      <c r="N134" s="414" t="inlineStr">
        <is>
          <t>Map 1:1 nguyên bản từ SMY.STMT_DAILY.VALUE_DATE sang PG_BRONZE.SMY_STMT_DAILY.VALUE_DATE</t>
        </is>
      </c>
    </row>
    <row r="135" ht="27" customHeight="1" s="335">
      <c r="A135" s="386" t="inlineStr">
        <is>
          <t>SOURCE</t>
        </is>
      </c>
      <c r="B135" s="386" t="inlineStr">
        <is>
          <t>SAOKE_CRB</t>
        </is>
      </c>
      <c r="C135" s="386" t="inlineStr">
        <is>
          <t>ACC_FCC</t>
        </is>
      </c>
      <c r="D135" s="385" t="inlineStr">
        <is>
          <t>1:1</t>
        </is>
      </c>
      <c r="E135" s="412" t="inlineStr">
        <is>
          <t>Arrangement Balance / Saoke_GIAINGAN</t>
        </is>
      </c>
      <c r="F135" s="412" t="inlineStr">
        <is>
          <t>Acc Fcc</t>
        </is>
      </c>
      <c r="G135" s="385" t="inlineStr">
        <is>
          <t>PG_BRONZE</t>
        </is>
      </c>
      <c r="H135" s="386" t="inlineStr">
        <is>
          <t>SOURCE_SAOKE_CRB</t>
        </is>
      </c>
      <c r="I135" s="386" t="inlineStr">
        <is>
          <t>ACC_FCC</t>
        </is>
      </c>
      <c r="J135" s="410" t="inlineStr">
        <is>
          <t>VARCHAR2</t>
        </is>
      </c>
      <c r="K135" s="408" t="n">
        <v>100</v>
      </c>
      <c r="L135" s="412" t="inlineStr">
        <is>
          <t>Mã hợp đồng FlexCube</t>
        </is>
      </c>
      <c r="M135" s="412">
        <f>"COMMENT ON COLUMN "&amp;G135&amp;"."&amp;H135&amp;"."&amp;I135&amp;" IS '"&amp;L135&amp;"';"</f>
        <v/>
      </c>
      <c r="N135" s="414" t="inlineStr">
        <is>
          <t>Map 1:1 nguyên bản từ SOURCE.SAOKE_CRB.ACC_FCC sang PG_BRONZE.SOURCE_SAOKE_CRB.ACC_FCC</t>
        </is>
      </c>
    </row>
    <row r="136" ht="27" customHeight="1" s="335">
      <c r="A136" s="386" t="inlineStr">
        <is>
          <t>SOURCE</t>
        </is>
      </c>
      <c r="B136" s="386" t="inlineStr">
        <is>
          <t>SAOKE_CRB</t>
        </is>
      </c>
      <c r="C136" s="386" t="inlineStr">
        <is>
          <t>AMOUNT_CUR</t>
        </is>
      </c>
      <c r="D136" s="385" t="inlineStr">
        <is>
          <t>1:1</t>
        </is>
      </c>
      <c r="E136" s="412" t="inlineStr">
        <is>
          <t>Arrangement Balance / Saoke_GIAINGAN</t>
        </is>
      </c>
      <c r="F136" s="412" t="inlineStr">
        <is>
          <t>Receivable Amount LCY</t>
        </is>
      </c>
      <c r="G136" s="385" t="inlineStr">
        <is>
          <t>PG_BRONZE</t>
        </is>
      </c>
      <c r="H136" s="386" t="inlineStr">
        <is>
          <t>SOURCE_SAOKE_CRB</t>
        </is>
      </c>
      <c r="I136" s="386" t="inlineStr">
        <is>
          <t>AMOUNT_CUR</t>
        </is>
      </c>
      <c r="J136" s="410" t="inlineStr">
        <is>
          <t>NUMBER</t>
        </is>
      </c>
      <c r="K136" s="408" t="n">
        <v>25.5</v>
      </c>
      <c r="L136" s="412" t="inlineStr">
        <is>
          <t>Số tiền dự thu</t>
        </is>
      </c>
      <c r="M136" s="412">
        <f>"COMMENT ON COLUMN "&amp;G136&amp;"."&amp;H136&amp;"."&amp;I136&amp;" IS '"&amp;L136&amp;"';"</f>
        <v/>
      </c>
      <c r="N136" s="414" t="inlineStr">
        <is>
          <t>Map 1:1 nguyên bản từ SOURCE.SAOKE_CRB.AMOUNT_CUR sang PG_BRONZE.SOURCE_SAOKE_CRB.AMOUNT_CUR</t>
        </is>
      </c>
    </row>
    <row r="137" ht="27" customHeight="1" s="335">
      <c r="A137" s="386" t="inlineStr">
        <is>
          <t>SOURCE</t>
        </is>
      </c>
      <c r="B137" s="386" t="inlineStr">
        <is>
          <t>SAOKE_CRB</t>
        </is>
      </c>
      <c r="C137" s="386" t="inlineStr">
        <is>
          <t>AMOUNT_LCY</t>
        </is>
      </c>
      <c r="D137" s="385" t="inlineStr">
        <is>
          <t>1:1</t>
        </is>
      </c>
      <c r="E137" s="412" t="inlineStr">
        <is>
          <t>Arrangement Balance / Saoke_GIAINGAN</t>
        </is>
      </c>
      <c r="F137" s="412" t="inlineStr">
        <is>
          <t>Closing Balance LCY</t>
        </is>
      </c>
      <c r="G137" s="385" t="inlineStr">
        <is>
          <t>PG_BRONZE</t>
        </is>
      </c>
      <c r="H137" s="386" t="inlineStr">
        <is>
          <t>SOURCE_SAOKE_CRB</t>
        </is>
      </c>
      <c r="I137" s="386" t="inlineStr">
        <is>
          <t>AMOUNT_LCY</t>
        </is>
      </c>
      <c r="J137" s="410" t="inlineStr">
        <is>
          <t>NUMBER</t>
        </is>
      </c>
      <c r="K137" s="408" t="n">
        <v>25.5</v>
      </c>
      <c r="L137" s="412" t="inlineStr">
        <is>
          <t>Dư Nợ quy đổi</t>
        </is>
      </c>
      <c r="M137" s="412">
        <f>"COMMENT ON COLUMN "&amp;G137&amp;"."&amp;H137&amp;"."&amp;I137&amp;" IS '"&amp;L137&amp;"';"</f>
        <v/>
      </c>
      <c r="N137" s="414" t="inlineStr">
        <is>
          <t>Map 1:1 nguyên bản từ SOURCE.SAOKE_CRB.AMOUNT_LCY sang PG_BRONZE.SOURCE_SAOKE_CRB.AMOUNT_LCY</t>
        </is>
      </c>
    </row>
    <row r="138" ht="41.25" customHeight="1" s="335">
      <c r="A138" s="386" t="inlineStr">
        <is>
          <t>SOURCE</t>
        </is>
      </c>
      <c r="B138" s="386" t="inlineStr">
        <is>
          <t>SAOKE_CRB</t>
        </is>
      </c>
      <c r="C138" s="386" t="inlineStr">
        <is>
          <t>APP_CODE</t>
        </is>
      </c>
      <c r="D138" s="385" t="inlineStr">
        <is>
          <t>1:1</t>
        </is>
      </c>
      <c r="E138" s="412" t="inlineStr">
        <is>
          <t>Arrangement Balance / Saoke_GIAINGAN</t>
        </is>
      </c>
      <c r="F138" s="412" t="inlineStr">
        <is>
          <t>Module Code</t>
        </is>
      </c>
      <c r="G138" s="385" t="inlineStr">
        <is>
          <t>PG_BRONZE</t>
        </is>
      </c>
      <c r="H138" s="386" t="inlineStr">
        <is>
          <t>SOURCE_SAOKE_CRB</t>
        </is>
      </c>
      <c r="I138" s="386" t="inlineStr">
        <is>
          <t>APP_CODE</t>
        </is>
      </c>
      <c r="J138" s="410" t="inlineStr">
        <is>
          <t>VARCHAR2</t>
        </is>
      </c>
      <c r="K138" s="408" t="n">
        <v>100</v>
      </c>
      <c r="L138" s="412" t="inlineStr">
        <is>
          <t>Mã phân hệ: LD, MD, AC, PD</t>
        </is>
      </c>
      <c r="M138" s="412">
        <f>"COMMENT ON COLUMN "&amp;G138&amp;"."&amp;H138&amp;"."&amp;I138&amp;" IS '"&amp;L138&amp;"';"</f>
        <v/>
      </c>
      <c r="N138" s="414" t="inlineStr">
        <is>
          <t>Map 1:1 nguyên bản từ SOURCE.SAOKE_CRB.APP_CODE sang PG_BRONZE.SOURCE_SAOKE_CRB.APP_CODE</t>
        </is>
      </c>
    </row>
    <row r="139" ht="27" customHeight="1" s="335">
      <c r="A139" s="386" t="inlineStr">
        <is>
          <t>SOURCE</t>
        </is>
      </c>
      <c r="B139" s="386" t="inlineStr">
        <is>
          <t>SAOKE_CRB</t>
        </is>
      </c>
      <c r="C139" s="386" t="inlineStr">
        <is>
          <t>APP_ID</t>
        </is>
      </c>
      <c r="D139" s="385" t="inlineStr">
        <is>
          <t>1:1</t>
        </is>
      </c>
      <c r="E139" s="412" t="inlineStr">
        <is>
          <t>Arrangement Balance / Saoke_GIAINGAN</t>
        </is>
      </c>
      <c r="F139" s="412" t="inlineStr">
        <is>
          <t>Arrangement Code, Arrangement Id</t>
        </is>
      </c>
      <c r="G139" s="385" t="inlineStr">
        <is>
          <t>PG_BRONZE</t>
        </is>
      </c>
      <c r="H139" s="386" t="inlineStr">
        <is>
          <t>SOURCE_SAOKE_CRB</t>
        </is>
      </c>
      <c r="I139" s="386" t="inlineStr">
        <is>
          <t>APP_ID</t>
        </is>
      </c>
      <c r="J139" s="410" t="inlineStr">
        <is>
          <t>VARCHAR2</t>
        </is>
      </c>
      <c r="K139" s="408" t="n">
        <v>100</v>
      </c>
      <c r="L139" s="412" t="inlineStr">
        <is>
          <t>Mã hợp đồng</t>
        </is>
      </c>
      <c r="M139" s="412">
        <f>"COMMENT ON COLUMN "&amp;G139&amp;"."&amp;H139&amp;"."&amp;I139&amp;" IS '"&amp;L139&amp;"';"</f>
        <v/>
      </c>
      <c r="N139" s="414" t="inlineStr">
        <is>
          <t>Map 1:1 nguyên bản từ SOURCE.SAOKE_CRB.APP_ID sang PG_BRONZE.SOURCE_SAOKE_CRB.APP_ID</t>
        </is>
      </c>
    </row>
    <row r="140" ht="41.25" customHeight="1" s="335">
      <c r="A140" s="386" t="inlineStr">
        <is>
          <t>SOURCE</t>
        </is>
      </c>
      <c r="B140" s="386" t="inlineStr">
        <is>
          <t>SAOKE_CRB</t>
        </is>
      </c>
      <c r="C140" s="386" t="inlineStr">
        <is>
          <t>ASSET_TYPE</t>
        </is>
      </c>
      <c r="D140" s="385" t="inlineStr">
        <is>
          <t>1:1</t>
        </is>
      </c>
      <c r="E140" s="412" t="inlineStr">
        <is>
          <t>Arrangement Balance / Saoke_GIAINGAN</t>
        </is>
      </c>
      <c r="F140" s="412" t="inlineStr">
        <is>
          <t>Asset Type Code</t>
        </is>
      </c>
      <c r="G140" s="385" t="inlineStr">
        <is>
          <t>PG_BRONZE</t>
        </is>
      </c>
      <c r="H140" s="386" t="inlineStr">
        <is>
          <t>SOURCE_SAOKE_CRB</t>
        </is>
      </c>
      <c r="I140" s="386" t="inlineStr">
        <is>
          <t>ASSET_TYPE</t>
        </is>
      </c>
      <c r="J140" s="410" t="inlineStr">
        <is>
          <t>VARCHAR2</t>
        </is>
      </c>
      <c r="K140" s="408" t="n">
        <v>100</v>
      </c>
      <c r="L140" s="412" t="inlineStr">
        <is>
          <t>Loại dư nợ, hạch toán</t>
        </is>
      </c>
      <c r="M140" s="412">
        <f>"COMMENT ON COLUMN "&amp;G140&amp;"."&amp;H140&amp;"."&amp;I140&amp;" IS '"&amp;L140&amp;"';"</f>
        <v/>
      </c>
      <c r="N140" s="414" t="inlineStr">
        <is>
          <t>Map 1:1 nguyên bản từ SOURCE.SAOKE_CRB.ASSET_TYPE sang PG_BRONZE.SOURCE_SAOKE_CRB.ASSET_TYPE</t>
        </is>
      </c>
    </row>
    <row r="141" ht="41.25" customHeight="1" s="335">
      <c r="A141" s="386" t="inlineStr">
        <is>
          <t>SOURCE</t>
        </is>
      </c>
      <c r="B141" s="386" t="inlineStr">
        <is>
          <t>SAOKE_CRB</t>
        </is>
      </c>
      <c r="C141" s="386" t="inlineStr">
        <is>
          <t>CATEG_CODE</t>
        </is>
      </c>
      <c r="D141" s="385" t="inlineStr">
        <is>
          <t>1:1</t>
        </is>
      </c>
      <c r="E141" s="412" t="inlineStr">
        <is>
          <t>Arrangement Balance / Saoke_GIAINGAN</t>
        </is>
      </c>
      <c r="F141" s="412" t="inlineStr">
        <is>
          <t>Product Category Code</t>
        </is>
      </c>
      <c r="G141" s="385" t="inlineStr">
        <is>
          <t>PG_BRONZE</t>
        </is>
      </c>
      <c r="H141" s="386" t="inlineStr">
        <is>
          <t>SOURCE_SAOKE_CRB</t>
        </is>
      </c>
      <c r="I141" s="386" t="inlineStr">
        <is>
          <t>CATEG_CODE</t>
        </is>
      </c>
      <c r="J141" s="410" t="inlineStr">
        <is>
          <t>VARCHAR2</t>
        </is>
      </c>
      <c r="K141" s="408" t="n">
        <v>100</v>
      </c>
      <c r="L141" s="412" t="inlineStr">
        <is>
          <t>Mã phân loại sản phẩm</t>
        </is>
      </c>
      <c r="M141" s="412">
        <f>"COMMENT ON COLUMN "&amp;G141&amp;"."&amp;H141&amp;"."&amp;I141&amp;" IS '"&amp;L141&amp;"';"</f>
        <v/>
      </c>
      <c r="N141" s="414" t="inlineStr">
        <is>
          <t>Map 1:1 nguyên bản từ SOURCE.SAOKE_CRB.CATEG_CODE sang PG_BRONZE.SOURCE_SAOKE_CRB.CATEG_CODE</t>
        </is>
      </c>
    </row>
    <row r="142" ht="41.25" customHeight="1" s="335">
      <c r="A142" s="386" t="inlineStr">
        <is>
          <t>SOURCE</t>
        </is>
      </c>
      <c r="B142" s="386" t="inlineStr">
        <is>
          <t>SAOKE_CRB</t>
        </is>
      </c>
      <c r="C142" s="386" t="inlineStr">
        <is>
          <t>CO_CODE</t>
        </is>
      </c>
      <c r="D142" s="385" t="inlineStr">
        <is>
          <t>1:1</t>
        </is>
      </c>
      <c r="E142" s="412" t="inlineStr">
        <is>
          <t>Arrangement Balance / Saoke_GIAINGAN</t>
        </is>
      </c>
      <c r="F142" s="412" t="inlineStr">
        <is>
          <t>Organization Unit Code</t>
        </is>
      </c>
      <c r="G142" s="385" t="inlineStr">
        <is>
          <t>PG_BRONZE</t>
        </is>
      </c>
      <c r="H142" s="386" t="inlineStr">
        <is>
          <t>SOURCE_SAOKE_CRB</t>
        </is>
      </c>
      <c r="I142" s="386" t="inlineStr">
        <is>
          <t>CO_CODE</t>
        </is>
      </c>
      <c r="J142" s="410" t="inlineStr">
        <is>
          <t>VARCHAR2</t>
        </is>
      </c>
      <c r="K142" s="408" t="n">
        <v>100</v>
      </c>
      <c r="L142" s="412" t="inlineStr">
        <is>
          <t>Mã chi nhánh hạch toán</t>
        </is>
      </c>
      <c r="M142" s="412">
        <f>"COMMENT ON COLUMN "&amp;G142&amp;"."&amp;H142&amp;"."&amp;I142&amp;" IS '"&amp;L142&amp;"';"</f>
        <v/>
      </c>
      <c r="N142" s="414" t="inlineStr">
        <is>
          <t>Map 1:1 nguyên bản từ SOURCE.SAOKE_CRB.CO_CODE sang PG_BRONZE.SOURCE_SAOKE_CRB.CO_CODE</t>
        </is>
      </c>
    </row>
    <row r="143" ht="27" customHeight="1" s="335">
      <c r="A143" s="386" t="inlineStr">
        <is>
          <t>SOURCE</t>
        </is>
      </c>
      <c r="B143" s="386" t="inlineStr">
        <is>
          <t>SAOKE_CRB</t>
        </is>
      </c>
      <c r="C143" s="386" t="inlineStr">
        <is>
          <t>CURR</t>
        </is>
      </c>
      <c r="D143" s="385" t="inlineStr">
        <is>
          <t>1:1</t>
        </is>
      </c>
      <c r="E143" s="412" t="inlineStr">
        <is>
          <t>Arrangement Balance / Saoke_GIAINGAN</t>
        </is>
      </c>
      <c r="F143" s="412" t="inlineStr">
        <is>
          <t>Currency Code</t>
        </is>
      </c>
      <c r="G143" s="385" t="inlineStr">
        <is>
          <t>PG_BRONZE</t>
        </is>
      </c>
      <c r="H143" s="386" t="inlineStr">
        <is>
          <t>SOURCE_SAOKE_CRB</t>
        </is>
      </c>
      <c r="I143" s="386" t="inlineStr">
        <is>
          <t>CURR</t>
        </is>
      </c>
      <c r="J143" s="410" t="inlineStr">
        <is>
          <t>VARCHAR2</t>
        </is>
      </c>
      <c r="K143" s="408" t="n">
        <v>100</v>
      </c>
      <c r="L143" s="412" t="inlineStr">
        <is>
          <t>Loại tiền</t>
        </is>
      </c>
      <c r="M143" s="412">
        <f>"COMMENT ON COLUMN "&amp;G143&amp;"."&amp;H143&amp;"."&amp;I143&amp;" IS '"&amp;L143&amp;"';"</f>
        <v/>
      </c>
      <c r="N143" s="414" t="inlineStr">
        <is>
          <t>Map 1:1 nguyên bản từ SOURCE.SAOKE_CRB.CURR sang PG_BRONZE.SOURCE_SAOKE_CRB.CURR</t>
        </is>
      </c>
    </row>
    <row r="144" ht="27" customHeight="1" s="335">
      <c r="A144" s="386" t="inlineStr">
        <is>
          <t>SOURCE</t>
        </is>
      </c>
      <c r="B144" s="386" t="inlineStr">
        <is>
          <t>SAOKE_CRB</t>
        </is>
      </c>
      <c r="C144" s="386" t="inlineStr">
        <is>
          <t>CUS_ID</t>
        </is>
      </c>
      <c r="D144" s="385" t="inlineStr">
        <is>
          <t>1:1</t>
        </is>
      </c>
      <c r="E144" s="412" t="inlineStr">
        <is>
          <t>Arrangement Balance / Saoke_GIAINGAN</t>
        </is>
      </c>
      <c r="F144" s="412" t="inlineStr">
        <is>
          <t>Customer Code/ Customer Id</t>
        </is>
      </c>
      <c r="G144" s="385" t="inlineStr">
        <is>
          <t>PG_BRONZE</t>
        </is>
      </c>
      <c r="H144" s="386" t="inlineStr">
        <is>
          <t>SOURCE_SAOKE_CRB</t>
        </is>
      </c>
      <c r="I144" s="386" t="inlineStr">
        <is>
          <t>CUS_ID</t>
        </is>
      </c>
      <c r="J144" s="410" t="inlineStr">
        <is>
          <t>VARCHAR2</t>
        </is>
      </c>
      <c r="K144" s="408" t="n">
        <v>100</v>
      </c>
      <c r="L144" s="412" t="inlineStr">
        <is>
          <t>Mã khách hàng</t>
        </is>
      </c>
      <c r="M144" s="412">
        <f>"COMMENT ON COLUMN "&amp;G144&amp;"."&amp;H144&amp;"."&amp;I144&amp;" IS '"&amp;L144&amp;"';"</f>
        <v/>
      </c>
      <c r="N144" s="414" t="inlineStr">
        <is>
          <t>Map 1:1 nguyên bản từ SOURCE.SAOKE_CRB.CUS_ID sang PG_BRONZE.SOURCE_SAOKE_CRB.CUS_ID</t>
        </is>
      </c>
    </row>
    <row r="145" ht="27" customHeight="1" s="335">
      <c r="A145" s="386" t="inlineStr">
        <is>
          <t>SOURCE</t>
        </is>
      </c>
      <c r="B145" s="386" t="inlineStr">
        <is>
          <t>SAOKE_CRB</t>
        </is>
      </c>
      <c r="C145" s="386" t="inlineStr">
        <is>
          <t>DATE</t>
        </is>
      </c>
      <c r="D145" s="385" t="inlineStr">
        <is>
          <t>1:1</t>
        </is>
      </c>
      <c r="E145" s="412" t="inlineStr">
        <is>
          <t>Arrangement Balance / Saoke_GIAINGAN</t>
        </is>
      </c>
      <c r="F145" s="412" t="inlineStr">
        <is>
          <t>Date</t>
        </is>
      </c>
      <c r="G145" s="385" t="inlineStr">
        <is>
          <t>PG_BRONZE</t>
        </is>
      </c>
      <c r="H145" s="386" t="inlineStr">
        <is>
          <t>SOURCE_SAOKE_CRB</t>
        </is>
      </c>
      <c r="I145" s="386" t="inlineStr">
        <is>
          <t>DATE</t>
        </is>
      </c>
      <c r="J145" s="410" t="inlineStr">
        <is>
          <t>DATE</t>
        </is>
      </c>
      <c r="K145" s="408" t="n">
        <v>8</v>
      </c>
      <c r="L145" s="412" t="inlineStr">
        <is>
          <t>Ngày giao dịch YYYYMMDD</t>
        </is>
      </c>
      <c r="M145" s="412">
        <f>"COMMENT ON COLUMN "&amp;G145&amp;"."&amp;H145&amp;"."&amp;I145&amp;" IS '"&amp;L145&amp;"';"</f>
        <v/>
      </c>
      <c r="N145" s="414" t="inlineStr">
        <is>
          <t>Map 1:1 nguyên bản từ SOURCE.SAOKE_CRB.DATE sang PG_BRONZE.SOURCE_SAOKE_CRB.DATE</t>
        </is>
      </c>
    </row>
    <row r="146" ht="41.25" customHeight="1" s="335">
      <c r="A146" s="386" t="inlineStr">
        <is>
          <t>SOURCE</t>
        </is>
      </c>
      <c r="B146" s="386" t="inlineStr">
        <is>
          <t>SAOKE_CRB</t>
        </is>
      </c>
      <c r="C146" s="386" t="inlineStr">
        <is>
          <t>LOC_TERM</t>
        </is>
      </c>
      <c r="D146" s="385" t="inlineStr">
        <is>
          <t>1:1</t>
        </is>
      </c>
      <c r="E146" s="412" t="inlineStr">
        <is>
          <t>Arrangement Balance / Saoke_GIAINGAN</t>
        </is>
      </c>
      <c r="F146" s="412" t="inlineStr">
        <is>
          <t>Arrangement Term Type Code</t>
        </is>
      </c>
      <c r="G146" s="385" t="inlineStr">
        <is>
          <t>PG_BRONZE</t>
        </is>
      </c>
      <c r="H146" s="386" t="inlineStr">
        <is>
          <t>SOURCE_SAOKE_CRB</t>
        </is>
      </c>
      <c r="I146" s="386" t="inlineStr">
        <is>
          <t>LOC_TERM</t>
        </is>
      </c>
      <c r="J146" s="410" t="inlineStr">
        <is>
          <t>VARCHAR2</t>
        </is>
      </c>
      <c r="K146" s="408" t="n">
        <v>100</v>
      </c>
      <c r="L146" s="412" t="inlineStr">
        <is>
          <t>Trường LOC_TERM của bảng nguồn SOURCE.SAOKE_CRB</t>
        </is>
      </c>
      <c r="M146" s="412">
        <f>"COMMENT ON COLUMN "&amp;G146&amp;"."&amp;H146&amp;"."&amp;I146&amp;" IS '"&amp;L146&amp;"';"</f>
        <v/>
      </c>
      <c r="N146" s="414" t="inlineStr">
        <is>
          <t>Map 1:1 nguyên bản từ SOURCE.SAOKE_CRB.LOC_TERM sang PG_BRONZE.SOURCE_SAOKE_CRB.LOC_TERM</t>
        </is>
      </c>
    </row>
    <row r="147" ht="41.25" customHeight="1" s="335">
      <c r="A147" s="386" t="inlineStr">
        <is>
          <t>SOURCE</t>
        </is>
      </c>
      <c r="B147" s="386" t="inlineStr">
        <is>
          <t>SAOKE_CRB</t>
        </is>
      </c>
      <c r="C147" s="386" t="inlineStr">
        <is>
          <t>MAT_DATE</t>
        </is>
      </c>
      <c r="D147" s="385" t="inlineStr">
        <is>
          <t>1:1</t>
        </is>
      </c>
      <c r="E147" s="412" t="inlineStr">
        <is>
          <t>Arrangement Balance / Saoke_GIAINGAN</t>
        </is>
      </c>
      <c r="F147" s="412" t="inlineStr">
        <is>
          <t>Mat Date</t>
        </is>
      </c>
      <c r="G147" s="385" t="inlineStr">
        <is>
          <t>PG_BRONZE</t>
        </is>
      </c>
      <c r="H147" s="386" t="inlineStr">
        <is>
          <t>SOURCE_SAOKE_CRB</t>
        </is>
      </c>
      <c r="I147" s="386" t="inlineStr">
        <is>
          <t>MAT_DATE</t>
        </is>
      </c>
      <c r="J147" s="410" t="inlineStr">
        <is>
          <t>DATE</t>
        </is>
      </c>
      <c r="K147" s="408" t="n">
        <v>8</v>
      </c>
      <c r="L147" s="412" t="inlineStr">
        <is>
          <t>Ngày đáo hạn hợp đồng</t>
        </is>
      </c>
      <c r="M147" s="412">
        <f>"COMMENT ON COLUMN "&amp;G147&amp;"."&amp;H147&amp;"."&amp;I147&amp;" IS '"&amp;L147&amp;"';"</f>
        <v/>
      </c>
      <c r="N147" s="414" t="inlineStr">
        <is>
          <t>Map 1:1 nguyên bản từ SOURCE.SAOKE_CRB.MAT_DATE sang PG_BRONZE.SOURCE_SAOKE_CRB.MAT_DATE</t>
        </is>
      </c>
    </row>
    <row r="148" ht="41.25" customHeight="1" s="335">
      <c r="A148" s="386" t="inlineStr">
        <is>
          <t>SOURCE</t>
        </is>
      </c>
      <c r="B148" s="386" t="inlineStr">
        <is>
          <t>SAOKE_CRB</t>
        </is>
      </c>
      <c r="C148" s="386" t="inlineStr">
        <is>
          <t>SBV_CODE</t>
        </is>
      </c>
      <c r="D148" s="385" t="inlineStr">
        <is>
          <t>1:1</t>
        </is>
      </c>
      <c r="E148" s="412" t="inlineStr">
        <is>
          <t>Arrangement Balance / Saoke_GIAINGAN</t>
        </is>
      </c>
      <c r="F148" s="412" t="inlineStr">
        <is>
          <t>General Ledger Item Code / General Ledger Item Id</t>
        </is>
      </c>
      <c r="G148" s="385" t="inlineStr">
        <is>
          <t>PG_BRONZE</t>
        </is>
      </c>
      <c r="H148" s="386" t="inlineStr">
        <is>
          <t>SOURCE_SAOKE_CRB</t>
        </is>
      </c>
      <c r="I148" s="386" t="inlineStr">
        <is>
          <t>SBV_CODE</t>
        </is>
      </c>
      <c r="J148" s="410" t="inlineStr">
        <is>
          <t>VARCHAR2</t>
        </is>
      </c>
      <c r="K148" s="408" t="n">
        <v>100</v>
      </c>
      <c r="L148" s="412" t="inlineStr">
        <is>
          <t>Mã hạch toán theo SBV</t>
        </is>
      </c>
      <c r="M148" s="412">
        <f>"COMMENT ON COLUMN "&amp;G148&amp;"."&amp;H148&amp;"."&amp;I148&amp;" IS '"&amp;L148&amp;"';"</f>
        <v/>
      </c>
      <c r="N148" s="414" t="inlineStr">
        <is>
          <t>Map 1:1 nguyên bản từ SOURCE.SAOKE_CRB.SBV_CODE sang PG_BRONZE.SOURCE_SAOKE_CRB.SBV_CODE</t>
        </is>
      </c>
    </row>
    <row r="149" ht="27" customHeight="1" s="335">
      <c r="A149" s="386" t="inlineStr">
        <is>
          <t>SOURCE</t>
        </is>
      </c>
      <c r="B149" s="386" t="inlineStr">
        <is>
          <t>SAOKE_CRB</t>
        </is>
      </c>
      <c r="C149" s="386" t="inlineStr">
        <is>
          <t>SUB_PRO</t>
        </is>
      </c>
      <c r="D149" s="385" t="inlineStr">
        <is>
          <t>1:1</t>
        </is>
      </c>
      <c r="E149" s="412" t="inlineStr">
        <is>
          <t>Arrangement Balance / Saoke_GIAINGAN</t>
        </is>
      </c>
      <c r="F149" s="412" t="inlineStr">
        <is>
          <t>Sub Product Code</t>
        </is>
      </c>
      <c r="G149" s="385" t="inlineStr">
        <is>
          <t>PG_BRONZE</t>
        </is>
      </c>
      <c r="H149" s="386" t="inlineStr">
        <is>
          <t>SOURCE_SAOKE_CRB</t>
        </is>
      </c>
      <c r="I149" s="386" t="inlineStr">
        <is>
          <t>SUB_PRO</t>
        </is>
      </c>
      <c r="J149" s="410" t="inlineStr">
        <is>
          <t>VARCHAR2</t>
        </is>
      </c>
      <c r="K149" s="408" t="n">
        <v>100</v>
      </c>
      <c r="L149" s="412" t="inlineStr">
        <is>
          <t>Mã sản phẩm con</t>
        </is>
      </c>
      <c r="M149" s="412">
        <f>"COMMENT ON COLUMN "&amp;G149&amp;"."&amp;H149&amp;"."&amp;I149&amp;" IS '"&amp;L149&amp;"';"</f>
        <v/>
      </c>
      <c r="N149" s="414" t="inlineStr">
        <is>
          <t>Map 1:1 nguyên bản từ SOURCE.SAOKE_CRB.SUB_PRO sang PG_BRONZE.SOURCE_SAOKE_CRB.SUB_PRO</t>
        </is>
      </c>
    </row>
    <row r="150" ht="27" customHeight="1" s="335">
      <c r="A150" s="386" t="inlineStr">
        <is>
          <t>SOURCE</t>
        </is>
      </c>
      <c r="B150" s="386" t="inlineStr">
        <is>
          <t>SAOKE_CRB</t>
        </is>
      </c>
      <c r="C150" s="386" t="inlineStr">
        <is>
          <t>TXN_DATE</t>
        </is>
      </c>
      <c r="D150" s="385" t="inlineStr">
        <is>
          <t>1:1</t>
        </is>
      </c>
      <c r="E150" s="412" t="inlineStr">
        <is>
          <t>Arrangement Balance / Saoke_GIAINGAN</t>
        </is>
      </c>
      <c r="F150" s="412" t="inlineStr">
        <is>
          <t>Calendar Date</t>
        </is>
      </c>
      <c r="G150" s="385" t="inlineStr">
        <is>
          <t>PG_BRONZE</t>
        </is>
      </c>
      <c r="H150" s="386" t="inlineStr">
        <is>
          <t>SOURCE_SAOKE_CRB</t>
        </is>
      </c>
      <c r="I150" s="386" t="inlineStr">
        <is>
          <t>TXN_DATE</t>
        </is>
      </c>
      <c r="J150" s="410" t="inlineStr">
        <is>
          <t>DATE</t>
        </is>
      </c>
      <c r="K150" s="408" t="n">
        <v>8</v>
      </c>
      <c r="L150" s="412" t="inlineStr">
        <is>
          <t>Ngày giao dịch</t>
        </is>
      </c>
      <c r="M150" s="412">
        <f>"COMMENT ON COLUMN "&amp;G150&amp;"."&amp;H150&amp;"."&amp;I150&amp;" IS '"&amp;L150&amp;"';"</f>
        <v/>
      </c>
      <c r="N150" s="414" t="inlineStr">
        <is>
          <t>Map 1:1 nguyên bản từ SOURCE.SAOKE_CRB.TXN_DATE sang PG_BRONZE.SOURCE_SAOKE_CRB.TXN_DATE</t>
        </is>
      </c>
    </row>
    <row r="151" ht="41.25" customHeight="1" s="335">
      <c r="A151" s="386" t="inlineStr">
        <is>
          <t>SOURCE</t>
        </is>
      </c>
      <c r="B151" s="386" t="inlineStr">
        <is>
          <t>SAOKE_CRB</t>
        </is>
      </c>
      <c r="C151" s="386" t="inlineStr">
        <is>
          <t>VAL_DATE</t>
        </is>
      </c>
      <c r="D151" s="385" t="inlineStr">
        <is>
          <t>1:1</t>
        </is>
      </c>
      <c r="E151" s="412" t="inlineStr">
        <is>
          <t>Arrangement Balance / Saoke_GIAINGAN</t>
        </is>
      </c>
      <c r="F151" s="412" t="inlineStr">
        <is>
          <t>Val Date</t>
        </is>
      </c>
      <c r="G151" s="385" t="inlineStr">
        <is>
          <t>PG_BRONZE</t>
        </is>
      </c>
      <c r="H151" s="386" t="inlineStr">
        <is>
          <t>SOURCE_SAOKE_CRB</t>
        </is>
      </c>
      <c r="I151" s="386" t="inlineStr">
        <is>
          <t>VAL_DATE</t>
        </is>
      </c>
      <c r="J151" s="410" t="inlineStr">
        <is>
          <t>DATE</t>
        </is>
      </c>
      <c r="K151" s="408" t="n">
        <v>8</v>
      </c>
      <c r="L151" s="412" t="inlineStr">
        <is>
          <t>Ngày hiệu lực hợp đồng</t>
        </is>
      </c>
      <c r="M151" s="412">
        <f>"COMMENT ON COLUMN "&amp;G151&amp;"."&amp;H151&amp;"."&amp;I151&amp;" IS '"&amp;L151&amp;"';"</f>
        <v/>
      </c>
      <c r="N151" s="414" t="inlineStr">
        <is>
          <t>Map 1:1 nguyên bản từ SOURCE.SAOKE_CRB.VAL_DATE sang PG_BRONZE.SOURCE_SAOKE_CRB.VAL_DATE</t>
        </is>
      </c>
    </row>
    <row r="152" ht="41.25" customHeight="1" s="335">
      <c r="A152" s="386" t="inlineStr">
        <is>
          <t>SOURCE</t>
        </is>
      </c>
      <c r="B152" s="386" t="inlineStr">
        <is>
          <t>SAOKE_MVMT</t>
        </is>
      </c>
      <c r="C152" s="386" t="inlineStr">
        <is>
          <t>SBV_CODE</t>
        </is>
      </c>
      <c r="D152" s="385" t="inlineStr">
        <is>
          <t>1:1</t>
        </is>
      </c>
      <c r="E152" s="412" t="inlineStr">
        <is>
          <t>Loan Arrangement Profile / Saoke_GIAINGAN</t>
        </is>
      </c>
      <c r="F152" s="412" t="inlineStr">
        <is>
          <t>General Ledger Item Code / General Ledger Item Id</t>
        </is>
      </c>
      <c r="G152" s="385" t="inlineStr">
        <is>
          <t>PG_BRONZE</t>
        </is>
      </c>
      <c r="H152" s="386" t="inlineStr">
        <is>
          <t>SOURCE_SAOKE_MVMT</t>
        </is>
      </c>
      <c r="I152" s="386" t="inlineStr">
        <is>
          <t>SBV_CODE</t>
        </is>
      </c>
      <c r="J152" s="410" t="inlineStr">
        <is>
          <t>VARCHAR2</t>
        </is>
      </c>
      <c r="K152" s="408" t="n">
        <v>100</v>
      </c>
      <c r="L152" s="412" t="inlineStr">
        <is>
          <t>Mã hạch toán theo SBV</t>
        </is>
      </c>
      <c r="M152" s="412">
        <f>"COMMENT ON COLUMN "&amp;G152&amp;"."&amp;H152&amp;"."&amp;I152&amp;" IS '"&amp;L152&amp;"';"</f>
        <v/>
      </c>
      <c r="N152" s="414" t="inlineStr">
        <is>
          <t>Map 1:1 nguyên bản từ SOURCE.SAOKE_MVMT.SBV_CODE sang PG_BRONZE.SOURCE_SAOKE_MVMT.SBV_CODE</t>
        </is>
      </c>
    </row>
    <row r="153" ht="41.25" customHeight="1" s="335">
      <c r="A153" s="386" t="inlineStr">
        <is>
          <t>SOURCE</t>
        </is>
      </c>
      <c r="B153" s="386" t="inlineStr">
        <is>
          <t>SAOKE_MVMT</t>
        </is>
      </c>
      <c r="C153" s="386" t="inlineStr">
        <is>
          <t>TRANS_REF</t>
        </is>
      </c>
      <c r="D153" s="385" t="inlineStr">
        <is>
          <t>1:1</t>
        </is>
      </c>
      <c r="E153" s="412" t="inlineStr">
        <is>
          <t>Loan Arrangement Profile / Saoke_GIAINGAN</t>
        </is>
      </c>
      <c r="F153" s="412" t="inlineStr">
        <is>
          <t>Arrangement Code, Arrangement Id</t>
        </is>
      </c>
      <c r="G153" s="385" t="inlineStr">
        <is>
          <t>PG_BRONZE</t>
        </is>
      </c>
      <c r="H153" s="386" t="inlineStr">
        <is>
          <t>SOURCE_SAOKE_MVMT</t>
        </is>
      </c>
      <c r="I153" s="386" t="inlineStr">
        <is>
          <t>TRANS_REF</t>
        </is>
      </c>
      <c r="J153" s="410" t="inlineStr">
        <is>
          <t>VARCHAR2</t>
        </is>
      </c>
      <c r="K153" s="408" t="n">
        <v>100</v>
      </c>
      <c r="L153" s="412" t="inlineStr">
        <is>
          <t>Mã tham chiếu giao dịch</t>
        </is>
      </c>
      <c r="M153" s="412">
        <f>"COMMENT ON COLUMN "&amp;G153&amp;"."&amp;H153&amp;"."&amp;I153&amp;" IS '"&amp;L153&amp;"';"</f>
        <v/>
      </c>
      <c r="N153" s="414" t="inlineStr">
        <is>
          <t>Map 1:1 nguyên bản từ SOURCE.SAOKE_MVMT.TRANS_REF sang PG_BRONZE.SOURCE_SAOKE_MVMT.TRANS_REF</t>
        </is>
      </c>
    </row>
    <row r="154" ht="41.25" customHeight="1" s="335">
      <c r="A154" s="386" t="inlineStr">
        <is>
          <t>SOURCE</t>
        </is>
      </c>
      <c r="B154" s="386" t="inlineStr">
        <is>
          <t>SAOKE_MVMT</t>
        </is>
      </c>
      <c r="C154" s="386" t="inlineStr">
        <is>
          <t>TXN_DATE</t>
        </is>
      </c>
      <c r="D154" s="385" t="inlineStr">
        <is>
          <t>1:1</t>
        </is>
      </c>
      <c r="E154" s="412" t="inlineStr">
        <is>
          <t>Loan Arrangement Profile / Saoke_GIAINGAN</t>
        </is>
      </c>
      <c r="F154" s="412" t="inlineStr">
        <is>
          <t>Txn Date</t>
        </is>
      </c>
      <c r="G154" s="385" t="inlineStr">
        <is>
          <t>PG_BRONZE</t>
        </is>
      </c>
      <c r="H154" s="386" t="inlineStr">
        <is>
          <t>SOURCE_SAOKE_MVMT</t>
        </is>
      </c>
      <c r="I154" s="386" t="inlineStr">
        <is>
          <t>TXN_DATE</t>
        </is>
      </c>
      <c r="J154" s="410" t="inlineStr">
        <is>
          <t>DATE</t>
        </is>
      </c>
      <c r="K154" s="408" t="n">
        <v>8</v>
      </c>
      <c r="L154" s="412" t="inlineStr">
        <is>
          <t>Ngày thực hiện giao dịch</t>
        </is>
      </c>
      <c r="M154" s="412">
        <f>"COMMENT ON COLUMN "&amp;G154&amp;"."&amp;H154&amp;"."&amp;I154&amp;" IS '"&amp;L154&amp;"';"</f>
        <v/>
      </c>
      <c r="N154" s="414" t="inlineStr">
        <is>
          <t>Map 1:1 nguyên bản từ SOURCE.SAOKE_MVMT.TXN_DATE sang PG_BRONZE.SOURCE_SAOKE_MVMT.TXN_DATE</t>
        </is>
      </c>
    </row>
    <row r="155" ht="41.25" customHeight="1" s="335">
      <c r="A155" s="386" t="inlineStr">
        <is>
          <t>T24CORE</t>
        </is>
      </c>
      <c r="B155" s="386" t="inlineStr">
        <is>
          <t>COMPANY</t>
        </is>
      </c>
      <c r="C155" s="386" t="inlineStr">
        <is>
          <t>COMPANY_NAME</t>
        </is>
      </c>
      <c r="D155" s="385" t="inlineStr">
        <is>
          <t>1:1</t>
        </is>
      </c>
      <c r="E155" s="412" t="inlineStr">
        <is>
          <t>Organization Unit / Saoke_GIAINGAN</t>
        </is>
      </c>
      <c r="F155" s="412" t="inlineStr">
        <is>
          <t>Organization Unit Name</t>
        </is>
      </c>
      <c r="G155" s="385" t="inlineStr">
        <is>
          <t>PG_BRONZE</t>
        </is>
      </c>
      <c r="H155" s="386" t="inlineStr">
        <is>
          <t>T24CORE_COMPANY</t>
        </is>
      </c>
      <c r="I155" s="386" t="inlineStr">
        <is>
          <t>COMPANY_NAME</t>
        </is>
      </c>
      <c r="J155" s="410" t="inlineStr">
        <is>
          <t>VARCHAR2</t>
        </is>
      </c>
      <c r="K155" s="408" t="n">
        <v>255</v>
      </c>
      <c r="L155" s="412" t="inlineStr">
        <is>
          <t>Tên chi nhánh</t>
        </is>
      </c>
      <c r="M155" s="412">
        <f>"COMMENT ON COLUMN "&amp;G155&amp;"."&amp;H155&amp;"."&amp;I155&amp;" IS '"&amp;L155&amp;"';"</f>
        <v/>
      </c>
      <c r="N155" s="414" t="inlineStr">
        <is>
          <t>Map 1:1 nguyên bản từ T24CORE.COMPANY.COMPANY_NAME sang PG_BRONZE.T24CORE_COMPANY.COMPANY_NAME</t>
        </is>
      </c>
    </row>
    <row r="156" ht="27" customHeight="1" s="335">
      <c r="A156" s="386" t="inlineStr">
        <is>
          <t>T24CORE</t>
        </is>
      </c>
      <c r="B156" s="386" t="inlineStr">
        <is>
          <t>COMPANY</t>
        </is>
      </c>
      <c r="C156" s="386" t="inlineStr">
        <is>
          <t>RECID</t>
        </is>
      </c>
      <c r="D156" s="385" t="inlineStr">
        <is>
          <t>1:1</t>
        </is>
      </c>
      <c r="E156" s="412" t="inlineStr">
        <is>
          <t>Organization Unit / Saoke_GIAINGAN</t>
        </is>
      </c>
      <c r="F156" s="412" t="inlineStr">
        <is>
          <t>Organization Unit Code</t>
        </is>
      </c>
      <c r="G156" s="385" t="inlineStr">
        <is>
          <t>PG_BRONZE</t>
        </is>
      </c>
      <c r="H156" s="386" t="inlineStr">
        <is>
          <t>T24CORE_COMPANY</t>
        </is>
      </c>
      <c r="I156" s="386" t="inlineStr">
        <is>
          <t>RECID</t>
        </is>
      </c>
      <c r="J156" s="410" t="inlineStr">
        <is>
          <t>VARCHAR2</t>
        </is>
      </c>
      <c r="K156" s="408" t="n">
        <v>100</v>
      </c>
      <c r="L156" s="412" t="inlineStr">
        <is>
          <t>Mã chi nhánh</t>
        </is>
      </c>
      <c r="M156" s="412">
        <f>"COMMENT ON COLUMN "&amp;G156&amp;"."&amp;H156&amp;"."&amp;I156&amp;" IS '"&amp;L156&amp;"';"</f>
        <v/>
      </c>
      <c r="N156" s="414" t="inlineStr">
        <is>
          <t>Map 1:1 nguyên bản từ T24CORE.COMPANY.RECID sang PG_BRONZE.T24CORE_COMPANY.RECID</t>
        </is>
      </c>
    </row>
    <row r="157" ht="41.25" customHeight="1" s="335">
      <c r="A157" s="386" t="inlineStr">
        <is>
          <t>T24CORE</t>
        </is>
      </c>
      <c r="B157" s="386" t="inlineStr">
        <is>
          <t>CURRENCY</t>
        </is>
      </c>
      <c r="C157" s="386" t="inlineStr">
        <is>
          <t>CCY_NAME</t>
        </is>
      </c>
      <c r="D157" s="385" t="inlineStr">
        <is>
          <t>1:1</t>
        </is>
      </c>
      <c r="E157" s="412" t="inlineStr">
        <is>
          <t>Currency</t>
        </is>
      </c>
      <c r="F157" s="412" t="inlineStr">
        <is>
          <t>Currency Name</t>
        </is>
      </c>
      <c r="G157" s="385" t="inlineStr">
        <is>
          <t>PG_BRONZE</t>
        </is>
      </c>
      <c r="H157" s="386" t="inlineStr">
        <is>
          <t>T24CORE_CURRENCY</t>
        </is>
      </c>
      <c r="I157" s="386" t="inlineStr">
        <is>
          <t>CCY_NAME</t>
        </is>
      </c>
      <c r="J157" s="410" t="inlineStr">
        <is>
          <t>VARCHAR2</t>
        </is>
      </c>
      <c r="K157" s="408" t="n">
        <v>255</v>
      </c>
      <c r="L157" s="412" t="inlineStr">
        <is>
          <t>Tên đầy đủ của loại tiền tệ</t>
        </is>
      </c>
      <c r="M157" s="412">
        <f>"COMMENT ON COLUMN "&amp;G157&amp;"."&amp;H157&amp;"."&amp;I157&amp;" IS '"&amp;L157&amp;"';"</f>
        <v/>
      </c>
      <c r="N157" s="414" t="inlineStr">
        <is>
          <t>Map 1:1 nguyên bản từ T24CORE.CURRENCY.CCY_NAME sang PG_BRONZE.T24CORE_CURRENCY.CCY_NAME</t>
        </is>
      </c>
    </row>
    <row r="158" ht="41.25" customHeight="1" s="335">
      <c r="A158" s="386" t="inlineStr">
        <is>
          <t>T24CORE</t>
        </is>
      </c>
      <c r="B158" s="386" t="inlineStr">
        <is>
          <t>CURRENCY</t>
        </is>
      </c>
      <c r="C158" s="386" t="inlineStr">
        <is>
          <t>CURR_NO</t>
        </is>
      </c>
      <c r="D158" s="385" t="inlineStr">
        <is>
          <t>1:1</t>
        </is>
      </c>
      <c r="E158" s="412" t="inlineStr">
        <is>
          <t>Exchange Rate</t>
        </is>
      </c>
      <c r="F158" s="412" t="inlineStr">
        <is>
          <t>Current Number</t>
        </is>
      </c>
      <c r="G158" s="385" t="inlineStr">
        <is>
          <t>PG_BRONZE</t>
        </is>
      </c>
      <c r="H158" s="386" t="inlineStr">
        <is>
          <t>T24CORE_CURRENCY</t>
        </is>
      </c>
      <c r="I158" s="386" t="inlineStr">
        <is>
          <t>CURR_NO</t>
        </is>
      </c>
      <c r="J158" s="410" t="inlineStr">
        <is>
          <t>NUMBER</t>
        </is>
      </c>
      <c r="K158" s="408" t="n">
        <v>10</v>
      </c>
      <c r="L158" s="412" t="inlineStr">
        <is>
          <t>Số thứ tự phiên bản bản ghi tiền tệ (Curr No)</t>
        </is>
      </c>
      <c r="M158" s="412">
        <f>"COMMENT ON COLUMN "&amp;G158&amp;"."&amp;H158&amp;"."&amp;I158&amp;" IS '"&amp;L158&amp;"';"</f>
        <v/>
      </c>
      <c r="N158" s="414" t="inlineStr">
        <is>
          <t>Map 1:1 nguyên bản từ T24CORE.CURRENCY.CURR_NO sang PG_BRONZE.T24CORE_CURRENCY.CURR_NO</t>
        </is>
      </c>
    </row>
    <row r="159" ht="41.25" customHeight="1" s="335">
      <c r="A159" s="386" t="inlineStr">
        <is>
          <t>T24CORE</t>
        </is>
      </c>
      <c r="B159" s="386" t="inlineStr">
        <is>
          <t>CURRENCY</t>
        </is>
      </c>
      <c r="C159" s="386" t="inlineStr">
        <is>
          <t>DATE_TIME</t>
        </is>
      </c>
      <c r="D159" s="385" t="inlineStr">
        <is>
          <t>1:1</t>
        </is>
      </c>
      <c r="E159" s="412" t="inlineStr">
        <is>
          <t>Exchange Rate</t>
        </is>
      </c>
      <c r="F159" s="412" t="inlineStr">
        <is>
          <t>Date Time</t>
        </is>
      </c>
      <c r="G159" s="385" t="inlineStr">
        <is>
          <t>PG_BRONZE</t>
        </is>
      </c>
      <c r="H159" s="386" t="inlineStr">
        <is>
          <t>T24CORE_CURRENCY</t>
        </is>
      </c>
      <c r="I159" s="386" t="inlineStr">
        <is>
          <t>DATE_TIME</t>
        </is>
      </c>
      <c r="J159" s="410" t="inlineStr">
        <is>
          <t>DATE</t>
        </is>
      </c>
      <c r="K159" s="408" t="n">
        <v>8</v>
      </c>
      <c r="L159" s="412" t="inlineStr">
        <is>
          <t>Thời điểm cập nhật bản ghi tỷ giá trên Core T24</t>
        </is>
      </c>
      <c r="M159" s="412">
        <f>"COMMENT ON COLUMN "&amp;G159&amp;"."&amp;H159&amp;"."&amp;I159&amp;" IS '"&amp;L159&amp;"';"</f>
        <v/>
      </c>
      <c r="N159" s="414" t="inlineStr">
        <is>
          <t>Map 1:1 nguyên bản từ T24CORE.CURRENCY.DATE_TIME sang PG_BRONZE.T24CORE_CURRENCY.DATE_TIME</t>
        </is>
      </c>
    </row>
    <row r="160" ht="27" customHeight="1" s="335">
      <c r="A160" s="386" t="inlineStr">
        <is>
          <t>T24CORE</t>
        </is>
      </c>
      <c r="B160" s="386" t="inlineStr">
        <is>
          <t>CURRENCY</t>
        </is>
      </c>
      <c r="C160" s="386" t="inlineStr">
        <is>
          <t>ID</t>
        </is>
      </c>
      <c r="D160" s="385" t="inlineStr">
        <is>
          <t>1:1</t>
        </is>
      </c>
      <c r="E160" s="412" t="inlineStr">
        <is>
          <t>Currency / Exchange Rate</t>
        </is>
      </c>
      <c r="F160" s="412" t="inlineStr">
        <is>
          <t>Currency Code</t>
        </is>
      </c>
      <c r="G160" s="385" t="inlineStr">
        <is>
          <t>PG_BRONZE</t>
        </is>
      </c>
      <c r="H160" s="386" t="inlineStr">
        <is>
          <t>T24CORE_CURRENCY</t>
        </is>
      </c>
      <c r="I160" s="386" t="inlineStr">
        <is>
          <t>ID</t>
        </is>
      </c>
      <c r="J160" s="410" t="inlineStr">
        <is>
          <t>VARCHAR2</t>
        </is>
      </c>
      <c r="K160" s="408" t="n">
        <v>100</v>
      </c>
      <c r="L160" s="412" t="inlineStr">
        <is>
          <t>Mã loại tiền tệ (Currency ID)</t>
        </is>
      </c>
      <c r="M160" s="412">
        <f>"COMMENT ON COLUMN "&amp;G160&amp;"."&amp;H160&amp;"."&amp;I160&amp;" IS '"&amp;L160&amp;"';"</f>
        <v/>
      </c>
      <c r="N160" s="414" t="inlineStr">
        <is>
          <t>Map 1:1 nguyên bản từ T24CORE.CURRENCY.ID sang PG_BRONZE.T24CORE_CURRENCY.ID</t>
        </is>
      </c>
    </row>
    <row r="161" ht="41.25" customHeight="1" s="335">
      <c r="A161" s="386" t="inlineStr">
        <is>
          <t>T24CORE</t>
        </is>
      </c>
      <c r="B161" s="386" t="inlineStr">
        <is>
          <t>CURRENCY</t>
        </is>
      </c>
      <c r="C161" s="386" t="inlineStr">
        <is>
          <t>MID_REVAL_RATE</t>
        </is>
      </c>
      <c r="D161" s="385" t="inlineStr">
        <is>
          <t>1:1</t>
        </is>
      </c>
      <c r="E161" s="412" t="inlineStr">
        <is>
          <t>Exchange Rate</t>
        </is>
      </c>
      <c r="F161" s="412" t="inlineStr">
        <is>
          <t>Mid Rate</t>
        </is>
      </c>
      <c r="G161" s="385" t="inlineStr">
        <is>
          <t>PG_BRONZE</t>
        </is>
      </c>
      <c r="H161" s="386" t="inlineStr">
        <is>
          <t>T24CORE_CURRENCY</t>
        </is>
      </c>
      <c r="I161" s="386" t="inlineStr">
        <is>
          <t>MID_REVAL_RATE</t>
        </is>
      </c>
      <c r="J161" s="410" t="inlineStr">
        <is>
          <t>NUMBER</t>
        </is>
      </c>
      <c r="K161" s="408" t="n">
        <v>13.7</v>
      </c>
      <c r="L161" s="412" t="inlineStr">
        <is>
          <t>Tỷ giá đánh giá lại trung bình (Mid Reval Rate)</t>
        </is>
      </c>
      <c r="M161" s="412">
        <f>"COMMENT ON COLUMN "&amp;G161&amp;"."&amp;H161&amp;"."&amp;I161&amp;" IS '"&amp;L161&amp;"';"</f>
        <v/>
      </c>
      <c r="N161" s="414" t="inlineStr">
        <is>
          <t>Map 1:1 nguyên bản từ T24CORE.CURRENCY.MID_REVAL_RATE sang PG_BRONZE.T24CORE_CURRENCY.MID_REVAL_RATE</t>
        </is>
      </c>
    </row>
    <row r="162" ht="41.25" customHeight="1" s="335">
      <c r="A162" s="386" t="inlineStr">
        <is>
          <t>T24CORE</t>
        </is>
      </c>
      <c r="B162" s="386" t="inlineStr">
        <is>
          <t>CURRENCY</t>
        </is>
      </c>
      <c r="C162" s="386" t="inlineStr">
        <is>
          <t>NUMERIC_CCY_CODE</t>
        </is>
      </c>
      <c r="D162" s="385" t="inlineStr">
        <is>
          <t>1:1</t>
        </is>
      </c>
      <c r="E162" s="412" t="inlineStr">
        <is>
          <t>Currency</t>
        </is>
      </c>
      <c r="F162" s="412" t="inlineStr">
        <is>
          <t>Numeric Currency Code</t>
        </is>
      </c>
      <c r="G162" s="385" t="inlineStr">
        <is>
          <t>PG_BRONZE</t>
        </is>
      </c>
      <c r="H162" s="386" t="inlineStr">
        <is>
          <t>T24CORE_CURRENCY</t>
        </is>
      </c>
      <c r="I162" s="386" t="inlineStr">
        <is>
          <t>NUMERIC_CCY_CODE</t>
        </is>
      </c>
      <c r="J162" s="410" t="inlineStr">
        <is>
          <t>VARCHAR2</t>
        </is>
      </c>
      <c r="K162" s="408" t="n">
        <v>100</v>
      </c>
      <c r="L162" s="412" t="inlineStr">
        <is>
          <t>Mã tiền tệ dạng số theo chuẩn ISO</t>
        </is>
      </c>
      <c r="M162" s="412">
        <f>"COMMENT ON COLUMN "&amp;G162&amp;"."&amp;H162&amp;"."&amp;I162&amp;" IS '"&amp;L162&amp;"';"</f>
        <v/>
      </c>
      <c r="N162" s="414" t="inlineStr">
        <is>
          <t>Map 1:1 nguyên bản từ T24CORE.CURRENCY.NUMERIC_CCY_CODE sang PG_BRONZE.T24CORE_CURRENCY.NUMERIC_CCY_CODE</t>
        </is>
      </c>
    </row>
    <row r="163" ht="41.25" customHeight="1" s="335">
      <c r="A163" s="386" t="inlineStr">
        <is>
          <t>T24CORE</t>
        </is>
      </c>
      <c r="B163" s="386" t="inlineStr">
        <is>
          <t>CURRENCY_HIS</t>
        </is>
      </c>
      <c r="C163" s="386" t="inlineStr">
        <is>
          <t>CURR_NO</t>
        </is>
      </c>
      <c r="D163" s="385" t="inlineStr">
        <is>
          <t>1:1</t>
        </is>
      </c>
      <c r="E163" s="412" t="inlineStr">
        <is>
          <t>Exchange Rate</t>
        </is>
      </c>
      <c r="F163" s="412" t="inlineStr">
        <is>
          <t>Current Number</t>
        </is>
      </c>
      <c r="G163" s="385" t="inlineStr">
        <is>
          <t>PG_BRONZE</t>
        </is>
      </c>
      <c r="H163" s="386" t="inlineStr">
        <is>
          <t>T24CORE_CURRENCY_HIS</t>
        </is>
      </c>
      <c r="I163" s="386" t="inlineStr">
        <is>
          <t>CURR_NO</t>
        </is>
      </c>
      <c r="J163" s="410" t="inlineStr">
        <is>
          <t>NUMBER</t>
        </is>
      </c>
      <c r="K163" s="408" t="n">
        <v>10</v>
      </c>
      <c r="L163" s="412" t="inlineStr">
        <is>
          <t>Số thứ tự phiên bản lịch sử tỷ giá</t>
        </is>
      </c>
      <c r="M163" s="412">
        <f>"COMMENT ON COLUMN "&amp;G163&amp;"."&amp;H163&amp;"."&amp;I163&amp;" IS '"&amp;L163&amp;"';"</f>
        <v/>
      </c>
      <c r="N163" s="414" t="inlineStr">
        <is>
          <t>Map 1:1 nguyên bản từ T24CORE.CURRENCY_HIS.CURR_NO sang PG_BRONZE.T24CORE_CURRENCY_HIS.CURR_NO</t>
        </is>
      </c>
    </row>
    <row r="164" ht="41.25" customHeight="1" s="335">
      <c r="A164" s="386" t="inlineStr">
        <is>
          <t>T24CORE</t>
        </is>
      </c>
      <c r="B164" s="386" t="inlineStr">
        <is>
          <t>CURRENCY_HIS</t>
        </is>
      </c>
      <c r="C164" s="386" t="inlineStr">
        <is>
          <t>DATE_TIME</t>
        </is>
      </c>
      <c r="D164" s="385" t="inlineStr">
        <is>
          <t>1:1</t>
        </is>
      </c>
      <c r="E164" s="412" t="inlineStr">
        <is>
          <t>Exchange Rate</t>
        </is>
      </c>
      <c r="F164" s="412" t="inlineStr">
        <is>
          <t>Date Time</t>
        </is>
      </c>
      <c r="G164" s="385" t="inlineStr">
        <is>
          <t>PG_BRONZE</t>
        </is>
      </c>
      <c r="H164" s="386" t="inlineStr">
        <is>
          <t>T24CORE_CURRENCY_HIS</t>
        </is>
      </c>
      <c r="I164" s="386" t="inlineStr">
        <is>
          <t>DATE_TIME</t>
        </is>
      </c>
      <c r="J164" s="410" t="inlineStr">
        <is>
          <t>DATE</t>
        </is>
      </c>
      <c r="K164" s="408" t="n">
        <v>8</v>
      </c>
      <c r="L164" s="412" t="inlineStr">
        <is>
          <t>Thời điểm cập nhật tỷ giá lịch sử</t>
        </is>
      </c>
      <c r="M164" s="412">
        <f>"COMMENT ON COLUMN "&amp;G164&amp;"."&amp;H164&amp;"."&amp;I164&amp;" IS '"&amp;L164&amp;"';"</f>
        <v/>
      </c>
      <c r="N164" s="414" t="inlineStr">
        <is>
          <t>Map 1:1 nguyên bản từ T24CORE.CURRENCY_HIS.DATE_TIME sang PG_BRONZE.T24CORE_CURRENCY_HIS.DATE_TIME</t>
        </is>
      </c>
    </row>
    <row r="165" ht="27" customHeight="1" s="335">
      <c r="A165" s="386" t="inlineStr">
        <is>
          <t>T24CORE</t>
        </is>
      </c>
      <c r="B165" s="386" t="inlineStr">
        <is>
          <t>CURRENCY_HIS</t>
        </is>
      </c>
      <c r="C165" s="386" t="inlineStr">
        <is>
          <t>ID</t>
        </is>
      </c>
      <c r="D165" s="385" t="inlineStr">
        <is>
          <t>1:1</t>
        </is>
      </c>
      <c r="E165" s="412" t="inlineStr">
        <is>
          <t>Exchange Rate</t>
        </is>
      </c>
      <c r="F165" s="412" t="inlineStr">
        <is>
          <t>First Currency Code</t>
        </is>
      </c>
      <c r="G165" s="385" t="inlineStr">
        <is>
          <t>PG_BRONZE</t>
        </is>
      </c>
      <c r="H165" s="386" t="inlineStr">
        <is>
          <t>T24CORE_CURRENCY_HIS</t>
        </is>
      </c>
      <c r="I165" s="386" t="inlineStr">
        <is>
          <t>ID</t>
        </is>
      </c>
      <c r="J165" s="410" t="inlineStr">
        <is>
          <t>VARCHAR2</t>
        </is>
      </c>
      <c r="K165" s="408" t="n">
        <v>100</v>
      </c>
      <c r="L165" s="412" t="inlineStr">
        <is>
          <t>Mã bản ghi lịch sử tiền tệ (ID;CURR_NO)</t>
        </is>
      </c>
      <c r="M165" s="412">
        <f>"COMMENT ON COLUMN "&amp;G165&amp;"."&amp;H165&amp;"."&amp;I165&amp;" IS '"&amp;L165&amp;"';"</f>
        <v/>
      </c>
      <c r="N165" s="414" t="inlineStr">
        <is>
          <t>Map 1:1 nguyên bản từ T24CORE.CURRENCY_HIS.ID sang PG_BRONZE.T24CORE_CURRENCY_HIS.ID</t>
        </is>
      </c>
    </row>
    <row r="166" ht="41.25" customHeight="1" s="335">
      <c r="A166" s="386" t="inlineStr">
        <is>
          <t>T24CORE</t>
        </is>
      </c>
      <c r="B166" s="386" t="inlineStr">
        <is>
          <t>CURRENCY_HIS</t>
        </is>
      </c>
      <c r="C166" s="386" t="inlineStr">
        <is>
          <t>MID_REVAL_RATE</t>
        </is>
      </c>
      <c r="D166" s="385" t="inlineStr">
        <is>
          <t>1:1</t>
        </is>
      </c>
      <c r="E166" s="412" t="inlineStr">
        <is>
          <t>Exchange Rate</t>
        </is>
      </c>
      <c r="F166" s="412" t="inlineStr">
        <is>
          <t>Mid Rate</t>
        </is>
      </c>
      <c r="G166" s="385" t="inlineStr">
        <is>
          <t>PG_BRONZE</t>
        </is>
      </c>
      <c r="H166" s="386" t="inlineStr">
        <is>
          <t>T24CORE_CURRENCY_HIS</t>
        </is>
      </c>
      <c r="I166" s="386" t="inlineStr">
        <is>
          <t>MID_REVAL_RATE</t>
        </is>
      </c>
      <c r="J166" s="410" t="inlineStr">
        <is>
          <t>NUMBER</t>
        </is>
      </c>
      <c r="K166" s="408" t="n">
        <v>13.7</v>
      </c>
      <c r="L166" s="412" t="inlineStr">
        <is>
          <t>Tỷ giá đánh giá lại trung bình lịch sử</t>
        </is>
      </c>
      <c r="M166" s="412">
        <f>"COMMENT ON COLUMN "&amp;G166&amp;"."&amp;H166&amp;"."&amp;I166&amp;" IS '"&amp;L166&amp;"';"</f>
        <v/>
      </c>
      <c r="N166" s="414" t="inlineStr">
        <is>
          <t>Map 1:1 nguyên bản từ T24CORE.CURRENCY_HIS.MID_REVAL_RATE sang PG_BRONZE.T24CORE_CURRENCY_HIS.MID_REVAL_RATE</t>
        </is>
      </c>
    </row>
    <row r="167" ht="41.25" customHeight="1" s="335">
      <c r="A167" s="386" t="inlineStr">
        <is>
          <t>T24CORE</t>
        </is>
      </c>
      <c r="B167" s="386" t="inlineStr">
        <is>
          <t>CUSTOMER</t>
        </is>
      </c>
      <c r="C167" s="386" t="inlineStr">
        <is>
          <t>ACCOUNT_OFFICER</t>
        </is>
      </c>
      <c r="D167" s="385" t="inlineStr">
        <is>
          <t>1:1</t>
        </is>
      </c>
      <c r="E167" s="412" t="inlineStr">
        <is>
          <t>Customer</t>
        </is>
      </c>
      <c r="F167" s="412" t="inlineStr">
        <is>
          <t>Maker Officer</t>
        </is>
      </c>
      <c r="G167" s="385" t="inlineStr">
        <is>
          <t>PG_BRONZE</t>
        </is>
      </c>
      <c r="H167" s="386" t="inlineStr">
        <is>
          <t>T24CORE_CUSTOMER</t>
        </is>
      </c>
      <c r="I167" s="386" t="inlineStr">
        <is>
          <t>ACCOUNT_OFFICER</t>
        </is>
      </c>
      <c r="J167" s="410" t="inlineStr">
        <is>
          <t>VARCHAR2</t>
        </is>
      </c>
      <c r="K167" s="408" t="n">
        <v>100</v>
      </c>
      <c r="L167" s="412" t="inlineStr">
        <is>
          <t>Mã nhân viên hạch toán</t>
        </is>
      </c>
      <c r="M167" s="412">
        <f>"COMMENT ON COLUMN "&amp;G167&amp;"."&amp;H167&amp;"."&amp;I167&amp;" IS '"&amp;L167&amp;"';"</f>
        <v/>
      </c>
      <c r="N167" s="414" t="inlineStr">
        <is>
          <t>Map 1:1 nguyên bản từ T24CORE.CUSTOMER.ACCOUNT_OFFICER sang PG_BRONZE.T24CORE_CUSTOMER.ACCOUNT_OFFICER</t>
        </is>
      </c>
    </row>
    <row r="168" ht="41.25" customHeight="1" s="335">
      <c r="A168" s="386" t="inlineStr">
        <is>
          <t>T24CORE</t>
        </is>
      </c>
      <c r="B168" s="386" t="inlineStr">
        <is>
          <t>CUSTOMER</t>
        </is>
      </c>
      <c r="C168" s="386" t="inlineStr">
        <is>
          <t>ACTIVE_STATUS</t>
        </is>
      </c>
      <c r="D168" s="385" t="inlineStr">
        <is>
          <t>1:1</t>
        </is>
      </c>
      <c r="E168" s="412" t="inlineStr">
        <is>
          <t>Individual Profile / Organization Profile</t>
        </is>
      </c>
      <c r="F168" s="412" t="inlineStr">
        <is>
          <t>Customer Life Cycle Status Code</t>
        </is>
      </c>
      <c r="G168" s="385" t="inlineStr">
        <is>
          <t>PG_BRONZE</t>
        </is>
      </c>
      <c r="H168" s="386" t="inlineStr">
        <is>
          <t>T24CORE_CUSTOMER</t>
        </is>
      </c>
      <c r="I168" s="386" t="inlineStr">
        <is>
          <t>ACTIVE_STATUS</t>
        </is>
      </c>
      <c r="J168" s="410" t="inlineStr">
        <is>
          <t>VARCHAR2</t>
        </is>
      </c>
      <c r="K168" s="408" t="n">
        <v>100</v>
      </c>
      <c r="L168" s="412" t="inlineStr">
        <is>
          <t>Trạng thái bản ghi</t>
        </is>
      </c>
      <c r="M168" s="412">
        <f>"COMMENT ON COLUMN "&amp;G168&amp;"."&amp;H168&amp;"."&amp;I168&amp;" IS '"&amp;L168&amp;"';"</f>
        <v/>
      </c>
      <c r="N168" s="414" t="inlineStr">
        <is>
          <t>Map 1:1 nguyên bản từ T24CORE.CUSTOMER.ACTIVE_STATUS sang PG_BRONZE.T24CORE_CUSTOMER.ACTIVE_STATUS</t>
        </is>
      </c>
    </row>
    <row r="169" ht="41.25" customHeight="1" s="335">
      <c r="A169" s="386" t="inlineStr">
        <is>
          <t>T24CORE</t>
        </is>
      </c>
      <c r="B169" s="386" t="inlineStr">
        <is>
          <t>CUSTOMER</t>
        </is>
      </c>
      <c r="C169" s="386" t="inlineStr">
        <is>
          <t>AML_CHECK</t>
        </is>
      </c>
      <c r="D169" s="385" t="inlineStr">
        <is>
          <t>1:1</t>
        </is>
      </c>
      <c r="E169" s="412" t="inlineStr">
        <is>
          <t>Individual Profile</t>
        </is>
      </c>
      <c r="F169" s="412" t="inlineStr">
        <is>
          <t>AML Check Flag</t>
        </is>
      </c>
      <c r="G169" s="385" t="inlineStr">
        <is>
          <t>PG_BRONZE</t>
        </is>
      </c>
      <c r="H169" s="386" t="inlineStr">
        <is>
          <t>T24CORE_CUSTOMER</t>
        </is>
      </c>
      <c r="I169" s="386" t="inlineStr">
        <is>
          <t>AML_CHECK</t>
        </is>
      </c>
      <c r="J169" s="410" t="inlineStr">
        <is>
          <t>VARCHAR2</t>
        </is>
      </c>
      <c r="K169" s="408" t="n">
        <v>100</v>
      </c>
      <c r="L169" s="412" t="inlineStr">
        <is>
          <t>Liên quan tới hệ thống Phòng Chống rửa tiền</t>
        </is>
      </c>
      <c r="M169" s="412">
        <f>"COMMENT ON COLUMN "&amp;G169&amp;"."&amp;H169&amp;"."&amp;I169&amp;" IS '"&amp;L169&amp;"';"</f>
        <v/>
      </c>
      <c r="N169" s="414" t="inlineStr">
        <is>
          <t>Map 1:1 nguyên bản từ T24CORE.CUSTOMER.AML_CHECK sang PG_BRONZE.T24CORE_CUSTOMER.AML_CHECK</t>
        </is>
      </c>
    </row>
    <row r="170" ht="41.25" customHeight="1" s="335">
      <c r="A170" s="386" t="inlineStr">
        <is>
          <t>T24CORE</t>
        </is>
      </c>
      <c r="B170" s="386" t="inlineStr">
        <is>
          <t>CUSTOMER</t>
        </is>
      </c>
      <c r="C170" s="386" t="inlineStr">
        <is>
          <t>AML_RESULT</t>
        </is>
      </c>
      <c r="D170" s="385" t="inlineStr">
        <is>
          <t>1:1</t>
        </is>
      </c>
      <c r="E170" s="412" t="inlineStr">
        <is>
          <t>Individual Profile</t>
        </is>
      </c>
      <c r="F170" s="412" t="inlineStr">
        <is>
          <t>AML Result</t>
        </is>
      </c>
      <c r="G170" s="385" t="inlineStr">
        <is>
          <t>PG_BRONZE</t>
        </is>
      </c>
      <c r="H170" s="386" t="inlineStr">
        <is>
          <t>T24CORE_CUSTOMER</t>
        </is>
      </c>
      <c r="I170" s="386" t="inlineStr">
        <is>
          <t>AML_RESULT</t>
        </is>
      </c>
      <c r="J170" s="410" t="inlineStr">
        <is>
          <t>VARCHAR2</t>
        </is>
      </c>
      <c r="K170" s="408" t="n">
        <v>100</v>
      </c>
      <c r="L170" s="412" t="inlineStr">
        <is>
          <t>Liên quan tới hệ thống Phòng Chống rửa tiền</t>
        </is>
      </c>
      <c r="M170" s="412">
        <f>"COMMENT ON COLUMN "&amp;G170&amp;"."&amp;H170&amp;"."&amp;I170&amp;" IS '"&amp;L170&amp;"';"</f>
        <v/>
      </c>
      <c r="N170" s="414" t="inlineStr">
        <is>
          <t>Map 1:1 nguyên bản từ T24CORE.CUSTOMER.AML_RESULT sang PG_BRONZE.T24CORE_CUSTOMER.AML_RESULT</t>
        </is>
      </c>
    </row>
    <row r="171" ht="41.25" customHeight="1" s="335">
      <c r="A171" s="386" t="inlineStr">
        <is>
          <t>T24CORE</t>
        </is>
      </c>
      <c r="B171" s="386" t="inlineStr">
        <is>
          <t>CUSTOMER</t>
        </is>
      </c>
      <c r="C171" s="386" t="inlineStr">
        <is>
          <t>ASSET_CLASS</t>
        </is>
      </c>
      <c r="D171" s="385" t="inlineStr">
        <is>
          <t>1:1</t>
        </is>
      </c>
      <c r="E171" s="412" t="inlineStr">
        <is>
          <t>Individual Profile / Organization Profile</t>
        </is>
      </c>
      <c r="F171" s="412" t="inlineStr">
        <is>
          <t>Customer Financial Status Code</t>
        </is>
      </c>
      <c r="G171" s="385" t="inlineStr">
        <is>
          <t>PG_BRONZE</t>
        </is>
      </c>
      <c r="H171" s="386" t="inlineStr">
        <is>
          <t>T24CORE_CUSTOMER</t>
        </is>
      </c>
      <c r="I171" s="386" t="inlineStr">
        <is>
          <t>ASSET_CLASS</t>
        </is>
      </c>
      <c r="J171" s="410" t="inlineStr">
        <is>
          <t>VARCHAR2</t>
        </is>
      </c>
      <c r="K171" s="408" t="n">
        <v>100</v>
      </c>
      <c r="L171" s="412" t="inlineStr">
        <is>
          <t>Nhóm nợ khách hàng Core tính</t>
        </is>
      </c>
      <c r="M171" s="412">
        <f>"COMMENT ON COLUMN "&amp;G171&amp;"."&amp;H171&amp;"."&amp;I171&amp;" IS '"&amp;L171&amp;"';"</f>
        <v/>
      </c>
      <c r="N171" s="414" t="inlineStr">
        <is>
          <t>Map 1:1 nguyên bản từ T24CORE.CUSTOMER.ASSET_CLASS sang PG_BRONZE.T24CORE_CUSTOMER.ASSET_CLASS</t>
        </is>
      </c>
    </row>
    <row r="172" ht="41.25" customHeight="1" s="335">
      <c r="A172" s="386" t="inlineStr">
        <is>
          <t>T24CORE</t>
        </is>
      </c>
      <c r="B172" s="386" t="inlineStr">
        <is>
          <t>CUSTOMER</t>
        </is>
      </c>
      <c r="C172" s="386" t="inlineStr">
        <is>
          <t>BDATE_LEGAL</t>
        </is>
      </c>
      <c r="D172" s="385" t="inlineStr">
        <is>
          <t>1:1</t>
        </is>
      </c>
      <c r="E172" s="412" t="inlineStr">
        <is>
          <t>Customer / Individual / Organization Profile / Saoke_GIAINGAN</t>
        </is>
      </c>
      <c r="F172" s="412" t="inlineStr">
        <is>
          <t>Bdate Legal</t>
        </is>
      </c>
      <c r="G172" s="385" t="inlineStr">
        <is>
          <t>PG_BRONZE</t>
        </is>
      </c>
      <c r="H172" s="386" t="inlineStr">
        <is>
          <t>T24CORE_CUSTOMER</t>
        </is>
      </c>
      <c r="I172" s="386" t="inlineStr">
        <is>
          <t>BDATE_LEGAL</t>
        </is>
      </c>
      <c r="J172" s="410" t="inlineStr">
        <is>
          <t>DATE</t>
        </is>
      </c>
      <c r="K172" s="408" t="n">
        <v>8</v>
      </c>
      <c r="L172" s="412" t="inlineStr">
        <is>
          <t>Ngày sinh của người đại diện theo pháp luật</t>
        </is>
      </c>
      <c r="M172" s="412">
        <f>"COMMENT ON COLUMN "&amp;G172&amp;"."&amp;H172&amp;"."&amp;I172&amp;" IS '"&amp;L172&amp;"';"</f>
        <v/>
      </c>
      <c r="N172" s="414" t="inlineStr">
        <is>
          <t>Map 1:1 nguyên bản từ T24CORE.CUSTOMER.BDATE_LEGAL sang PG_BRONZE.T24CORE_CUSTOMER.BDATE_LEGAL</t>
        </is>
      </c>
    </row>
    <row r="173" ht="41.25" customHeight="1" s="335">
      <c r="A173" s="386" t="inlineStr">
        <is>
          <t>T24CORE</t>
        </is>
      </c>
      <c r="B173" s="386" t="inlineStr">
        <is>
          <t>CUSTOMER</t>
        </is>
      </c>
      <c r="C173" s="386" t="inlineStr">
        <is>
          <t>BDAY_DIRECTOR</t>
        </is>
      </c>
      <c r="D173" s="385" t="inlineStr">
        <is>
          <t>1:1</t>
        </is>
      </c>
      <c r="E173" s="412" t="inlineStr">
        <is>
          <t>Customer / Individual / Organization Profile / Saoke_GIAINGAN</t>
        </is>
      </c>
      <c r="F173" s="412" t="inlineStr">
        <is>
          <t>Bday Director</t>
        </is>
      </c>
      <c r="G173" s="385" t="inlineStr">
        <is>
          <t>PG_BRONZE</t>
        </is>
      </c>
      <c r="H173" s="386" t="inlineStr">
        <is>
          <t>T24CORE_CUSTOMER</t>
        </is>
      </c>
      <c r="I173" s="386" t="inlineStr">
        <is>
          <t>BDAY_DIRECTOR</t>
        </is>
      </c>
      <c r="J173" s="410" t="inlineStr">
        <is>
          <t>DATE</t>
        </is>
      </c>
      <c r="K173" s="408" t="n">
        <v>8</v>
      </c>
      <c r="L173" s="412" t="inlineStr">
        <is>
          <t>Ngày sinh giám đốc công ty</t>
        </is>
      </c>
      <c r="M173" s="412">
        <f>"COMMENT ON COLUMN "&amp;G173&amp;"."&amp;H173&amp;"."&amp;I173&amp;" IS '"&amp;L173&amp;"';"</f>
        <v/>
      </c>
      <c r="N173" s="414" t="inlineStr">
        <is>
          <t>Map 1:1 nguyên bản từ T24CORE.CUSTOMER.BDAY_DIRECTOR sang PG_BRONZE.T24CORE_CUSTOMER.BDAY_DIRECTOR</t>
        </is>
      </c>
    </row>
    <row r="174" ht="41.25" customHeight="1" s="335">
      <c r="A174" s="386" t="inlineStr">
        <is>
          <t>T24CORE</t>
        </is>
      </c>
      <c r="B174" s="386" t="inlineStr">
        <is>
          <t>CUSTOMER</t>
        </is>
      </c>
      <c r="C174" s="386" t="inlineStr">
        <is>
          <t>BIRTH_INCORP_DATE</t>
        </is>
      </c>
      <c r="D174" s="385" t="inlineStr">
        <is>
          <t>1:1</t>
        </is>
      </c>
      <c r="E174" s="412" t="inlineStr">
        <is>
          <t>Organization Profile</t>
        </is>
      </c>
      <c r="F174" s="412" t="inlineStr">
        <is>
          <t>Establish Date</t>
        </is>
      </c>
      <c r="G174" s="385" t="inlineStr">
        <is>
          <t>PG_BRONZE</t>
        </is>
      </c>
      <c r="H174" s="386" t="inlineStr">
        <is>
          <t>T24CORE_CUSTOMER</t>
        </is>
      </c>
      <c r="I174" s="386" t="inlineStr">
        <is>
          <t>BIRTH_INCORP_DATE</t>
        </is>
      </c>
      <c r="J174" s="410" t="inlineStr">
        <is>
          <t>DATE</t>
        </is>
      </c>
      <c r="K174" s="408" t="n">
        <v>8</v>
      </c>
      <c r="L174" s="412" t="inlineStr">
        <is>
          <t>Ngày thành lập doanh nghiệp</t>
        </is>
      </c>
      <c r="M174" s="412">
        <f>"COMMENT ON COLUMN "&amp;G174&amp;"."&amp;H174&amp;"."&amp;I174&amp;" IS '"&amp;L174&amp;"';"</f>
        <v/>
      </c>
      <c r="N174" s="414" t="inlineStr">
        <is>
          <t>Map 1:1 nguyên bản từ T24CORE.CUSTOMER.BIRTH_INCORP_DATE sang PG_BRONZE.T24CORE_CUSTOMER.BIRTH_INCORP_DATE</t>
        </is>
      </c>
    </row>
    <row r="175" ht="41.25" customHeight="1" s="335">
      <c r="A175" s="386" t="inlineStr">
        <is>
          <t>T24CORE</t>
        </is>
      </c>
      <c r="B175" s="386" t="inlineStr">
        <is>
          <t>CUSTOMER</t>
        </is>
      </c>
      <c r="C175" s="386" t="inlineStr">
        <is>
          <t>COMPANY_BOOK</t>
        </is>
      </c>
      <c r="D175" s="385" t="inlineStr">
        <is>
          <t>1:1</t>
        </is>
      </c>
      <c r="E175" s="412" t="inlineStr">
        <is>
          <t>Customer</t>
        </is>
      </c>
      <c r="F175" s="412" t="inlineStr">
        <is>
          <t>Organization Unit Code</t>
        </is>
      </c>
      <c r="G175" s="385" t="inlineStr">
        <is>
          <t>PG_BRONZE</t>
        </is>
      </c>
      <c r="H175" s="386" t="inlineStr">
        <is>
          <t>T24CORE_CUSTOMER</t>
        </is>
      </c>
      <c r="I175" s="386" t="inlineStr">
        <is>
          <t>COMPANY_BOOK</t>
        </is>
      </c>
      <c r="J175" s="410" t="inlineStr">
        <is>
          <t>VARCHAR2</t>
        </is>
      </c>
      <c r="K175" s="408" t="n">
        <v>100</v>
      </c>
      <c r="L175" s="412" t="inlineStr">
        <is>
          <t>Mã chi nhánh mở CIF</t>
        </is>
      </c>
      <c r="M175" s="412">
        <f>"COMMENT ON COLUMN "&amp;G175&amp;"."&amp;H175&amp;"."&amp;I175&amp;" IS '"&amp;L175&amp;"';"</f>
        <v/>
      </c>
      <c r="N175" s="414" t="inlineStr">
        <is>
          <t>Map 1:1 nguyên bản từ T24CORE.CUSTOMER.COMPANY_BOOK sang PG_BRONZE.T24CORE_CUSTOMER.COMPANY_BOOK</t>
        </is>
      </c>
    </row>
    <row r="176" ht="41.25" customHeight="1" s="335">
      <c r="A176" s="386" t="inlineStr">
        <is>
          <t>T24CORE</t>
        </is>
      </c>
      <c r="B176" s="386" t="inlineStr">
        <is>
          <t>CUSTOMER</t>
        </is>
      </c>
      <c r="C176" s="386" t="inlineStr">
        <is>
          <t>CONTACT_DATE</t>
        </is>
      </c>
      <c r="D176" s="385" t="inlineStr">
        <is>
          <t>1:1</t>
        </is>
      </c>
      <c r="E176" s="412" t="inlineStr">
        <is>
          <t>Customer</t>
        </is>
      </c>
      <c r="F176" s="412" t="inlineStr">
        <is>
          <t>Effective Date</t>
        </is>
      </c>
      <c r="G176" s="385" t="inlineStr">
        <is>
          <t>PG_BRONZE</t>
        </is>
      </c>
      <c r="H176" s="386" t="inlineStr">
        <is>
          <t>T24CORE_CUSTOMER</t>
        </is>
      </c>
      <c r="I176" s="386" t="inlineStr">
        <is>
          <t>CONTACT_DATE</t>
        </is>
      </c>
      <c r="J176" s="410" t="inlineStr">
        <is>
          <t>DATE</t>
        </is>
      </c>
      <c r="K176" s="408" t="n">
        <v>8</v>
      </c>
      <c r="L176" s="412" t="inlineStr">
        <is>
          <t>Ngày khách hàng liên hệ/mở CIF</t>
        </is>
      </c>
      <c r="M176" s="412">
        <f>"COMMENT ON COLUMN "&amp;G176&amp;"."&amp;H176&amp;"."&amp;I176&amp;" IS '"&amp;L176&amp;"';"</f>
        <v/>
      </c>
      <c r="N176" s="414" t="inlineStr">
        <is>
          <t>Map 1:1 nguyên bản từ T24CORE.CUSTOMER.CONTACT_DATE sang PG_BRONZE.T24CORE_CUSTOMER.CONTACT_DATE</t>
        </is>
      </c>
    </row>
    <row r="177" ht="41.25" customHeight="1" s="335">
      <c r="A177" s="386" t="inlineStr">
        <is>
          <t>T24CORE</t>
        </is>
      </c>
      <c r="B177" s="386" t="inlineStr">
        <is>
          <t>CUSTOMER</t>
        </is>
      </c>
      <c r="C177" s="386" t="inlineStr">
        <is>
          <t>CONTACT_PERSON</t>
        </is>
      </c>
      <c r="D177" s="385" t="inlineStr">
        <is>
          <t>1:1</t>
        </is>
      </c>
      <c r="E177" s="412" t="inlineStr">
        <is>
          <t>Customer / Individual / Organization Profile / Saoke_GIAINGAN</t>
        </is>
      </c>
      <c r="F177" s="412" t="inlineStr">
        <is>
          <t>Contact Person</t>
        </is>
      </c>
      <c r="G177" s="385" t="inlineStr">
        <is>
          <t>PG_BRONZE</t>
        </is>
      </c>
      <c r="H177" s="386" t="inlineStr">
        <is>
          <t>T24CORE_CUSTOMER</t>
        </is>
      </c>
      <c r="I177" s="386" t="inlineStr">
        <is>
          <t>CONTACT_PERSON</t>
        </is>
      </c>
      <c r="J177" s="410" t="inlineStr">
        <is>
          <t>VARCHAR2</t>
        </is>
      </c>
      <c r="K177" s="408" t="n">
        <v>100</v>
      </c>
      <c r="L177" s="412" t="inlineStr">
        <is>
          <t>Họ tên người liên hệ của khách hàng doanh nghiệp</t>
        </is>
      </c>
      <c r="M177" s="412">
        <f>"COMMENT ON COLUMN "&amp;G177&amp;"."&amp;H177&amp;"."&amp;I177&amp;" IS '"&amp;L177&amp;"';"</f>
        <v/>
      </c>
      <c r="N177" s="414" t="inlineStr">
        <is>
          <t>Map 1:1 nguyên bản từ T24CORE.CUSTOMER.CONTACT_PERSON sang PG_BRONZE.T24CORE_CUSTOMER.CONTACT_PERSON</t>
        </is>
      </c>
    </row>
    <row r="178" ht="41.25" customHeight="1" s="335">
      <c r="A178" s="386" t="inlineStr">
        <is>
          <t>T24CORE</t>
        </is>
      </c>
      <c r="B178" s="386" t="inlineStr">
        <is>
          <t>CUSTOMER</t>
        </is>
      </c>
      <c r="C178" s="386" t="inlineStr">
        <is>
          <t>COUNTRY</t>
        </is>
      </c>
      <c r="D178" s="385" t="inlineStr">
        <is>
          <t>1:1</t>
        </is>
      </c>
      <c r="E178" s="412" t="inlineStr">
        <is>
          <t>Involved Party Postal Address</t>
        </is>
      </c>
      <c r="F178" s="412" t="inlineStr">
        <is>
          <t>Country Name</t>
        </is>
      </c>
      <c r="G178" s="385" t="inlineStr">
        <is>
          <t>PG_BRONZE</t>
        </is>
      </c>
      <c r="H178" s="386" t="inlineStr">
        <is>
          <t>T24CORE_CUSTOMER</t>
        </is>
      </c>
      <c r="I178" s="386" t="inlineStr">
        <is>
          <t>COUNTRY</t>
        </is>
      </c>
      <c r="J178" s="410" t="inlineStr">
        <is>
          <t>VARCHAR2</t>
        </is>
      </c>
      <c r="K178" s="408" t="n">
        <v>100</v>
      </c>
      <c r="L178" s="412" t="inlineStr">
        <is>
          <t>Tên quốc gia nơi cư trú / đặt trụ sở</t>
        </is>
      </c>
      <c r="M178" s="412">
        <f>"COMMENT ON COLUMN "&amp;G178&amp;"."&amp;H178&amp;"."&amp;I178&amp;" IS '"&amp;L178&amp;"';"</f>
        <v/>
      </c>
      <c r="N178" s="414" t="inlineStr">
        <is>
          <t>Map 1:1 nguyên bản từ T24CORE.CUSTOMER.COUNTRY sang PG_BRONZE.T24CORE_CUSTOMER.COUNTRY</t>
        </is>
      </c>
    </row>
    <row r="179" ht="41.25" customHeight="1" s="335">
      <c r="A179" s="386" t="inlineStr">
        <is>
          <t>T24CORE</t>
        </is>
      </c>
      <c r="B179" s="386" t="inlineStr">
        <is>
          <t>CUSTOMER</t>
        </is>
      </c>
      <c r="C179" s="386" t="inlineStr">
        <is>
          <t>CO_CODE</t>
        </is>
      </c>
      <c r="D179" s="385" t="inlineStr">
        <is>
          <t>1:1</t>
        </is>
      </c>
      <c r="E179" s="412" t="inlineStr">
        <is>
          <t>Individual Profile / Organization Profile</t>
        </is>
      </c>
      <c r="F179" s="412" t="inlineStr">
        <is>
          <t>Organization Unit Code</t>
        </is>
      </c>
      <c r="G179" s="385" t="inlineStr">
        <is>
          <t>PG_BRONZE</t>
        </is>
      </c>
      <c r="H179" s="386" t="inlineStr">
        <is>
          <t>T24CORE_CUSTOMER</t>
        </is>
      </c>
      <c r="I179" s="386" t="inlineStr">
        <is>
          <t>CO_CODE</t>
        </is>
      </c>
      <c r="J179" s="410" t="inlineStr">
        <is>
          <t>VARCHAR2</t>
        </is>
      </c>
      <c r="K179" s="408" t="n">
        <v>100</v>
      </c>
      <c r="L179" s="412" t="inlineStr">
        <is>
          <t>Mã chi nhánh quản lý khách hàng</t>
        </is>
      </c>
      <c r="M179" s="412">
        <f>"COMMENT ON COLUMN "&amp;G179&amp;"."&amp;H179&amp;"."&amp;I179&amp;" IS '"&amp;L179&amp;"';"</f>
        <v/>
      </c>
      <c r="N179" s="414" t="inlineStr">
        <is>
          <t>Map 1:1 nguyên bản từ T24CORE.CUSTOMER.CO_CODE sang PG_BRONZE.T24CORE_CUSTOMER.CO_CODE</t>
        </is>
      </c>
    </row>
    <row r="180" ht="41.25" customHeight="1" s="335">
      <c r="A180" s="386" t="inlineStr">
        <is>
          <t>T24CORE</t>
        </is>
      </c>
      <c r="B180" s="386" t="inlineStr">
        <is>
          <t>CUSTOMER</t>
        </is>
      </c>
      <c r="C180" s="386" t="inlineStr">
        <is>
          <t>CUSTOMER_STATUS</t>
        </is>
      </c>
      <c r="D180" s="385" t="inlineStr">
        <is>
          <t>1:1</t>
        </is>
      </c>
      <c r="E180" s="412" t="inlineStr">
        <is>
          <t>Individual Profile / Organization Profile</t>
        </is>
      </c>
      <c r="F180" s="412" t="inlineStr">
        <is>
          <t>Customer Status Code</t>
        </is>
      </c>
      <c r="G180" s="385" t="inlineStr">
        <is>
          <t>PG_BRONZE</t>
        </is>
      </c>
      <c r="H180" s="386" t="inlineStr">
        <is>
          <t>T24CORE_CUSTOMER</t>
        </is>
      </c>
      <c r="I180" s="386" t="inlineStr">
        <is>
          <t>CUSTOMER_STATUS</t>
        </is>
      </c>
      <c r="J180" s="410" t="inlineStr">
        <is>
          <t>VARCHAR2</t>
        </is>
      </c>
      <c r="K180" s="408" t="n">
        <v>100</v>
      </c>
      <c r="L180" s="412" t="inlineStr">
        <is>
          <t>Trạng thái hiện tại của khách hàng</t>
        </is>
      </c>
      <c r="M180" s="412">
        <f>"COMMENT ON COLUMN "&amp;G180&amp;"."&amp;H180&amp;"."&amp;I180&amp;" IS '"&amp;L180&amp;"';"</f>
        <v/>
      </c>
      <c r="N180" s="414" t="inlineStr">
        <is>
          <t>Map 1:1 nguyên bản từ T24CORE.CUSTOMER.CUSTOMER_STATUS sang PG_BRONZE.T24CORE_CUSTOMER.CUSTOMER_STATUS</t>
        </is>
      </c>
    </row>
    <row r="181" ht="41.25" customHeight="1" s="335">
      <c r="A181" s="386" t="inlineStr">
        <is>
          <t>T24CORE</t>
        </is>
      </c>
      <c r="B181" s="386" t="inlineStr">
        <is>
          <t>CUSTOMER</t>
        </is>
      </c>
      <c r="C181" s="386" t="inlineStr">
        <is>
          <t>CUS_IND_PARENT</t>
        </is>
      </c>
      <c r="D181" s="385" t="inlineStr">
        <is>
          <t>1:1</t>
        </is>
      </c>
      <c r="E181" s="412" t="inlineStr">
        <is>
          <t>Individual Profile / Organization Profile</t>
        </is>
      </c>
      <c r="F181" s="412" t="inlineStr">
        <is>
          <t>Industry LV1 Classification Code</t>
        </is>
      </c>
      <c r="G181" s="385" t="inlineStr">
        <is>
          <t>PG_BRONZE</t>
        </is>
      </c>
      <c r="H181" s="386" t="inlineStr">
        <is>
          <t>T24CORE_CUSTOMER</t>
        </is>
      </c>
      <c r="I181" s="386" t="inlineStr">
        <is>
          <t>CUS_IND_PARENT</t>
        </is>
      </c>
      <c r="J181" s="410" t="inlineStr">
        <is>
          <t>VARCHAR2</t>
        </is>
      </c>
      <c r="K181" s="408" t="n">
        <v>100</v>
      </c>
      <c r="L181" s="412" t="inlineStr">
        <is>
          <t>Mã ngành nghê kinh tế cha</t>
        </is>
      </c>
      <c r="M181" s="412">
        <f>"COMMENT ON COLUMN "&amp;G181&amp;"."&amp;H181&amp;"."&amp;I181&amp;" IS '"&amp;L181&amp;"';"</f>
        <v/>
      </c>
      <c r="N181" s="414" t="inlineStr">
        <is>
          <t>Map 1:1 nguyên bản từ T24CORE.CUSTOMER.CUS_IND_PARENT sang PG_BRONZE.T24CORE_CUSTOMER.CUS_IND_PARENT</t>
        </is>
      </c>
    </row>
    <row r="182" ht="41.25" customHeight="1" s="335">
      <c r="A182" s="386" t="inlineStr">
        <is>
          <t>T24CORE</t>
        </is>
      </c>
      <c r="B182" s="386" t="inlineStr">
        <is>
          <t>CUSTOMER</t>
        </is>
      </c>
      <c r="C182" s="386" t="inlineStr">
        <is>
          <t>CU_EFF_DATE</t>
        </is>
      </c>
      <c r="D182" s="385" t="inlineStr">
        <is>
          <t>1:1</t>
        </is>
      </c>
      <c r="E182" s="412" t="inlineStr">
        <is>
          <t>Customer / Individual / Organization Profile / Saoke_GIAINGAN</t>
        </is>
      </c>
      <c r="F182" s="412" t="inlineStr">
        <is>
          <t>Cu Eff Date</t>
        </is>
      </c>
      <c r="G182" s="385" t="inlineStr">
        <is>
          <t>PG_BRONZE</t>
        </is>
      </c>
      <c r="H182" s="386" t="inlineStr">
        <is>
          <t>T24CORE_CUSTOMER</t>
        </is>
      </c>
      <c r="I182" s="386" t="inlineStr">
        <is>
          <t>CU_EFF_DATE</t>
        </is>
      </c>
      <c r="J182" s="410" t="inlineStr">
        <is>
          <t>DATE</t>
        </is>
      </c>
      <c r="K182" s="408" t="n">
        <v>8</v>
      </c>
      <c r="L182" s="412" t="inlineStr">
        <is>
          <t>Ngày hiệu lực phân hạng khách hàng VIP</t>
        </is>
      </c>
      <c r="M182" s="412">
        <f>"COMMENT ON COLUMN "&amp;G182&amp;"."&amp;H182&amp;"."&amp;I182&amp;" IS '"&amp;L182&amp;"';"</f>
        <v/>
      </c>
      <c r="N182" s="414" t="inlineStr">
        <is>
          <t>Map 1:1 nguyên bản từ T24CORE.CUSTOMER.CU_EFF_DATE sang PG_BRONZE.T24CORE_CUSTOMER.CU_EFF_DATE</t>
        </is>
      </c>
    </row>
    <row r="183" ht="41.25" customHeight="1" s="335">
      <c r="A183" s="386" t="inlineStr">
        <is>
          <t>T24CORE</t>
        </is>
      </c>
      <c r="B183" s="386" t="inlineStr">
        <is>
          <t>CUSTOMER</t>
        </is>
      </c>
      <c r="C183" s="386" t="inlineStr">
        <is>
          <t>DATE_TIME</t>
        </is>
      </c>
      <c r="D183" s="385" t="inlineStr">
        <is>
          <t>1:1</t>
        </is>
      </c>
      <c r="E183" s="412" t="inlineStr">
        <is>
          <t>Customer / Individual / Organization Profile / Saoke_GIAINGAN</t>
        </is>
      </c>
      <c r="F183" s="412" t="inlineStr">
        <is>
          <t>Date Time</t>
        </is>
      </c>
      <c r="G183" s="385" t="inlineStr">
        <is>
          <t>PG_BRONZE</t>
        </is>
      </c>
      <c r="H183" s="386" t="inlineStr">
        <is>
          <t>T24CORE_CUSTOMER</t>
        </is>
      </c>
      <c r="I183" s="386" t="inlineStr">
        <is>
          <t>DATE_TIME</t>
        </is>
      </c>
      <c r="J183" s="410" t="inlineStr">
        <is>
          <t>DATE</t>
        </is>
      </c>
      <c r="K183" s="408" t="n">
        <v>8</v>
      </c>
      <c r="L183" s="412" t="inlineStr">
        <is>
          <t>Ngày giờ bản ghi nhập liệu</t>
        </is>
      </c>
      <c r="M183" s="412">
        <f>"COMMENT ON COLUMN "&amp;G183&amp;"."&amp;H183&amp;"."&amp;I183&amp;" IS '"&amp;L183&amp;"';"</f>
        <v/>
      </c>
      <c r="N183" s="414" t="inlineStr">
        <is>
          <t>Map 1:1 nguyên bản từ T24CORE.CUSTOMER.DATE_TIME sang PG_BRONZE.T24CORE_CUSTOMER.DATE_TIME</t>
        </is>
      </c>
    </row>
    <row r="184" ht="27" customHeight="1" s="335">
      <c r="A184" s="386" t="inlineStr">
        <is>
          <t>T24CORE</t>
        </is>
      </c>
      <c r="B184" s="386" t="inlineStr">
        <is>
          <t>CUSTOMER</t>
        </is>
      </c>
      <c r="C184" s="386" t="inlineStr">
        <is>
          <t>EMAIL_ADDRESS</t>
        </is>
      </c>
      <c r="D184" s="385" t="inlineStr">
        <is>
          <t>1:1</t>
        </is>
      </c>
      <c r="E184" s="412" t="inlineStr">
        <is>
          <t>Involved Party Electronic Address</t>
        </is>
      </c>
      <c r="F184" s="412" t="inlineStr">
        <is>
          <t>Electronic Address Value</t>
        </is>
      </c>
      <c r="G184" s="385" t="inlineStr">
        <is>
          <t>PG_BRONZE</t>
        </is>
      </c>
      <c r="H184" s="386" t="inlineStr">
        <is>
          <t>T24CORE_CUSTOMER</t>
        </is>
      </c>
      <c r="I184" s="386" t="inlineStr">
        <is>
          <t>EMAIL_ADDRESS</t>
        </is>
      </c>
      <c r="J184" s="410" t="inlineStr">
        <is>
          <t>VARCHAR2</t>
        </is>
      </c>
      <c r="K184" s="408" t="n">
        <v>255</v>
      </c>
      <c r="L184" s="412" t="inlineStr">
        <is>
          <t>Địa chỉ emai</t>
        </is>
      </c>
      <c r="M184" s="412">
        <f>"COMMENT ON COLUMN "&amp;G184&amp;"."&amp;H184&amp;"."&amp;I184&amp;" IS '"&amp;L184&amp;"';"</f>
        <v/>
      </c>
      <c r="N184" s="414" t="inlineStr">
        <is>
          <t>Map 1:1 nguyên bản từ T24CORE.CUSTOMER.EMAIL_ADDRESS sang PG_BRONZE.T24CORE_CUSTOMER.EMAIL_ADDRESS</t>
        </is>
      </c>
    </row>
    <row r="185" ht="41.25" customHeight="1" s="335">
      <c r="A185" s="386" t="inlineStr">
        <is>
          <t>T24CORE</t>
        </is>
      </c>
      <c r="B185" s="386" t="inlineStr">
        <is>
          <t>CUSTOMER</t>
        </is>
      </c>
      <c r="C185" s="386" t="inlineStr">
        <is>
          <t>EMPLOYMENT_STATUS</t>
        </is>
      </c>
      <c r="D185" s="385" t="inlineStr">
        <is>
          <t>1:1</t>
        </is>
      </c>
      <c r="E185" s="412" t="inlineStr">
        <is>
          <t>Individual Employment Status</t>
        </is>
      </c>
      <c r="F185" s="412" t="inlineStr">
        <is>
          <t>Individual Employment Status Code</t>
        </is>
      </c>
      <c r="G185" s="385" t="inlineStr">
        <is>
          <t>PG_BRONZE</t>
        </is>
      </c>
      <c r="H185" s="386" t="inlineStr">
        <is>
          <t>T24CORE_CUSTOMER</t>
        </is>
      </c>
      <c r="I185" s="386" t="inlineStr">
        <is>
          <t>EMPLOYMENT_STATUS</t>
        </is>
      </c>
      <c r="J185" s="410" t="inlineStr">
        <is>
          <t>VARCHAR2</t>
        </is>
      </c>
      <c r="K185" s="408" t="n">
        <v>100</v>
      </c>
      <c r="L185" s="412" t="inlineStr">
        <is>
          <t>Mã tình trạng việc làm của khách hàng cá nhân</t>
        </is>
      </c>
      <c r="M185" s="412">
        <f>"COMMENT ON COLUMN "&amp;G185&amp;"."&amp;H185&amp;"."&amp;I185&amp;" IS '"&amp;L185&amp;"';"</f>
        <v/>
      </c>
      <c r="N185" s="414" t="inlineStr">
        <is>
          <t>Map 1:1 nguyên bản từ T24CORE.CUSTOMER.EMPLOYMENT_STATUS sang PG_BRONZE.T24CORE_CUSTOMER.EMPLOYMENT_STATUS</t>
        </is>
      </c>
    </row>
    <row r="186" ht="41.25" customHeight="1" s="335">
      <c r="A186" s="386" t="inlineStr">
        <is>
          <t>T24CORE</t>
        </is>
      </c>
      <c r="B186" s="386" t="inlineStr">
        <is>
          <t>CUSTOMER</t>
        </is>
      </c>
      <c r="C186" s="386" t="inlineStr">
        <is>
          <t>ESTAB_LIC_CODE</t>
        </is>
      </c>
      <c r="D186" s="385" t="inlineStr">
        <is>
          <t>1:1</t>
        </is>
      </c>
      <c r="E186" s="412" t="inlineStr">
        <is>
          <t>Customer / Individual / Organization Profile / Saoke_GIAINGAN</t>
        </is>
      </c>
      <c r="F186" s="412" t="inlineStr">
        <is>
          <t>Estab Lic Code</t>
        </is>
      </c>
      <c r="G186" s="385" t="inlineStr">
        <is>
          <t>PG_BRONZE</t>
        </is>
      </c>
      <c r="H186" s="386" t="inlineStr">
        <is>
          <t>T24CORE_CUSTOMER</t>
        </is>
      </c>
      <c r="I186" s="386" t="inlineStr">
        <is>
          <t>ESTAB_LIC_CODE</t>
        </is>
      </c>
      <c r="J186" s="410" t="inlineStr">
        <is>
          <t>VARCHAR2</t>
        </is>
      </c>
      <c r="K186" s="408" t="n">
        <v>100</v>
      </c>
      <c r="L186" s="412" t="inlineStr">
        <is>
          <t>Số giấy phép thành lập / đăng ký kinh doanh</t>
        </is>
      </c>
      <c r="M186" s="412">
        <f>"COMMENT ON COLUMN "&amp;G186&amp;"."&amp;H186&amp;"."&amp;I186&amp;" IS '"&amp;L186&amp;"';"</f>
        <v/>
      </c>
      <c r="N186" s="414" t="inlineStr">
        <is>
          <t>Map 1:1 nguyên bản từ T24CORE.CUSTOMER.ESTAB_LIC_CODE sang PG_BRONZE.T24CORE_CUSTOMER.ESTAB_LIC_CODE</t>
        </is>
      </c>
    </row>
    <row r="187" ht="41.25" customHeight="1" s="335">
      <c r="A187" s="386" t="inlineStr">
        <is>
          <t>T24CORE</t>
        </is>
      </c>
      <c r="B187" s="386" t="inlineStr">
        <is>
          <t>CUSTOMER</t>
        </is>
      </c>
      <c r="C187" s="386" t="inlineStr">
        <is>
          <t>FFB_TYPE</t>
        </is>
      </c>
      <c r="D187" s="385" t="inlineStr">
        <is>
          <t>1:1</t>
        </is>
      </c>
      <c r="E187" s="412" t="inlineStr">
        <is>
          <t>Customer / Individual / Organization Profile / Saoke_GIAINGAN</t>
        </is>
      </c>
      <c r="F187" s="412" t="inlineStr">
        <is>
          <t>Ffb Type</t>
        </is>
      </c>
      <c r="G187" s="385" t="inlineStr">
        <is>
          <t>PG_BRONZE</t>
        </is>
      </c>
      <c r="H187" s="386" t="inlineStr">
        <is>
          <t>T24CORE_CUSTOMER</t>
        </is>
      </c>
      <c r="I187" s="386" t="inlineStr">
        <is>
          <t>FFB_TYPE</t>
        </is>
      </c>
      <c r="J187" s="410" t="inlineStr">
        <is>
          <t>VARCHAR2</t>
        </is>
      </c>
      <c r="K187" s="408" t="n">
        <v>100</v>
      </c>
      <c r="L187" s="412" t="inlineStr">
        <is>
          <t>Phân hạng khách hàng ưu tiên (VIP Type)</t>
        </is>
      </c>
      <c r="M187" s="412">
        <f>"COMMENT ON COLUMN "&amp;G187&amp;"."&amp;H187&amp;"."&amp;I187&amp;" IS '"&amp;L187&amp;"';"</f>
        <v/>
      </c>
      <c r="N187" s="414" t="inlineStr">
        <is>
          <t>Map 1:1 nguyên bản từ T24CORE.CUSTOMER.FFB_TYPE sang PG_BRONZE.T24CORE_CUSTOMER.FFB_TYPE</t>
        </is>
      </c>
    </row>
    <row r="188" ht="41.25" customHeight="1" s="335">
      <c r="A188" s="386" t="inlineStr">
        <is>
          <t>T24CORE</t>
        </is>
      </c>
      <c r="B188" s="386" t="inlineStr">
        <is>
          <t>CUSTOMER</t>
        </is>
      </c>
      <c r="C188" s="386" t="inlineStr">
        <is>
          <t>GEN_DIR_PLC</t>
        </is>
      </c>
      <c r="D188" s="385" t="inlineStr">
        <is>
          <t>1:1</t>
        </is>
      </c>
      <c r="E188" s="412" t="inlineStr">
        <is>
          <t>Customer / Individual / Organization Profile / Saoke_GIAINGAN</t>
        </is>
      </c>
      <c r="F188" s="412" t="inlineStr">
        <is>
          <t>Gen Dir Plc</t>
        </is>
      </c>
      <c r="G188" s="385" t="inlineStr">
        <is>
          <t>PG_BRONZE</t>
        </is>
      </c>
      <c r="H188" s="386" t="inlineStr">
        <is>
          <t>T24CORE_CUSTOMER</t>
        </is>
      </c>
      <c r="I188" s="386" t="inlineStr">
        <is>
          <t>GEN_DIR_PLC</t>
        </is>
      </c>
      <c r="J188" s="410" t="inlineStr">
        <is>
          <t>VARCHAR2</t>
        </is>
      </c>
      <c r="K188" s="408" t="n">
        <v>100</v>
      </c>
      <c r="L188" s="412" t="inlineStr">
        <is>
          <t>Nơi sinh / quốc tịch của Tổng giám đốc / người đại diện</t>
        </is>
      </c>
      <c r="M188" s="412">
        <f>"COMMENT ON COLUMN "&amp;G188&amp;"."&amp;H188&amp;"."&amp;I188&amp;" IS '"&amp;L188&amp;"';"</f>
        <v/>
      </c>
      <c r="N188" s="414" t="inlineStr">
        <is>
          <t>Map 1:1 nguyên bản từ T24CORE.CUSTOMER.GEN_DIR_PLC sang PG_BRONZE.T24CORE_CUSTOMER.GEN_DIR_PLC</t>
        </is>
      </c>
    </row>
    <row r="189" ht="41.25" customHeight="1" s="335">
      <c r="A189" s="386" t="inlineStr">
        <is>
          <t>T24CORE</t>
        </is>
      </c>
      <c r="B189" s="386" t="inlineStr">
        <is>
          <t>CUSTOMER</t>
        </is>
      </c>
      <c r="C189" s="386" t="inlineStr">
        <is>
          <t>HOME_NUMBER</t>
        </is>
      </c>
      <c r="D189" s="385" t="inlineStr">
        <is>
          <t>1:1</t>
        </is>
      </c>
      <c r="E189" s="412" t="inlineStr">
        <is>
          <t>Involved Party Electronic Address</t>
        </is>
      </c>
      <c r="F189" s="412" t="inlineStr">
        <is>
          <t>Electronic Address Value</t>
        </is>
      </c>
      <c r="G189" s="385" t="inlineStr">
        <is>
          <t>PG_BRONZE</t>
        </is>
      </c>
      <c r="H189" s="386" t="inlineStr">
        <is>
          <t>T24CORE_CUSTOMER</t>
        </is>
      </c>
      <c r="I189" s="386" t="inlineStr">
        <is>
          <t>HOME_NUMBER</t>
        </is>
      </c>
      <c r="J189" s="410" t="inlineStr">
        <is>
          <t>VARCHAR2</t>
        </is>
      </c>
      <c r="K189" s="408" t="n">
        <v>100</v>
      </c>
      <c r="L189" s="412" t="inlineStr">
        <is>
          <t>Số điện thoại nhà tiêng</t>
        </is>
      </c>
      <c r="M189" s="412">
        <f>"COMMENT ON COLUMN "&amp;G189&amp;"."&amp;H189&amp;"."&amp;I189&amp;" IS '"&amp;L189&amp;"';"</f>
        <v/>
      </c>
      <c r="N189" s="414" t="inlineStr">
        <is>
          <t>Map 1:1 nguyên bản từ T24CORE.CUSTOMER.HOME_NUMBER sang PG_BRONZE.T24CORE_CUSTOMER.HOME_NUMBER</t>
        </is>
      </c>
    </row>
    <row r="190" ht="41.25" customHeight="1" s="335">
      <c r="A190" s="386" t="inlineStr">
        <is>
          <t>T24CORE</t>
        </is>
      </c>
      <c r="B190" s="386" t="inlineStr">
        <is>
          <t>CUSTOMER</t>
        </is>
      </c>
      <c r="C190" s="386" t="inlineStr">
        <is>
          <t>INDUSTRY</t>
        </is>
      </c>
      <c r="D190" s="385" t="inlineStr">
        <is>
          <t>1:1</t>
        </is>
      </c>
      <c r="E190" s="412" t="inlineStr">
        <is>
          <t>Customer / Individual / Organization Profile / Saoke_GIAINGAN</t>
        </is>
      </c>
      <c r="F190" s="412" t="inlineStr">
        <is>
          <t>Industry</t>
        </is>
      </c>
      <c r="G190" s="385" t="inlineStr">
        <is>
          <t>PG_BRONZE</t>
        </is>
      </c>
      <c r="H190" s="386" t="inlineStr">
        <is>
          <t>T24CORE_CUSTOMER</t>
        </is>
      </c>
      <c r="I190" s="386" t="inlineStr">
        <is>
          <t>INDUSTRY</t>
        </is>
      </c>
      <c r="J190" s="410" t="inlineStr">
        <is>
          <t>VARCHAR2</t>
        </is>
      </c>
      <c r="K190" s="408" t="n">
        <v>100</v>
      </c>
      <c r="L190" s="412" t="inlineStr">
        <is>
          <t>Mã ngành nghề đăng ký kinh doanh</t>
        </is>
      </c>
      <c r="M190" s="412">
        <f>"COMMENT ON COLUMN "&amp;G190&amp;"."&amp;H190&amp;"."&amp;I190&amp;" IS '"&amp;L190&amp;"';"</f>
        <v/>
      </c>
      <c r="N190" s="414" t="inlineStr">
        <is>
          <t>Map 1:1 nguyên bản từ T24CORE.CUSTOMER.INDUSTRY sang PG_BRONZE.T24CORE_CUSTOMER.INDUSTRY</t>
        </is>
      </c>
    </row>
    <row r="191" ht="41.25" customHeight="1" s="335">
      <c r="A191" s="386" t="inlineStr">
        <is>
          <t>T24CORE</t>
        </is>
      </c>
      <c r="B191" s="386" t="inlineStr">
        <is>
          <t>CUSTOMER</t>
        </is>
      </c>
      <c r="C191" s="386" t="inlineStr">
        <is>
          <t>INTERNET_BANKING_SERVICE</t>
        </is>
      </c>
      <c r="D191" s="385" t="inlineStr">
        <is>
          <t>1:1</t>
        </is>
      </c>
      <c r="E191" s="412" t="inlineStr">
        <is>
          <t>Individual Profile / Organization Profile</t>
        </is>
      </c>
      <c r="F191" s="412" t="inlineStr">
        <is>
          <t>Internet Banking Flag</t>
        </is>
      </c>
      <c r="G191" s="385" t="inlineStr">
        <is>
          <t>PG_BRONZE</t>
        </is>
      </c>
      <c r="H191" s="386" t="inlineStr">
        <is>
          <t>T24CORE_CUSTOMER</t>
        </is>
      </c>
      <c r="I191" s="386" t="inlineStr">
        <is>
          <t>INTERNET_BANKING_SERVICE</t>
        </is>
      </c>
      <c r="J191" s="410" t="inlineStr">
        <is>
          <t>VARCHAR2</t>
        </is>
      </c>
      <c r="K191" s="408" t="n">
        <v>100</v>
      </c>
      <c r="L191" s="412" t="inlineStr">
        <is>
          <t>Dịch vụ Internet banking khách hàng giao tiếp</t>
        </is>
      </c>
      <c r="M191" s="412">
        <f>"COMMENT ON COLUMN "&amp;G191&amp;"."&amp;H191&amp;"."&amp;I191&amp;" IS '"&amp;L191&amp;"';"</f>
        <v/>
      </c>
      <c r="N191" s="414" t="inlineStr">
        <is>
          <t>Map 1:1 nguyên bản từ T24CORE.CUSTOMER.INTERNET_BANKING_SERVICE sang PG_BRONZE.T24CORE_CUSTOMER.INTERNET_BANKING_SERVICE</t>
        </is>
      </c>
    </row>
    <row r="192" ht="27" customHeight="1" s="335">
      <c r="A192" s="386" t="inlineStr">
        <is>
          <t>T24CORE</t>
        </is>
      </c>
      <c r="B192" s="386" t="inlineStr">
        <is>
          <t>CUSTOMER</t>
        </is>
      </c>
      <c r="C192" s="386" t="inlineStr">
        <is>
          <t>KHOI</t>
        </is>
      </c>
      <c r="D192" s="385" t="inlineStr">
        <is>
          <t>1:1</t>
        </is>
      </c>
      <c r="E192" s="412" t="inlineStr">
        <is>
          <t>Customer</t>
        </is>
      </c>
      <c r="F192" s="412" t="inlineStr">
        <is>
          <t>Customer Group Code</t>
        </is>
      </c>
      <c r="G192" s="385" t="inlineStr">
        <is>
          <t>PG_BRONZE</t>
        </is>
      </c>
      <c r="H192" s="386" t="inlineStr">
        <is>
          <t>T24CORE_CUSTOMER</t>
        </is>
      </c>
      <c r="I192" s="386" t="inlineStr">
        <is>
          <t>KHOI</t>
        </is>
      </c>
      <c r="J192" s="410" t="inlineStr">
        <is>
          <t>VARCHAR2</t>
        </is>
      </c>
      <c r="K192" s="408" t="n">
        <v>100</v>
      </c>
      <c r="L192" s="412" t="inlineStr">
        <is>
          <t>mã Khối quản lý khách hàng</t>
        </is>
      </c>
      <c r="M192" s="412">
        <f>"COMMENT ON COLUMN "&amp;G192&amp;"."&amp;H192&amp;"."&amp;I192&amp;" IS '"&amp;L192&amp;"';"</f>
        <v/>
      </c>
      <c r="N192" s="414" t="inlineStr">
        <is>
          <t>Map 1:1 nguyên bản từ T24CORE.CUSTOMER.KHOI sang PG_BRONZE.T24CORE_CUSTOMER.KHOI</t>
        </is>
      </c>
    </row>
    <row r="193" ht="41.25" customHeight="1" s="335">
      <c r="A193" s="386" t="inlineStr">
        <is>
          <t>T24CORE</t>
        </is>
      </c>
      <c r="B193" s="386" t="inlineStr">
        <is>
          <t>CUSTOMER</t>
        </is>
      </c>
      <c r="C193" s="386" t="inlineStr">
        <is>
          <t>KYC_CHANNEL</t>
        </is>
      </c>
      <c r="D193" s="385" t="inlineStr">
        <is>
          <t>1:1</t>
        </is>
      </c>
      <c r="E193" s="412" t="inlineStr">
        <is>
          <t>Individual Profile</t>
        </is>
      </c>
      <c r="F193" s="412" t="inlineStr">
        <is>
          <t>KYC Channel Code</t>
        </is>
      </c>
      <c r="G193" s="385" t="inlineStr">
        <is>
          <t>PG_BRONZE</t>
        </is>
      </c>
      <c r="H193" s="386" t="inlineStr">
        <is>
          <t>T24CORE_CUSTOMER</t>
        </is>
      </c>
      <c r="I193" s="386" t="inlineStr">
        <is>
          <t>KYC_CHANNEL</t>
        </is>
      </c>
      <c r="J193" s="410" t="inlineStr">
        <is>
          <t>VARCHAR2</t>
        </is>
      </c>
      <c r="K193" s="408" t="n">
        <v>100</v>
      </c>
      <c r="L193" s="412" t="inlineStr">
        <is>
          <t>Kênh thực hiện KYC</t>
        </is>
      </c>
      <c r="M193" s="412">
        <f>"COMMENT ON COLUMN "&amp;G193&amp;"."&amp;H193&amp;"."&amp;I193&amp;" IS '"&amp;L193&amp;"';"</f>
        <v/>
      </c>
      <c r="N193" s="414" t="inlineStr">
        <is>
          <t>Map 1:1 nguyên bản từ T24CORE.CUSTOMER.KYC_CHANNEL sang PG_BRONZE.T24CORE_CUSTOMER.KYC_CHANNEL</t>
        </is>
      </c>
    </row>
    <row r="194" ht="41.25" customHeight="1" s="335">
      <c r="A194" s="386" t="inlineStr">
        <is>
          <t>T24CORE</t>
        </is>
      </c>
      <c r="B194" s="386" t="inlineStr">
        <is>
          <t>CUSTOMER</t>
        </is>
      </c>
      <c r="C194" s="386" t="inlineStr">
        <is>
          <t>MAU_HD</t>
        </is>
      </c>
      <c r="D194" s="385" t="inlineStr">
        <is>
          <t>1:1</t>
        </is>
      </c>
      <c r="E194" s="412" t="inlineStr">
        <is>
          <t>Customer / Individual / Organization Profile / SAOKE_TINDUNG</t>
        </is>
      </c>
      <c r="F194" s="412" t="inlineStr">
        <is>
          <t>Mau Hd</t>
        </is>
      </c>
      <c r="G194" s="385" t="inlineStr">
        <is>
          <t>PG_BRONZE</t>
        </is>
      </c>
      <c r="H194" s="386" t="inlineStr">
        <is>
          <t>T24CORE_CUSTOMER</t>
        </is>
      </c>
      <c r="I194" s="386" t="inlineStr">
        <is>
          <t>MAU_HD</t>
        </is>
      </c>
      <c r="J194" s="410" t="inlineStr">
        <is>
          <t>VARCHAR2</t>
        </is>
      </c>
      <c r="K194" s="408" t="n">
        <v>100</v>
      </c>
      <c r="L194" s="412" t="inlineStr">
        <is>
          <t>Mã biểu mẫu hợp đồng chuẩn áp dụng cho khách hàng</t>
        </is>
      </c>
      <c r="M194" s="412">
        <f>"COMMENT ON COLUMN "&amp;G194&amp;"."&amp;H194&amp;"."&amp;I194&amp;" IS '"&amp;L194&amp;"';"</f>
        <v/>
      </c>
      <c r="N194" s="414" t="inlineStr">
        <is>
          <t>Map 1:1 nguyên bản từ T24CORE.CUSTOMER.MAU_HD sang PG_BRONZE.T24CORE_CUSTOMER.MAU_HD</t>
        </is>
      </c>
    </row>
    <row r="195" ht="41.25" customHeight="1" s="335">
      <c r="A195" s="386" t="inlineStr">
        <is>
          <t>T24CORE</t>
        </is>
      </c>
      <c r="B195" s="386" t="inlineStr">
        <is>
          <t>CUSTOMER</t>
        </is>
      </c>
      <c r="C195" s="386" t="inlineStr">
        <is>
          <t>MA_BHXH</t>
        </is>
      </c>
      <c r="D195" s="385" t="inlineStr">
        <is>
          <t>1:1</t>
        </is>
      </c>
      <c r="E195" s="412" t="inlineStr">
        <is>
          <t>Individual Profile</t>
        </is>
      </c>
      <c r="F195" s="412" t="inlineStr">
        <is>
          <t>VSS Code</t>
        </is>
      </c>
      <c r="G195" s="385" t="inlineStr">
        <is>
          <t>PG_BRONZE</t>
        </is>
      </c>
      <c r="H195" s="386" t="inlineStr">
        <is>
          <t>T24CORE_CUSTOMER</t>
        </is>
      </c>
      <c r="I195" s="386" t="inlineStr">
        <is>
          <t>MA_BHXH</t>
        </is>
      </c>
      <c r="J195" s="410" t="inlineStr">
        <is>
          <t>VARCHAR2</t>
        </is>
      </c>
      <c r="K195" s="408" t="n">
        <v>100</v>
      </c>
      <c r="L195" s="412" t="inlineStr">
        <is>
          <t>Mã bảo hiểm xã hội</t>
        </is>
      </c>
      <c r="M195" s="412">
        <f>"COMMENT ON COLUMN "&amp;G195&amp;"."&amp;H195&amp;"."&amp;I195&amp;" IS '"&amp;L195&amp;"';"</f>
        <v/>
      </c>
      <c r="N195" s="414" t="inlineStr">
        <is>
          <t>Map 1:1 nguyên bản từ T24CORE.CUSTOMER.MA_BHXH sang PG_BRONZE.T24CORE_CUSTOMER.MA_BHXH</t>
        </is>
      </c>
    </row>
    <row r="196" ht="41.25" customHeight="1" s="335">
      <c r="A196" s="386" t="inlineStr">
        <is>
          <t>T24CORE</t>
        </is>
      </c>
      <c r="B196" s="386" t="inlineStr">
        <is>
          <t>CUSTOMER</t>
        </is>
      </c>
      <c r="C196" s="386" t="inlineStr">
        <is>
          <t>MB_CR_STT</t>
        </is>
      </c>
      <c r="D196" s="385" t="inlineStr">
        <is>
          <t>1:1</t>
        </is>
      </c>
      <c r="E196" s="412" t="inlineStr">
        <is>
          <t>Customer / Individual / Organization Profile / SAOKE_TINDUNG</t>
        </is>
      </c>
      <c r="F196" s="412" t="inlineStr">
        <is>
          <t>Mb Cr Stt</t>
        </is>
      </c>
      <c r="G196" s="385" t="inlineStr">
        <is>
          <t>PG_BRONZE</t>
        </is>
      </c>
      <c r="H196" s="386" t="inlineStr">
        <is>
          <t>T24CORE_CUSTOMER</t>
        </is>
      </c>
      <c r="I196" s="386" t="inlineStr">
        <is>
          <t>MB_CR_STT</t>
        </is>
      </c>
      <c r="J196" s="410" t="inlineStr">
        <is>
          <t>VARCHAR2</t>
        </is>
      </c>
      <c r="K196" s="408" t="n">
        <v>100</v>
      </c>
      <c r="L196" s="412" t="inlineStr">
        <is>
          <t>Trạng thái quan hệ tín dụng của khách hàng tại ngân hàng</t>
        </is>
      </c>
      <c r="M196" s="412">
        <f>"COMMENT ON COLUMN "&amp;G196&amp;"."&amp;H196&amp;"."&amp;I196&amp;" IS '"&amp;L196&amp;"';"</f>
        <v/>
      </c>
      <c r="N196" s="414" t="inlineStr">
        <is>
          <t>Map 1:1 nguyên bản từ T24CORE.CUSTOMER.MB_CR_STT sang PG_BRONZE.T24CORE_CUSTOMER.MB_CR_STT</t>
        </is>
      </c>
    </row>
    <row r="197" ht="41.25" customHeight="1" s="335">
      <c r="A197" s="386" t="inlineStr">
        <is>
          <t>T24CORE</t>
        </is>
      </c>
      <c r="B197" s="386" t="inlineStr">
        <is>
          <t>CUSTOMER</t>
        </is>
      </c>
      <c r="C197" s="386" t="inlineStr">
        <is>
          <t>MB_INDUSTRY</t>
        </is>
      </c>
      <c r="D197" s="385" t="inlineStr">
        <is>
          <t>1:1</t>
        </is>
      </c>
      <c r="E197" s="412" t="inlineStr">
        <is>
          <t>Individual Profile / Organization Profile</t>
        </is>
      </c>
      <c r="F197" s="412" t="inlineStr">
        <is>
          <t>Industry LV2 Classification Code</t>
        </is>
      </c>
      <c r="G197" s="385" t="inlineStr">
        <is>
          <t>PG_BRONZE</t>
        </is>
      </c>
      <c r="H197" s="386" t="inlineStr">
        <is>
          <t>T24CORE_CUSTOMER</t>
        </is>
      </c>
      <c r="I197" s="386" t="inlineStr">
        <is>
          <t>MB_INDUSTRY</t>
        </is>
      </c>
      <c r="J197" s="410" t="inlineStr">
        <is>
          <t>VARCHAR2</t>
        </is>
      </c>
      <c r="K197" s="408" t="n">
        <v>100</v>
      </c>
      <c r="L197" s="412" t="inlineStr">
        <is>
          <t>Ngành nghề kinh tế</t>
        </is>
      </c>
      <c r="M197" s="412">
        <f>"COMMENT ON COLUMN "&amp;G197&amp;"."&amp;H197&amp;"."&amp;I197&amp;" IS '"&amp;L197&amp;"';"</f>
        <v/>
      </c>
      <c r="N197" s="414" t="inlineStr">
        <is>
          <t>Map 1:1 nguyên bản từ T24CORE.CUSTOMER.MB_INDUSTRY sang PG_BRONZE.T24CORE_CUSTOMER.MB_INDUSTRY</t>
        </is>
      </c>
    </row>
    <row r="198" ht="41.25" customHeight="1" s="335">
      <c r="A198" s="386" t="inlineStr">
        <is>
          <t>T24CORE</t>
        </is>
      </c>
      <c r="B198" s="386" t="inlineStr">
        <is>
          <t>CUSTOMER</t>
        </is>
      </c>
      <c r="C198" s="386" t="inlineStr">
        <is>
          <t>MB_RM_BANCHEO</t>
        </is>
      </c>
      <c r="D198" s="385" t="inlineStr">
        <is>
          <t>1:1</t>
        </is>
      </c>
      <c r="E198" s="412" t="inlineStr">
        <is>
          <t>Customer / Individual / Organization Profile / SAOKE_TINDUNG</t>
        </is>
      </c>
      <c r="F198" s="412" t="inlineStr">
        <is>
          <t>Mb Rm Bancheo</t>
        </is>
      </c>
      <c r="G198" s="385" t="inlineStr">
        <is>
          <t>PG_BRONZE</t>
        </is>
      </c>
      <c r="H198" s="386" t="inlineStr">
        <is>
          <t>T24CORE_CUSTOMER</t>
        </is>
      </c>
      <c r="I198" s="386" t="inlineStr">
        <is>
          <t>MB_RM_BANCHEO</t>
        </is>
      </c>
      <c r="J198" s="410" t="inlineStr">
        <is>
          <t>VARCHAR2</t>
        </is>
      </c>
      <c r="K198" s="408" t="n">
        <v>100</v>
      </c>
      <c r="L198" s="412" t="inlineStr">
        <is>
          <t>Mã nhân sự bán chéo sản phẩm</t>
        </is>
      </c>
      <c r="M198" s="412">
        <f>"COMMENT ON COLUMN "&amp;G198&amp;"."&amp;H198&amp;"."&amp;I198&amp;" IS '"&amp;L198&amp;"';"</f>
        <v/>
      </c>
      <c r="N198" s="414" t="inlineStr">
        <is>
          <t>Map 1:1 nguyên bản từ T24CORE.CUSTOMER.MB_RM_BANCHEO sang PG_BRONZE.T24CORE_CUSTOMER.MB_RM_BANCHEO</t>
        </is>
      </c>
    </row>
    <row r="199" ht="41.25" customHeight="1" s="335">
      <c r="A199" s="386" t="inlineStr">
        <is>
          <t>T24CORE</t>
        </is>
      </c>
      <c r="B199" s="386" t="inlineStr">
        <is>
          <t>CUSTOMER</t>
        </is>
      </c>
      <c r="C199" s="386" t="inlineStr">
        <is>
          <t>MOBILE_BANKING_SERVICE</t>
        </is>
      </c>
      <c r="D199" s="385" t="inlineStr">
        <is>
          <t>1:1</t>
        </is>
      </c>
      <c r="E199" s="412" t="inlineStr">
        <is>
          <t>Individual Profile / Organization Profile</t>
        </is>
      </c>
      <c r="F199" s="412" t="inlineStr">
        <is>
          <t>Mobile Banking Flag</t>
        </is>
      </c>
      <c r="G199" s="385" t="inlineStr">
        <is>
          <t>PG_BRONZE</t>
        </is>
      </c>
      <c r="H199" s="386" t="inlineStr">
        <is>
          <t>T24CORE_CUSTOMER</t>
        </is>
      </c>
      <c r="I199" s="386" t="inlineStr">
        <is>
          <t>MOBILE_BANKING_SERVICE</t>
        </is>
      </c>
      <c r="J199" s="410" t="inlineStr">
        <is>
          <t>VARCHAR2</t>
        </is>
      </c>
      <c r="K199" s="408" t="n">
        <v>100</v>
      </c>
      <c r="L199" s="412" t="inlineStr">
        <is>
          <t>Dịch vụ sử dụng sản phẩm mobile banking</t>
        </is>
      </c>
      <c r="M199" s="412">
        <f>"COMMENT ON COLUMN "&amp;G199&amp;"."&amp;H199&amp;"."&amp;I199&amp;" IS '"&amp;L199&amp;"';"</f>
        <v/>
      </c>
      <c r="N199" s="414" t="inlineStr">
        <is>
          <t>Map 1:1 nguyên bản từ T24CORE.CUSTOMER.MOBILE_BANKING_SERVICE sang PG_BRONZE.T24CORE_CUSTOMER.MOBILE_BANKING_SERVICE</t>
        </is>
      </c>
    </row>
    <row r="200" ht="41.25" customHeight="1" s="335">
      <c r="A200" s="386" t="inlineStr">
        <is>
          <t>T24CORE</t>
        </is>
      </c>
      <c r="B200" s="386" t="inlineStr">
        <is>
          <t>CUSTOMER</t>
        </is>
      </c>
      <c r="C200" s="386" t="inlineStr">
        <is>
          <t>MOBILE_NUMBER</t>
        </is>
      </c>
      <c r="D200" s="385" t="inlineStr">
        <is>
          <t>1:1</t>
        </is>
      </c>
      <c r="E200" s="412" t="inlineStr">
        <is>
          <t>Involved Party Electronic Address</t>
        </is>
      </c>
      <c r="F200" s="412" t="inlineStr">
        <is>
          <t>Electronic Address Value</t>
        </is>
      </c>
      <c r="G200" s="385" t="inlineStr">
        <is>
          <t>PG_BRONZE</t>
        </is>
      </c>
      <c r="H200" s="386" t="inlineStr">
        <is>
          <t>T24CORE_CUSTOMER</t>
        </is>
      </c>
      <c r="I200" s="386" t="inlineStr">
        <is>
          <t>MOBILE_NUMBER</t>
        </is>
      </c>
      <c r="J200" s="410" t="inlineStr">
        <is>
          <t>VARCHAR2</t>
        </is>
      </c>
      <c r="K200" s="408" t="n">
        <v>100</v>
      </c>
      <c r="L200" s="412" t="inlineStr">
        <is>
          <t>Số điện thoại di động</t>
        </is>
      </c>
      <c r="M200" s="412">
        <f>"COMMENT ON COLUMN "&amp;G200&amp;"."&amp;H200&amp;"."&amp;I200&amp;" IS '"&amp;L200&amp;"';"</f>
        <v/>
      </c>
      <c r="N200" s="414" t="inlineStr">
        <is>
          <t>Map 1:1 nguyên bản từ T24CORE.CUSTOMER.MOBILE_NUMBER sang PG_BRONZE.T24CORE_CUSTOMER.MOBILE_NUMBER</t>
        </is>
      </c>
    </row>
    <row r="201" ht="27" customHeight="1" s="335">
      <c r="A201" s="386" t="inlineStr">
        <is>
          <t>T24CORE</t>
        </is>
      </c>
      <c r="B201" s="386" t="inlineStr">
        <is>
          <t>CUSTOMER</t>
        </is>
      </c>
      <c r="C201" s="386" t="inlineStr">
        <is>
          <t>NATIONALITY</t>
        </is>
      </c>
      <c r="D201" s="385" t="inlineStr">
        <is>
          <t>1:1</t>
        </is>
      </c>
      <c r="E201" s="412" t="inlineStr">
        <is>
          <t>Individual Profile</t>
        </is>
      </c>
      <c r="F201" s="412" t="inlineStr">
        <is>
          <t>Country Of Citizenship Code</t>
        </is>
      </c>
      <c r="G201" s="385" t="inlineStr">
        <is>
          <t>PG_BRONZE</t>
        </is>
      </c>
      <c r="H201" s="386" t="inlineStr">
        <is>
          <t>T24CORE_CUSTOMER</t>
        </is>
      </c>
      <c r="I201" s="386" t="inlineStr">
        <is>
          <t>NATIONALITY</t>
        </is>
      </c>
      <c r="J201" s="410" t="inlineStr">
        <is>
          <t>VARCHAR2</t>
        </is>
      </c>
      <c r="K201" s="408" t="n">
        <v>100</v>
      </c>
      <c r="L201" s="412" t="inlineStr">
        <is>
          <t>Quốc tịch</t>
        </is>
      </c>
      <c r="M201" s="412">
        <f>"COMMENT ON COLUMN "&amp;G201&amp;"."&amp;H201&amp;"."&amp;I201&amp;" IS '"&amp;L201&amp;"';"</f>
        <v/>
      </c>
      <c r="N201" s="414" t="inlineStr">
        <is>
          <t>Map 1:1 nguyên bản từ T24CORE.CUSTOMER.NATIONALITY sang PG_BRONZE.T24CORE_CUSTOMER.NATIONALITY</t>
        </is>
      </c>
    </row>
    <row r="202" ht="41.25" customHeight="1" s="335">
      <c r="A202" s="386" t="inlineStr">
        <is>
          <t>T24CORE</t>
        </is>
      </c>
      <c r="B202" s="386" t="inlineStr">
        <is>
          <t>CUSTOMER</t>
        </is>
      </c>
      <c r="C202" s="386" t="inlineStr">
        <is>
          <t>NATIONAL_ID</t>
        </is>
      </c>
      <c r="D202" s="385" t="inlineStr">
        <is>
          <t>1:1</t>
        </is>
      </c>
      <c r="E202" s="412" t="inlineStr">
        <is>
          <t>Involved Party Alternative Identification</t>
        </is>
      </c>
      <c r="F202" s="412" t="inlineStr">
        <is>
          <t>Identification Number</t>
        </is>
      </c>
      <c r="G202" s="385" t="inlineStr">
        <is>
          <t>PG_BRONZE</t>
        </is>
      </c>
      <c r="H202" s="386" t="inlineStr">
        <is>
          <t>T24CORE_CUSTOMER</t>
        </is>
      </c>
      <c r="I202" s="386" t="inlineStr">
        <is>
          <t>NATIONAL_ID</t>
        </is>
      </c>
      <c r="J202" s="410" t="inlineStr">
        <is>
          <t>VARCHAR2</t>
        </is>
      </c>
      <c r="K202" s="408" t="n">
        <v>100</v>
      </c>
      <c r="L202" s="412" t="inlineStr">
        <is>
          <t>Số giấy tờ định danh quốc gia (CCCD/CMND)</t>
        </is>
      </c>
      <c r="M202" s="412">
        <f>"COMMENT ON COLUMN "&amp;G202&amp;"."&amp;H202&amp;"."&amp;I202&amp;" IS '"&amp;L202&amp;"';"</f>
        <v/>
      </c>
      <c r="N202" s="414" t="inlineStr">
        <is>
          <t>Map 1:1 nguyên bản từ T24CORE.CUSTOMER.NATIONAL_ID sang PG_BRONZE.T24CORE_CUSTOMER.NATIONAL_ID</t>
        </is>
      </c>
    </row>
    <row r="203" ht="41.25" customHeight="1" s="335">
      <c r="A203" s="386" t="inlineStr">
        <is>
          <t>T24CORE</t>
        </is>
      </c>
      <c r="B203" s="386" t="inlineStr">
        <is>
          <t>CUSTOMER</t>
        </is>
      </c>
      <c r="C203" s="386" t="inlineStr">
        <is>
          <t>NAT_ID_EXP_DATE</t>
        </is>
      </c>
      <c r="D203" s="385" t="inlineStr">
        <is>
          <t>1:1</t>
        </is>
      </c>
      <c r="E203" s="412" t="inlineStr">
        <is>
          <t>Involved Party Alternative Identification</t>
        </is>
      </c>
      <c r="F203" s="412" t="inlineStr">
        <is>
          <t>Expiry date</t>
        </is>
      </c>
      <c r="G203" s="385" t="inlineStr">
        <is>
          <t>PG_BRONZE</t>
        </is>
      </c>
      <c r="H203" s="386" t="inlineStr">
        <is>
          <t>T24CORE_CUSTOMER</t>
        </is>
      </c>
      <c r="I203" s="386" t="inlineStr">
        <is>
          <t>NAT_ID_EXP_DATE</t>
        </is>
      </c>
      <c r="J203" s="410" t="inlineStr">
        <is>
          <t>DATE</t>
        </is>
      </c>
      <c r="K203" s="408" t="n">
        <v>8</v>
      </c>
      <c r="L203" s="412" t="inlineStr">
        <is>
          <t>Ngày hêt hạn CC</t>
        </is>
      </c>
      <c r="M203" s="412">
        <f>"COMMENT ON COLUMN "&amp;G203&amp;"."&amp;H203&amp;"."&amp;I203&amp;" IS '"&amp;L203&amp;"';"</f>
        <v/>
      </c>
      <c r="N203" s="414" t="inlineStr">
        <is>
          <t>Map 1:1 nguyên bản từ T24CORE.CUSTOMER.NAT_ID_EXP_DATE sang PG_BRONZE.T24CORE_CUSTOMER.NAT_ID_EXP_DATE</t>
        </is>
      </c>
    </row>
    <row r="204" ht="41.25" customHeight="1" s="335">
      <c r="A204" s="386" t="inlineStr">
        <is>
          <t>T24CORE</t>
        </is>
      </c>
      <c r="B204" s="386" t="inlineStr">
        <is>
          <t>CUSTOMER</t>
        </is>
      </c>
      <c r="C204" s="386" t="inlineStr">
        <is>
          <t>NAT_ID_ISS_DATE</t>
        </is>
      </c>
      <c r="D204" s="385" t="inlineStr">
        <is>
          <t>1:1</t>
        </is>
      </c>
      <c r="E204" s="412" t="inlineStr">
        <is>
          <t>Involved Party Alternative Identification</t>
        </is>
      </c>
      <c r="F204" s="412" t="inlineStr">
        <is>
          <t>Issue Date</t>
        </is>
      </c>
      <c r="G204" s="385" t="inlineStr">
        <is>
          <t>PG_BRONZE</t>
        </is>
      </c>
      <c r="H204" s="386" t="inlineStr">
        <is>
          <t>T24CORE_CUSTOMER</t>
        </is>
      </c>
      <c r="I204" s="386" t="inlineStr">
        <is>
          <t>NAT_ID_ISS_DATE</t>
        </is>
      </c>
      <c r="J204" s="410" t="inlineStr">
        <is>
          <t>DATE</t>
        </is>
      </c>
      <c r="K204" s="408" t="n">
        <v>8</v>
      </c>
      <c r="L204" s="412" t="inlineStr">
        <is>
          <t>Ngày cấp Căn cước</t>
        </is>
      </c>
      <c r="M204" s="412">
        <f>"COMMENT ON COLUMN "&amp;G204&amp;"."&amp;H204&amp;"."&amp;I204&amp;" IS '"&amp;L204&amp;"';"</f>
        <v/>
      </c>
      <c r="N204" s="414" t="inlineStr">
        <is>
          <t>Map 1:1 nguyên bản từ T24CORE.CUSTOMER.NAT_ID_ISS_DATE sang PG_BRONZE.T24CORE_CUSTOMER.NAT_ID_ISS_DATE</t>
        </is>
      </c>
    </row>
    <row r="205" ht="41.25" customHeight="1" s="335">
      <c r="A205" s="386" t="inlineStr">
        <is>
          <t>T24CORE</t>
        </is>
      </c>
      <c r="B205" s="386" t="inlineStr">
        <is>
          <t>CUSTOMER</t>
        </is>
      </c>
      <c r="C205" s="386" t="inlineStr">
        <is>
          <t>NAT_ID_ISS_PLC</t>
        </is>
      </c>
      <c r="D205" s="385" t="inlineStr">
        <is>
          <t>1:1</t>
        </is>
      </c>
      <c r="E205" s="412" t="inlineStr">
        <is>
          <t>Involved Party Alternative Identification</t>
        </is>
      </c>
      <c r="F205" s="412" t="inlineStr">
        <is>
          <t>Issue Place Code</t>
        </is>
      </c>
      <c r="G205" s="385" t="inlineStr">
        <is>
          <t>PG_BRONZE</t>
        </is>
      </c>
      <c r="H205" s="386" t="inlineStr">
        <is>
          <t>T24CORE_CUSTOMER</t>
        </is>
      </c>
      <c r="I205" s="386" t="inlineStr">
        <is>
          <t>NAT_ID_ISS_PLC</t>
        </is>
      </c>
      <c r="J205" s="410" t="inlineStr">
        <is>
          <t>VARCHAR2</t>
        </is>
      </c>
      <c r="K205" s="408" t="n">
        <v>100</v>
      </c>
      <c r="L205" s="412" t="inlineStr">
        <is>
          <t>Nơi cấp Căn cước</t>
        </is>
      </c>
      <c r="M205" s="412">
        <f>"COMMENT ON COLUMN "&amp;G205&amp;"."&amp;H205&amp;"."&amp;I205&amp;" IS '"&amp;L205&amp;"';"</f>
        <v/>
      </c>
      <c r="N205" s="414" t="inlineStr">
        <is>
          <t>Map 1:1 nguyên bản từ T24CORE.CUSTOMER.NAT_ID_ISS_PLC sang PG_BRONZE.T24CORE_CUSTOMER.NAT_ID_ISS_PLC</t>
        </is>
      </c>
    </row>
    <row r="206" ht="27" customHeight="1" s="335">
      <c r="A206" s="386" t="inlineStr">
        <is>
          <t>T24CORE</t>
        </is>
      </c>
      <c r="B206" s="386" t="inlineStr">
        <is>
          <t>CUSTOMER</t>
        </is>
      </c>
      <c r="C206" s="386" t="inlineStr">
        <is>
          <t>NAT_ID_TYPE</t>
        </is>
      </c>
      <c r="D206" s="385" t="inlineStr">
        <is>
          <t>1:1</t>
        </is>
      </c>
      <c r="E206" s="412" t="inlineStr">
        <is>
          <t>Involved Party Alternative Identification</t>
        </is>
      </c>
      <c r="F206" s="412" t="inlineStr">
        <is>
          <t>Identification Type Code</t>
        </is>
      </c>
      <c r="G206" s="385" t="inlineStr">
        <is>
          <t>PG_BRONZE</t>
        </is>
      </c>
      <c r="H206" s="386" t="inlineStr">
        <is>
          <t>T24CORE_CUSTOMER</t>
        </is>
      </c>
      <c r="I206" s="386" t="inlineStr">
        <is>
          <t>NAT_ID_TYPE</t>
        </is>
      </c>
      <c r="J206" s="410" t="inlineStr">
        <is>
          <t>VARCHAR2</t>
        </is>
      </c>
      <c r="K206" s="408" t="n">
        <v>100</v>
      </c>
      <c r="L206" s="412" t="inlineStr">
        <is>
          <t>Loại căn cước</t>
        </is>
      </c>
      <c r="M206" s="412">
        <f>"COMMENT ON COLUMN "&amp;G206&amp;"."&amp;H206&amp;"."&amp;I206&amp;" IS '"&amp;L206&amp;"';"</f>
        <v/>
      </c>
      <c r="N206" s="414" t="inlineStr">
        <is>
          <t>Map 1:1 nguyên bản từ T24CORE.CUSTOMER.NAT_ID_TYPE sang PG_BRONZE.T24CORE_CUSTOMER.NAT_ID_TYPE</t>
        </is>
      </c>
    </row>
    <row r="207" ht="41.25" customHeight="1" s="335">
      <c r="A207" s="386" t="inlineStr">
        <is>
          <t>T24CORE</t>
        </is>
      </c>
      <c r="B207" s="386" t="inlineStr">
        <is>
          <t>CUSTOMER</t>
        </is>
      </c>
      <c r="C207" s="386" t="inlineStr">
        <is>
          <t>NET_MONTHLY_IN</t>
        </is>
      </c>
      <c r="D207" s="385" t="inlineStr">
        <is>
          <t>1:1</t>
        </is>
      </c>
      <c r="E207" s="412" t="inlineStr">
        <is>
          <t>Individual Employment Status</t>
        </is>
      </c>
      <c r="F207" s="412" t="inlineStr">
        <is>
          <t>Annual Income</t>
        </is>
      </c>
      <c r="G207" s="385" t="inlineStr">
        <is>
          <t>PG_BRONZE</t>
        </is>
      </c>
      <c r="H207" s="386" t="inlineStr">
        <is>
          <t>T24CORE_CUSTOMER</t>
        </is>
      </c>
      <c r="I207" s="386" t="inlineStr">
        <is>
          <t>NET_MONTHLY_IN</t>
        </is>
      </c>
      <c r="J207" s="410" t="inlineStr">
        <is>
          <t>NUMBER</t>
        </is>
      </c>
      <c r="K207" s="408" t="n">
        <v>25.5</v>
      </c>
      <c r="L207" s="412" t="inlineStr">
        <is>
          <t>Thu nhập theo tháng</t>
        </is>
      </c>
      <c r="M207" s="412">
        <f>"COMMENT ON COLUMN "&amp;G207&amp;"."&amp;H207&amp;"."&amp;I207&amp;" IS '"&amp;L207&amp;"';"</f>
        <v/>
      </c>
      <c r="N207" s="414" t="inlineStr">
        <is>
          <t>Map 1:1 nguyên bản từ T24CORE.CUSTOMER.NET_MONTHLY_IN sang PG_BRONZE.T24CORE_CUSTOMER.NET_MONTHLY_IN</t>
        </is>
      </c>
    </row>
    <row r="208" ht="27" customHeight="1" s="335">
      <c r="A208" s="386" t="inlineStr">
        <is>
          <t>T24CORE</t>
        </is>
      </c>
      <c r="B208" s="386" t="inlineStr">
        <is>
          <t>CUSTOMER</t>
        </is>
      </c>
      <c r="C208" s="386" t="inlineStr">
        <is>
          <t>NO_LIEN_DOI</t>
        </is>
      </c>
      <c r="D208" s="385" t="inlineStr">
        <is>
          <t>1:1</t>
        </is>
      </c>
      <c r="E208" s="412" t="inlineStr">
        <is>
          <t>Individual Profile / Organization Profile</t>
        </is>
      </c>
      <c r="F208" s="412" t="inlineStr">
        <is>
          <t>Joint liability Flag</t>
        </is>
      </c>
      <c r="G208" s="385" t="inlineStr">
        <is>
          <t>PG_BRONZE</t>
        </is>
      </c>
      <c r="H208" s="386" t="inlineStr">
        <is>
          <t>T24CORE_CUSTOMER</t>
        </is>
      </c>
      <c r="I208" s="386" t="inlineStr">
        <is>
          <t>NO_LIEN_DOI</t>
        </is>
      </c>
      <c r="J208" s="410" t="inlineStr">
        <is>
          <t>VARCHAR2</t>
        </is>
      </c>
      <c r="K208" s="408" t="n">
        <v>100</v>
      </c>
      <c r="L208" s="412" t="inlineStr">
        <is>
          <t>Nợ liên đới</t>
        </is>
      </c>
      <c r="M208" s="412">
        <f>"COMMENT ON COLUMN "&amp;G208&amp;"."&amp;H208&amp;"."&amp;I208&amp;" IS '"&amp;L208&amp;"';"</f>
        <v/>
      </c>
      <c r="N208" s="414" t="inlineStr">
        <is>
          <t>Map 1:1 nguyên bản từ T24CORE.CUSTOMER.NO_LIEN_DOI sang PG_BRONZE.T24CORE_CUSTOMER.NO_LIEN_DOI</t>
        </is>
      </c>
    </row>
    <row r="209" ht="41.25" customHeight="1" s="335">
      <c r="A209" s="386" t="inlineStr">
        <is>
          <t>T24CORE</t>
        </is>
      </c>
      <c r="B209" s="386" t="inlineStr">
        <is>
          <t>CUSTOMER</t>
        </is>
      </c>
      <c r="C209" s="386" t="inlineStr">
        <is>
          <t>OCCUPATION</t>
        </is>
      </c>
      <c r="D209" s="385" t="inlineStr">
        <is>
          <t>1:1</t>
        </is>
      </c>
      <c r="E209" s="412" t="inlineStr">
        <is>
          <t>Individual Employment Status</t>
        </is>
      </c>
      <c r="F209" s="412" t="inlineStr">
        <is>
          <t>Occupation Code</t>
        </is>
      </c>
      <c r="G209" s="385" t="inlineStr">
        <is>
          <t>PG_BRONZE</t>
        </is>
      </c>
      <c r="H209" s="386" t="inlineStr">
        <is>
          <t>T24CORE_CUSTOMER</t>
        </is>
      </c>
      <c r="I209" s="386" t="inlineStr">
        <is>
          <t>OCCUPATION</t>
        </is>
      </c>
      <c r="J209" s="410" t="inlineStr">
        <is>
          <t>VARCHAR2</t>
        </is>
      </c>
      <c r="K209" s="408" t="n">
        <v>100</v>
      </c>
      <c r="L209" s="412" t="inlineStr">
        <is>
          <t>Nghề nghiệp của khách hàng</t>
        </is>
      </c>
      <c r="M209" s="412">
        <f>"COMMENT ON COLUMN "&amp;G209&amp;"."&amp;H209&amp;"."&amp;I209&amp;" IS '"&amp;L209&amp;"';"</f>
        <v/>
      </c>
      <c r="N209" s="414" t="inlineStr">
        <is>
          <t>Map 1:1 nguyên bản từ T24CORE.CUSTOMER.OCCUPATION sang PG_BRONZE.T24CORE_CUSTOMER.OCCUPATION</t>
        </is>
      </c>
    </row>
    <row r="210" ht="41.25" customHeight="1" s="335">
      <c r="A210" s="386" t="inlineStr">
        <is>
          <t>T24CORE</t>
        </is>
      </c>
      <c r="B210" s="386" t="inlineStr">
        <is>
          <t>CUSTOMER</t>
        </is>
      </c>
      <c r="C210" s="386" t="inlineStr">
        <is>
          <t>OPEN_COMPANY</t>
        </is>
      </c>
      <c r="D210" s="385" t="inlineStr">
        <is>
          <t>1:1</t>
        </is>
      </c>
      <c r="E210" s="412" t="inlineStr">
        <is>
          <t>Customer</t>
        </is>
      </c>
      <c r="F210" s="412" t="inlineStr">
        <is>
          <t>First Organization Unit Code</t>
        </is>
      </c>
      <c r="G210" s="385" t="inlineStr">
        <is>
          <t>PG_BRONZE</t>
        </is>
      </c>
      <c r="H210" s="386" t="inlineStr">
        <is>
          <t>T24CORE_CUSTOMER</t>
        </is>
      </c>
      <c r="I210" s="386" t="inlineStr">
        <is>
          <t>OPEN_COMPANY</t>
        </is>
      </c>
      <c r="J210" s="410" t="inlineStr">
        <is>
          <t>VARCHAR2</t>
        </is>
      </c>
      <c r="K210" s="408" t="n">
        <v>100</v>
      </c>
      <c r="L210" s="412" t="inlineStr">
        <is>
          <t>Chi nhánh mở</t>
        </is>
      </c>
      <c r="M210" s="412">
        <f>"COMMENT ON COLUMN "&amp;G210&amp;"."&amp;H210&amp;"."&amp;I210&amp;" IS '"&amp;L210&amp;"';"</f>
        <v/>
      </c>
      <c r="N210" s="414" t="inlineStr">
        <is>
          <t>Map 1:1 nguyên bản từ T24CORE.CUSTOMER.OPEN_COMPANY sang PG_BRONZE.T24CORE_CUSTOMER.OPEN_COMPANY</t>
        </is>
      </c>
    </row>
    <row r="211" ht="41.25" customHeight="1" s="335">
      <c r="A211" s="386" t="inlineStr">
        <is>
          <t>T24CORE</t>
        </is>
      </c>
      <c r="B211" s="386" t="inlineStr">
        <is>
          <t>CUSTOMER</t>
        </is>
      </c>
      <c r="C211" s="386" t="inlineStr">
        <is>
          <t>PHONE_CONT_PER</t>
        </is>
      </c>
      <c r="D211" s="385" t="inlineStr">
        <is>
          <t>1:1</t>
        </is>
      </c>
      <c r="E211" s="412" t="inlineStr">
        <is>
          <t>Involved Party Electronic Address</t>
        </is>
      </c>
      <c r="F211" s="412" t="inlineStr">
        <is>
          <t>Electronic Address Value</t>
        </is>
      </c>
      <c r="G211" s="385" t="inlineStr">
        <is>
          <t>PG_BRONZE</t>
        </is>
      </c>
      <c r="H211" s="386" t="inlineStr">
        <is>
          <t>T24CORE_CUSTOMER</t>
        </is>
      </c>
      <c r="I211" s="386" t="inlineStr">
        <is>
          <t>PHONE_CONT_PER</t>
        </is>
      </c>
      <c r="J211" s="410" t="inlineStr">
        <is>
          <t>VARCHAR2</t>
        </is>
      </c>
      <c r="K211" s="408" t="n">
        <v>100</v>
      </c>
      <c r="L211" s="412" t="inlineStr">
        <is>
          <t>Số điện thoại của người liên hệ chính - KH tổ chức</t>
        </is>
      </c>
      <c r="M211" s="412">
        <f>"COMMENT ON COLUMN "&amp;G211&amp;"."&amp;H211&amp;"."&amp;I211&amp;" IS '"&amp;L211&amp;"';"</f>
        <v/>
      </c>
      <c r="N211" s="414" t="inlineStr">
        <is>
          <t>Map 1:1 nguyên bản từ T24CORE.CUSTOMER.PHONE_CONT_PER sang PG_BRONZE.T24CORE_CUSTOMER.PHONE_CONT_PER</t>
        </is>
      </c>
    </row>
    <row r="212" ht="27" customHeight="1" s="335">
      <c r="A212" s="386" t="inlineStr">
        <is>
          <t>T24CORE</t>
        </is>
      </c>
      <c r="B212" s="386" t="inlineStr">
        <is>
          <t>CUSTOMER</t>
        </is>
      </c>
      <c r="C212" s="386" t="inlineStr">
        <is>
          <t>RECID</t>
        </is>
      </c>
      <c r="D212" s="385" t="inlineStr">
        <is>
          <t>1:1</t>
        </is>
      </c>
      <c r="E212" s="412" t="inlineStr">
        <is>
          <t>Customer</t>
        </is>
      </c>
      <c r="F212" s="412" t="inlineStr">
        <is>
          <t>Customer Code</t>
        </is>
      </c>
      <c r="G212" s="385" t="inlineStr">
        <is>
          <t>PG_BRONZE</t>
        </is>
      </c>
      <c r="H212" s="386" t="inlineStr">
        <is>
          <t>T24CORE_CUSTOMER</t>
        </is>
      </c>
      <c r="I212" s="386" t="inlineStr">
        <is>
          <t>RECID</t>
        </is>
      </c>
      <c r="J212" s="410" t="inlineStr">
        <is>
          <t>VARCHAR2</t>
        </is>
      </c>
      <c r="K212" s="408" t="n">
        <v>100</v>
      </c>
      <c r="L212" s="412" t="inlineStr">
        <is>
          <t>Mã CIF</t>
        </is>
      </c>
      <c r="M212" s="412">
        <f>"COMMENT ON COLUMN "&amp;G212&amp;"."&amp;H212&amp;"."&amp;I212&amp;" IS '"&amp;L212&amp;"';"</f>
        <v/>
      </c>
      <c r="N212" s="414" t="inlineStr">
        <is>
          <t>Map 1:1 nguyên bản từ T24CORE.CUSTOMER.RECID sang PG_BRONZE.T24CORE_CUSTOMER.RECID</t>
        </is>
      </c>
    </row>
    <row r="213" ht="41.25" customHeight="1" s="335">
      <c r="A213" s="386" t="inlineStr">
        <is>
          <t>T24CORE</t>
        </is>
      </c>
      <c r="B213" s="386" t="inlineStr">
        <is>
          <t>CUSTOMER</t>
        </is>
      </c>
      <c r="C213" s="386" t="inlineStr">
        <is>
          <t>REFERRED_BY</t>
        </is>
      </c>
      <c r="D213" s="385" t="inlineStr">
        <is>
          <t>1:1</t>
        </is>
      </c>
      <c r="E213" s="412" t="inlineStr">
        <is>
          <t>Customer</t>
        </is>
      </c>
      <c r="F213" s="412" t="inlineStr">
        <is>
          <t>Reference Code</t>
        </is>
      </c>
      <c r="G213" s="385" t="inlineStr">
        <is>
          <t>PG_BRONZE</t>
        </is>
      </c>
      <c r="H213" s="386" t="inlineStr">
        <is>
          <t>T24CORE_CUSTOMER</t>
        </is>
      </c>
      <c r="I213" s="386" t="inlineStr">
        <is>
          <t>REFERRED_BY</t>
        </is>
      </c>
      <c r="J213" s="410" t="inlineStr">
        <is>
          <t>VARCHAR2</t>
        </is>
      </c>
      <c r="K213" s="408" t="n">
        <v>100</v>
      </c>
      <c r="L213" s="412" t="inlineStr">
        <is>
          <t>Mã người tham chiếu/giới thiệu</t>
        </is>
      </c>
      <c r="M213" s="412">
        <f>"COMMENT ON COLUMN "&amp;G213&amp;"."&amp;H213&amp;"."&amp;I213&amp;" IS '"&amp;L213&amp;"';"</f>
        <v/>
      </c>
      <c r="N213" s="414" t="inlineStr">
        <is>
          <t>Map 1:1 nguyên bản từ T24CORE.CUSTOMER.REFERRED_BY sang PG_BRONZE.T24CORE_CUSTOMER.REFERRED_BY</t>
        </is>
      </c>
    </row>
    <row r="214" ht="27" customHeight="1" s="335">
      <c r="A214" s="386" t="inlineStr">
        <is>
          <t>T24CORE</t>
        </is>
      </c>
      <c r="B214" s="386" t="inlineStr">
        <is>
          <t>CUSTOMER</t>
        </is>
      </c>
      <c r="C214" s="386" t="inlineStr">
        <is>
          <t>RESIDENCE</t>
        </is>
      </c>
      <c r="D214" s="385" t="inlineStr">
        <is>
          <t>1:1</t>
        </is>
      </c>
      <c r="E214" s="412" t="inlineStr">
        <is>
          <t>Involved Party Postal Address</t>
        </is>
      </c>
      <c r="F214" s="412" t="inlineStr">
        <is>
          <t>Country Name</t>
        </is>
      </c>
      <c r="G214" s="385" t="inlineStr">
        <is>
          <t>PG_BRONZE</t>
        </is>
      </c>
      <c r="H214" s="386" t="inlineStr">
        <is>
          <t>T24CORE_CUSTOMER</t>
        </is>
      </c>
      <c r="I214" s="386" t="inlineStr">
        <is>
          <t>RESIDENCE</t>
        </is>
      </c>
      <c r="J214" s="410" t="inlineStr">
        <is>
          <t>VARCHAR2</t>
        </is>
      </c>
      <c r="K214" s="408" t="n">
        <v>100</v>
      </c>
      <c r="L214" s="412" t="inlineStr">
        <is>
          <t>Quốc gia cư trú</t>
        </is>
      </c>
      <c r="M214" s="412">
        <f>"COMMENT ON COLUMN "&amp;G214&amp;"."&amp;H214&amp;"."&amp;I214&amp;" IS '"&amp;L214&amp;"';"</f>
        <v/>
      </c>
      <c r="N214" s="414" t="inlineStr">
        <is>
          <t>Map 1:1 nguyên bản từ T24CORE.CUSTOMER.RESIDENCE sang PG_BRONZE.T24CORE_CUSTOMER.RESIDENCE</t>
        </is>
      </c>
    </row>
    <row r="215" ht="41.25" customHeight="1" s="335">
      <c r="A215" s="386" t="inlineStr">
        <is>
          <t>T24CORE</t>
        </is>
      </c>
      <c r="B215" s="386" t="inlineStr">
        <is>
          <t>CUSTOMER</t>
        </is>
      </c>
      <c r="C215" s="386" t="inlineStr">
        <is>
          <t>RESID_PROVINCE</t>
        </is>
      </c>
      <c r="D215" s="385" t="inlineStr">
        <is>
          <t>1:1</t>
        </is>
      </c>
      <c r="E215" s="412" t="inlineStr">
        <is>
          <t>Involved Party Postal Address</t>
        </is>
      </c>
      <c r="F215" s="412" t="inlineStr">
        <is>
          <t>City Name</t>
        </is>
      </c>
      <c r="G215" s="385" t="inlineStr">
        <is>
          <t>PG_BRONZE</t>
        </is>
      </c>
      <c r="H215" s="386" t="inlineStr">
        <is>
          <t>T24CORE_CUSTOMER</t>
        </is>
      </c>
      <c r="I215" s="386" t="inlineStr">
        <is>
          <t>RESID_PROVINCE</t>
        </is>
      </c>
      <c r="J215" s="410" t="inlineStr">
        <is>
          <t>VARCHAR2</t>
        </is>
      </c>
      <c r="K215" s="408" t="n">
        <v>100</v>
      </c>
      <c r="L215" s="412" t="inlineStr">
        <is>
          <t>Tỉnh/thành phố nơi cư trú</t>
        </is>
      </c>
      <c r="M215" s="412">
        <f>"COMMENT ON COLUMN "&amp;G215&amp;"."&amp;H215&amp;"."&amp;I215&amp;" IS '"&amp;L215&amp;"';"</f>
        <v/>
      </c>
      <c r="N215" s="414" t="inlineStr">
        <is>
          <t>Map 1:1 nguyên bản từ T24CORE.CUSTOMER.RESID_PROVINCE sang PG_BRONZE.T24CORE_CUSTOMER.RESID_PROVINCE</t>
        </is>
      </c>
    </row>
    <row r="216" ht="41.25" customHeight="1" s="335">
      <c r="A216" s="386" t="inlineStr">
        <is>
          <t>T24CORE</t>
        </is>
      </c>
      <c r="B216" s="386" t="inlineStr">
        <is>
          <t>CUSTOMER</t>
        </is>
      </c>
      <c r="C216" s="386" t="inlineStr">
        <is>
          <t>SECOND_OFFICER</t>
        </is>
      </c>
      <c r="D216" s="385" t="inlineStr">
        <is>
          <t>1:1</t>
        </is>
      </c>
      <c r="E216" s="412" t="inlineStr">
        <is>
          <t>Customer</t>
        </is>
      </c>
      <c r="F216" s="412" t="inlineStr">
        <is>
          <t>Checker Officer</t>
        </is>
      </c>
      <c r="G216" s="385" t="inlineStr">
        <is>
          <t>PG_BRONZE</t>
        </is>
      </c>
      <c r="H216" s="386" t="inlineStr">
        <is>
          <t>T24CORE_CUSTOMER</t>
        </is>
      </c>
      <c r="I216" s="386" t="inlineStr">
        <is>
          <t>SECOND_OFFICER</t>
        </is>
      </c>
      <c r="J216" s="410" t="inlineStr">
        <is>
          <t>VARCHAR2</t>
        </is>
      </c>
      <c r="K216" s="408" t="n">
        <v>100</v>
      </c>
      <c r="L216" s="412" t="inlineStr">
        <is>
          <t>Mã nhân viên hạch toán thứ 2</t>
        </is>
      </c>
      <c r="M216" s="412">
        <f>"COMMENT ON COLUMN "&amp;G216&amp;"."&amp;H216&amp;"."&amp;I216&amp;" IS '"&amp;L216&amp;"';"</f>
        <v/>
      </c>
      <c r="N216" s="414" t="inlineStr">
        <is>
          <t>Map 1:1 nguyên bản từ T24CORE.CUSTOMER.SECOND_OFFICER sang PG_BRONZE.T24CORE_CUSTOMER.SECOND_OFFICER</t>
        </is>
      </c>
    </row>
    <row r="217" ht="27" customHeight="1" s="335">
      <c r="A217" s="386" t="inlineStr">
        <is>
          <t>T24CORE</t>
        </is>
      </c>
      <c r="B217" s="386" t="inlineStr">
        <is>
          <t>CUSTOMER</t>
        </is>
      </c>
      <c r="C217" s="386" t="inlineStr">
        <is>
          <t>SECTOR</t>
        </is>
      </c>
      <c r="D217" s="385" t="inlineStr">
        <is>
          <t>1:1</t>
        </is>
      </c>
      <c r="E217" s="412" t="inlineStr">
        <is>
          <t>Customer</t>
        </is>
      </c>
      <c r="F217" s="412" t="inlineStr">
        <is>
          <t>Sector Code</t>
        </is>
      </c>
      <c r="G217" s="385" t="inlineStr">
        <is>
          <t>PG_BRONZE</t>
        </is>
      </c>
      <c r="H217" s="386" t="inlineStr">
        <is>
          <t>T24CORE_CUSTOMER</t>
        </is>
      </c>
      <c r="I217" s="386" t="inlineStr">
        <is>
          <t>SECTOR</t>
        </is>
      </c>
      <c r="J217" s="410" t="inlineStr">
        <is>
          <t>VARCHAR2</t>
        </is>
      </c>
      <c r="K217" s="408" t="n">
        <v>100</v>
      </c>
      <c r="L217" s="412" t="inlineStr">
        <is>
          <t>Mã phân loại hình khách hàng</t>
        </is>
      </c>
      <c r="M217" s="412">
        <f>"COMMENT ON COLUMN "&amp;G217&amp;"."&amp;H217&amp;"."&amp;I217&amp;" IS '"&amp;L217&amp;"';"</f>
        <v/>
      </c>
      <c r="N217" s="414" t="inlineStr">
        <is>
          <t>Map 1:1 nguyên bản từ T24CORE.CUSTOMER.SECTOR sang PG_BRONZE.T24CORE_CUSTOMER.SECTOR</t>
        </is>
      </c>
    </row>
    <row r="218" ht="41.25" customHeight="1" s="335">
      <c r="A218" s="386" t="inlineStr">
        <is>
          <t>T24CORE</t>
        </is>
      </c>
      <c r="B218" s="386" t="inlineStr">
        <is>
          <t>CUSTOMER</t>
        </is>
      </c>
      <c r="C218" s="386" t="inlineStr">
        <is>
          <t>SHORT_NAME</t>
        </is>
      </c>
      <c r="D218" s="385" t="inlineStr">
        <is>
          <t>1:1</t>
        </is>
      </c>
      <c r="E218" s="412" t="inlineStr">
        <is>
          <t>Customer</t>
        </is>
      </c>
      <c r="F218" s="412" t="inlineStr">
        <is>
          <t>Short Name</t>
        </is>
      </c>
      <c r="G218" s="385" t="inlineStr">
        <is>
          <t>PG_BRONZE</t>
        </is>
      </c>
      <c r="H218" s="386" t="inlineStr">
        <is>
          <t>T24CORE_CUSTOMER</t>
        </is>
      </c>
      <c r="I218" s="386" t="inlineStr">
        <is>
          <t>SHORT_NAME</t>
        </is>
      </c>
      <c r="J218" s="410" t="inlineStr">
        <is>
          <t>VARCHAR2</t>
        </is>
      </c>
      <c r="K218" s="408" t="n">
        <v>255</v>
      </c>
      <c r="L218" s="412" t="inlineStr">
        <is>
          <t>Tên viết tắt khách hàng</t>
        </is>
      </c>
      <c r="M218" s="412">
        <f>"COMMENT ON COLUMN "&amp;G218&amp;"."&amp;H218&amp;"."&amp;I218&amp;" IS '"&amp;L218&amp;"';"</f>
        <v/>
      </c>
      <c r="N218" s="414" t="inlineStr">
        <is>
          <t>Map 1:1 nguyên bản từ T24CORE.CUSTOMER.SHORT_NAME sang PG_BRONZE.T24CORE_CUSTOMER.SHORT_NAME</t>
        </is>
      </c>
    </row>
    <row r="219" ht="27" customHeight="1" s="335">
      <c r="A219" s="386" t="inlineStr">
        <is>
          <t>T24CORE</t>
        </is>
      </c>
      <c r="B219" s="386" t="inlineStr">
        <is>
          <t>CUSTOMER</t>
        </is>
      </c>
      <c r="C219" s="386" t="inlineStr">
        <is>
          <t>STREET</t>
        </is>
      </c>
      <c r="D219" s="385" t="inlineStr">
        <is>
          <t>1:1</t>
        </is>
      </c>
      <c r="E219" s="412" t="inlineStr">
        <is>
          <t>Customer / Individual / Organization Profile / SAOKE_TINDUNG</t>
        </is>
      </c>
      <c r="F219" s="412" t="inlineStr">
        <is>
          <t>Street</t>
        </is>
      </c>
      <c r="G219" s="385" t="inlineStr">
        <is>
          <t>PG_BRONZE</t>
        </is>
      </c>
      <c r="H219" s="386" t="inlineStr">
        <is>
          <t>T24CORE_CUSTOMER</t>
        </is>
      </c>
      <c r="I219" s="386" t="inlineStr">
        <is>
          <t>STREET</t>
        </is>
      </c>
      <c r="J219" s="410" t="inlineStr">
        <is>
          <t>VARCHAR2</t>
        </is>
      </c>
      <c r="K219" s="408" t="n">
        <v>255</v>
      </c>
      <c r="L219" s="412" t="inlineStr">
        <is>
          <t>Tên đường theo địa chỉ</t>
        </is>
      </c>
      <c r="M219" s="412">
        <f>"COMMENT ON COLUMN "&amp;G219&amp;"."&amp;H219&amp;"."&amp;I219&amp;" IS '"&amp;L219&amp;"';"</f>
        <v/>
      </c>
      <c r="N219" s="414" t="inlineStr">
        <is>
          <t>Map 1:1 nguyên bản từ T24CORE.CUSTOMER.STREET sang PG_BRONZE.T24CORE_CUSTOMER.STREET</t>
        </is>
      </c>
    </row>
    <row r="220" ht="27" customHeight="1" s="335">
      <c r="A220" s="386" t="inlineStr">
        <is>
          <t>T24CORE</t>
        </is>
      </c>
      <c r="B220" s="386" t="inlineStr">
        <is>
          <t>CUSTOMER</t>
        </is>
      </c>
      <c r="C220" s="386" t="inlineStr">
        <is>
          <t>TARGET</t>
        </is>
      </c>
      <c r="D220" s="385" t="inlineStr">
        <is>
          <t>1:1</t>
        </is>
      </c>
      <c r="E220" s="412" t="inlineStr">
        <is>
          <t>Customer / Individual / Organization Profile / SAOKE_TINDUNG</t>
        </is>
      </c>
      <c r="F220" s="412" t="inlineStr">
        <is>
          <t>Target</t>
        </is>
      </c>
      <c r="G220" s="385" t="inlineStr">
        <is>
          <t>PG_BRONZE</t>
        </is>
      </c>
      <c r="H220" s="386" t="inlineStr">
        <is>
          <t>T24CORE_CUSTOMER</t>
        </is>
      </c>
      <c r="I220" s="386" t="inlineStr">
        <is>
          <t>TARGET</t>
        </is>
      </c>
      <c r="J220" s="410" t="inlineStr">
        <is>
          <t>VARCHAR2</t>
        </is>
      </c>
      <c r="K220" s="408" t="n">
        <v>100</v>
      </c>
      <c r="L220" s="412" t="inlineStr">
        <is>
          <t>Mã phân khúc đối tượng khách hàng mục tiêu (Target Code)</t>
        </is>
      </c>
      <c r="M220" s="412">
        <f>"COMMENT ON COLUMN "&amp;G220&amp;"."&amp;H220&amp;"."&amp;I220&amp;" IS '"&amp;L220&amp;"';"</f>
        <v/>
      </c>
      <c r="N220" s="414" t="inlineStr">
        <is>
          <t>Map 1:1 nguyên bản từ T24CORE.CUSTOMER.TARGET sang PG_BRONZE.T24CORE_CUSTOMER.TARGET</t>
        </is>
      </c>
    </row>
    <row r="221" ht="27" customHeight="1" s="335">
      <c r="A221" s="386" t="inlineStr">
        <is>
          <t>T24CORE</t>
        </is>
      </c>
      <c r="B221" s="386" t="inlineStr">
        <is>
          <t>CUSTOMER</t>
        </is>
      </c>
      <c r="C221" s="386" t="inlineStr">
        <is>
          <t>TAX_SERIAL</t>
        </is>
      </c>
      <c r="D221" s="385" t="inlineStr">
        <is>
          <t>1:1</t>
        </is>
      </c>
      <c r="E221" s="412" t="inlineStr">
        <is>
          <t>Individual Profile / Organization Profile</t>
        </is>
      </c>
      <c r="F221" s="412" t="inlineStr">
        <is>
          <t>Tax Identification Number</t>
        </is>
      </c>
      <c r="G221" s="385" t="inlineStr">
        <is>
          <t>PG_BRONZE</t>
        </is>
      </c>
      <c r="H221" s="386" t="inlineStr">
        <is>
          <t>T24CORE_CUSTOMER</t>
        </is>
      </c>
      <c r="I221" s="386" t="inlineStr">
        <is>
          <t>TAX_SERIAL</t>
        </is>
      </c>
      <c r="J221" s="410" t="inlineStr">
        <is>
          <t>VARCHAR2</t>
        </is>
      </c>
      <c r="K221" s="408" t="n">
        <v>100</v>
      </c>
      <c r="L221" s="412" t="inlineStr">
        <is>
          <t>Mã số thuế</t>
        </is>
      </c>
      <c r="M221" s="412">
        <f>"COMMENT ON COLUMN "&amp;G221&amp;"."&amp;H221&amp;"."&amp;I221&amp;" IS '"&amp;L221&amp;"';"</f>
        <v/>
      </c>
      <c r="N221" s="414" t="inlineStr">
        <is>
          <t>Map 1:1 nguyên bản từ T24CORE.CUSTOMER.TAX_SERIAL sang PG_BRONZE.T24CORE_CUSTOMER.TAX_SERIAL</t>
        </is>
      </c>
    </row>
    <row r="222" ht="41.25" customHeight="1" s="335">
      <c r="A222" s="386" t="inlineStr">
        <is>
          <t>T24CORE</t>
        </is>
      </c>
      <c r="B222" s="386" t="inlineStr">
        <is>
          <t>CUSTOMER</t>
        </is>
      </c>
      <c r="C222" s="386" t="inlineStr">
        <is>
          <t>TXN_DATE</t>
        </is>
      </c>
      <c r="D222" s="385" t="inlineStr">
        <is>
          <t>1:1</t>
        </is>
      </c>
      <c r="E222" s="412" t="inlineStr">
        <is>
          <t>Customer / Individual / Organization Profile / SAOKE_TINDUNG</t>
        </is>
      </c>
      <c r="F222" s="412" t="inlineStr">
        <is>
          <t>Txn Date</t>
        </is>
      </c>
      <c r="G222" s="385" t="inlineStr">
        <is>
          <t>PG_BRONZE</t>
        </is>
      </c>
      <c r="H222" s="386" t="inlineStr">
        <is>
          <t>T24CORE_CUSTOMER</t>
        </is>
      </c>
      <c r="I222" s="386" t="inlineStr">
        <is>
          <t>TXN_DATE</t>
        </is>
      </c>
      <c r="J222" s="410" t="inlineStr">
        <is>
          <t>DATE</t>
        </is>
      </c>
      <c r="K222" s="408" t="n">
        <v>8</v>
      </c>
      <c r="L222" s="412" t="inlineStr">
        <is>
          <t>Ngày giao dịch / ngày cập nhật dữ liệu khách hàng</t>
        </is>
      </c>
      <c r="M222" s="412">
        <f>"COMMENT ON COLUMN "&amp;G222&amp;"."&amp;H222&amp;"."&amp;I222&amp;" IS '"&amp;L222&amp;"';"</f>
        <v/>
      </c>
      <c r="N222" s="414" t="inlineStr">
        <is>
          <t>Map 1:1 nguyên bản từ T24CORE.CUSTOMER.TXN_DATE sang PG_BRONZE.T24CORE_CUSTOMER.TXN_DATE</t>
        </is>
      </c>
    </row>
    <row r="223" ht="41.25" customHeight="1" s="335">
      <c r="A223" s="386" t="inlineStr">
        <is>
          <t>T24CORE</t>
        </is>
      </c>
      <c r="B223" s="386" t="inlineStr">
        <is>
          <t>CUSTOMER</t>
        </is>
      </c>
      <c r="C223" s="386" t="inlineStr">
        <is>
          <t>VAT_INV_DATE</t>
        </is>
      </c>
      <c r="D223" s="385" t="inlineStr">
        <is>
          <t>1:1</t>
        </is>
      </c>
      <c r="E223" s="412" t="inlineStr">
        <is>
          <t>Customer / Individual / Organization Profile / SAOKE_TINDUNG</t>
        </is>
      </c>
      <c r="F223" s="412" t="inlineStr">
        <is>
          <t>Vat Inv Date</t>
        </is>
      </c>
      <c r="G223" s="385" t="inlineStr">
        <is>
          <t>PG_BRONZE</t>
        </is>
      </c>
      <c r="H223" s="386" t="inlineStr">
        <is>
          <t>T24CORE_CUSTOMER</t>
        </is>
      </c>
      <c r="I223" s="386" t="inlineStr">
        <is>
          <t>VAT_INV_DATE</t>
        </is>
      </c>
      <c r="J223" s="410" t="inlineStr">
        <is>
          <t>DATE</t>
        </is>
      </c>
      <c r="K223" s="408" t="n">
        <v>8</v>
      </c>
      <c r="L223" s="412" t="inlineStr">
        <is>
          <t>Ngày phát hành hóa đơn</t>
        </is>
      </c>
      <c r="M223" s="412">
        <f>"COMMENT ON COLUMN "&amp;G223&amp;"."&amp;H223&amp;"."&amp;I223&amp;" IS '"&amp;L223&amp;"';"</f>
        <v/>
      </c>
      <c r="N223" s="414" t="inlineStr">
        <is>
          <t>Map 1:1 nguyên bản từ T24CORE.CUSTOMER.VAT_INV_DATE sang PG_BRONZE.T24CORE_CUSTOMER.VAT_INV_DATE</t>
        </is>
      </c>
    </row>
    <row r="224" ht="41.25" customHeight="1" s="335">
      <c r="A224" s="386" t="inlineStr">
        <is>
          <t>T24CORE</t>
        </is>
      </c>
      <c r="B224" s="386" t="inlineStr">
        <is>
          <t>CUSTOMER</t>
        </is>
      </c>
      <c r="C224" s="386" t="inlineStr">
        <is>
          <t>VAT_INV_SERIAL</t>
        </is>
      </c>
      <c r="D224" s="385" t="inlineStr">
        <is>
          <t>1:1</t>
        </is>
      </c>
      <c r="E224" s="412" t="inlineStr">
        <is>
          <t>Customer / Individual / Organization Profile / SAOKE_TINDUNG</t>
        </is>
      </c>
      <c r="F224" s="412" t="inlineStr">
        <is>
          <t>Vat Inv Serial</t>
        </is>
      </c>
      <c r="G224" s="385" t="inlineStr">
        <is>
          <t>PG_BRONZE</t>
        </is>
      </c>
      <c r="H224" s="386" t="inlineStr">
        <is>
          <t>T24CORE_CUSTOMER</t>
        </is>
      </c>
      <c r="I224" s="386" t="inlineStr">
        <is>
          <t>VAT_INV_SERIAL</t>
        </is>
      </c>
      <c r="J224" s="410" t="inlineStr">
        <is>
          <t>VARCHAR2</t>
        </is>
      </c>
      <c r="K224" s="408" t="n">
        <v>100</v>
      </c>
      <c r="L224" s="412" t="inlineStr">
        <is>
          <t>Số seri hóa đơn</t>
        </is>
      </c>
      <c r="M224" s="412">
        <f>"COMMENT ON COLUMN "&amp;G224&amp;"."&amp;H224&amp;"."&amp;I224&amp;" IS '"&amp;L224&amp;"';"</f>
        <v/>
      </c>
      <c r="N224" s="414" t="inlineStr">
        <is>
          <t>Map 1:1 nguyên bản từ T24CORE.CUSTOMER.VAT_INV_SERIAL sang PG_BRONZE.T24CORE_CUSTOMER.VAT_INV_SERIAL</t>
        </is>
      </c>
    </row>
    <row r="225" ht="41.25" customHeight="1" s="335">
      <c r="A225" s="386" t="inlineStr">
        <is>
          <t>T24CORE</t>
        </is>
      </c>
      <c r="B225" s="386" t="inlineStr">
        <is>
          <t>CUSTOMER</t>
        </is>
      </c>
      <c r="C225" s="386" t="inlineStr">
        <is>
          <t>VIP_CUSTOMER</t>
        </is>
      </c>
      <c r="D225" s="385" t="inlineStr">
        <is>
          <t>1:1</t>
        </is>
      </c>
      <c r="E225" s="412" t="inlineStr">
        <is>
          <t>Individual Profile / Organization Profile</t>
        </is>
      </c>
      <c r="F225" s="412" t="inlineStr">
        <is>
          <t>VIP Flag</t>
        </is>
      </c>
      <c r="G225" s="385" t="inlineStr">
        <is>
          <t>PG_BRONZE</t>
        </is>
      </c>
      <c r="H225" s="386" t="inlineStr">
        <is>
          <t>T24CORE_CUSTOMER</t>
        </is>
      </c>
      <c r="I225" s="386" t="inlineStr">
        <is>
          <t>VIP_CUSTOMER</t>
        </is>
      </c>
      <c r="J225" s="410" t="inlineStr">
        <is>
          <t>VARCHAR2</t>
        </is>
      </c>
      <c r="K225" s="408" t="n">
        <v>100</v>
      </c>
      <c r="L225" s="412" t="inlineStr">
        <is>
          <t>Đánh dấu khách hàng ưu tiên</t>
        </is>
      </c>
      <c r="M225" s="412">
        <f>"COMMENT ON COLUMN "&amp;G225&amp;"."&amp;H225&amp;"."&amp;I225&amp;" IS '"&amp;L225&amp;"';"</f>
        <v/>
      </c>
      <c r="N225" s="414" t="inlineStr">
        <is>
          <t>Map 1:1 nguyên bản từ T24CORE.CUSTOMER.VIP_CUSTOMER sang PG_BRONZE.T24CORE_CUSTOMER.VIP_CUSTOMER</t>
        </is>
      </c>
    </row>
    <row r="226" ht="41.25" customHeight="1" s="335">
      <c r="A226" s="386" t="inlineStr">
        <is>
          <t>T24CORE</t>
        </is>
      </c>
      <c r="B226" s="386" t="inlineStr">
        <is>
          <t>CUSTOMER</t>
        </is>
      </c>
      <c r="C226" s="386" t="inlineStr">
        <is>
          <t>VN_FULL_NAME</t>
        </is>
      </c>
      <c r="D226" s="385" t="inlineStr">
        <is>
          <t>1:1</t>
        </is>
      </c>
      <c r="E226" s="412" t="inlineStr">
        <is>
          <t>Customer</t>
        </is>
      </c>
      <c r="F226" s="412" t="inlineStr">
        <is>
          <t>Customer Name</t>
        </is>
      </c>
      <c r="G226" s="385" t="inlineStr">
        <is>
          <t>PG_BRONZE</t>
        </is>
      </c>
      <c r="H226" s="386" t="inlineStr">
        <is>
          <t>T24CORE_CUSTOMER</t>
        </is>
      </c>
      <c r="I226" s="386" t="inlineStr">
        <is>
          <t>VN_FULL_NAME</t>
        </is>
      </c>
      <c r="J226" s="410" t="inlineStr">
        <is>
          <t>VARCHAR2</t>
        </is>
      </c>
      <c r="K226" s="408" t="n">
        <v>255</v>
      </c>
      <c r="L226" s="412" t="inlineStr">
        <is>
          <t>Tên khách hàng đầy đủ</t>
        </is>
      </c>
      <c r="M226" s="412">
        <f>"COMMENT ON COLUMN "&amp;G226&amp;"."&amp;H226&amp;"."&amp;I226&amp;" IS '"&amp;L226&amp;"';"</f>
        <v/>
      </c>
      <c r="N226" s="414" t="inlineStr">
        <is>
          <t>Map 1:1 nguyên bản từ T24CORE.CUSTOMER.VN_FULL_NAME sang PG_BRONZE.T24CORE_CUSTOMER.VN_FULL_NAME</t>
        </is>
      </c>
    </row>
    <row r="227" ht="27" customHeight="1" s="335">
      <c r="A227" s="386" t="inlineStr">
        <is>
          <t>T24CORE</t>
        </is>
      </c>
      <c r="B227" s="386" t="inlineStr">
        <is>
          <t>CUSTOMER</t>
        </is>
      </c>
      <c r="C227" s="386" t="inlineStr">
        <is>
          <t>VN_GENDER</t>
        </is>
      </c>
      <c r="D227" s="385" t="inlineStr">
        <is>
          <t>1:1</t>
        </is>
      </c>
      <c r="E227" s="412" t="inlineStr">
        <is>
          <t>Individual Profile</t>
        </is>
      </c>
      <c r="F227" s="412" t="inlineStr">
        <is>
          <t>Gender</t>
        </is>
      </c>
      <c r="G227" s="385" t="inlineStr">
        <is>
          <t>PG_BRONZE</t>
        </is>
      </c>
      <c r="H227" s="386" t="inlineStr">
        <is>
          <t>T24CORE_CUSTOMER</t>
        </is>
      </c>
      <c r="I227" s="386" t="inlineStr">
        <is>
          <t>VN_GENDER</t>
        </is>
      </c>
      <c r="J227" s="410" t="inlineStr">
        <is>
          <t>VARCHAR2</t>
        </is>
      </c>
      <c r="K227" s="408" t="n">
        <v>100</v>
      </c>
      <c r="L227" s="412" t="inlineStr">
        <is>
          <t>Giới tính</t>
        </is>
      </c>
      <c r="M227" s="412">
        <f>"COMMENT ON COLUMN "&amp;G227&amp;"."&amp;H227&amp;"."&amp;I227&amp;" IS '"&amp;L227&amp;"';"</f>
        <v/>
      </c>
      <c r="N227" s="414" t="inlineStr">
        <is>
          <t>Map 1:1 nguyên bản từ T24CORE.CUSTOMER.VN_GENDER sang PG_BRONZE.T24CORE_CUSTOMER.VN_GENDER</t>
        </is>
      </c>
    </row>
    <row r="228" ht="41.25" customHeight="1" s="335">
      <c r="A228" s="386" t="inlineStr">
        <is>
          <t>T24CORE</t>
        </is>
      </c>
      <c r="B228" s="386" t="inlineStr">
        <is>
          <t>CUSTOMER</t>
        </is>
      </c>
      <c r="C228" s="386" t="inlineStr">
        <is>
          <t>VN_STREET</t>
        </is>
      </c>
      <c r="D228" s="385" t="inlineStr">
        <is>
          <t>1:1</t>
        </is>
      </c>
      <c r="E228" s="412" t="inlineStr">
        <is>
          <t>Involved Party Postal Address</t>
        </is>
      </c>
      <c r="F228" s="412" t="inlineStr">
        <is>
          <t>Street Name</t>
        </is>
      </c>
      <c r="G228" s="385" t="inlineStr">
        <is>
          <t>PG_BRONZE</t>
        </is>
      </c>
      <c r="H228" s="386" t="inlineStr">
        <is>
          <t>T24CORE_CUSTOMER</t>
        </is>
      </c>
      <c r="I228" s="386" t="inlineStr">
        <is>
          <t>VN_STREET</t>
        </is>
      </c>
      <c r="J228" s="410" t="inlineStr">
        <is>
          <t>VARCHAR2</t>
        </is>
      </c>
      <c r="K228" s="408" t="n">
        <v>255</v>
      </c>
      <c r="L228" s="412" t="inlineStr">
        <is>
          <t>Tên đường theo địa chỉ</t>
        </is>
      </c>
      <c r="M228" s="412">
        <f>"COMMENT ON COLUMN "&amp;G228&amp;"."&amp;H228&amp;"."&amp;I228&amp;" IS '"&amp;L228&amp;"';"</f>
        <v/>
      </c>
      <c r="N228" s="414" t="inlineStr">
        <is>
          <t>Map 1:1 nguyên bản từ T24CORE.CUSTOMER.VN_STREET sang PG_BRONZE.T24CORE_CUSTOMER.VN_STREET</t>
        </is>
      </c>
    </row>
    <row r="229" ht="41.25" customHeight="1" s="335">
      <c r="A229" s="386" t="inlineStr">
        <is>
          <t>T24CORE</t>
        </is>
      </c>
      <c r="B229" s="386" t="inlineStr">
        <is>
          <t>CUSTOMER</t>
        </is>
      </c>
      <c r="C229" s="386" t="inlineStr">
        <is>
          <t>VN_TOWN</t>
        </is>
      </c>
      <c r="D229" s="385" t="inlineStr">
        <is>
          <t>1:1</t>
        </is>
      </c>
      <c r="E229" s="412" t="inlineStr">
        <is>
          <t>Involved Party Postal Address</t>
        </is>
      </c>
      <c r="F229" s="412" t="inlineStr">
        <is>
          <t>City Name</t>
        </is>
      </c>
      <c r="G229" s="385" t="inlineStr">
        <is>
          <t>PG_BRONZE</t>
        </is>
      </c>
      <c r="H229" s="386" t="inlineStr">
        <is>
          <t>T24CORE_CUSTOMER</t>
        </is>
      </c>
      <c r="I229" s="386" t="inlineStr">
        <is>
          <t>VN_TOWN</t>
        </is>
      </c>
      <c r="J229" s="410" t="inlineStr">
        <is>
          <t>VARCHAR2</t>
        </is>
      </c>
      <c r="K229" s="408" t="n">
        <v>255</v>
      </c>
      <c r="L229" s="412" t="inlineStr">
        <is>
          <t>Tên thành phố theo địa chỉ</t>
        </is>
      </c>
      <c r="M229" s="412">
        <f>"COMMENT ON COLUMN "&amp;G229&amp;"."&amp;H229&amp;"."&amp;I229&amp;" IS '"&amp;L229&amp;"';"</f>
        <v/>
      </c>
      <c r="N229" s="414" t="inlineStr">
        <is>
          <t>Map 1:1 nguyên bản từ T24CORE.CUSTOMER.VN_TOWN sang PG_BRONZE.T24CORE_CUSTOMER.VN_TOWN</t>
        </is>
      </c>
    </row>
    <row r="230" ht="41.25" customHeight="1" s="335">
      <c r="A230" s="386" t="inlineStr">
        <is>
          <t>T24CORE</t>
        </is>
      </c>
      <c r="B230" s="386" t="inlineStr">
        <is>
          <t>DEPT_ACCT_OFFICER</t>
        </is>
      </c>
      <c r="C230" s="386" t="inlineStr">
        <is>
          <t>NAME</t>
        </is>
      </c>
      <c r="D230" s="385" t="inlineStr">
        <is>
          <t>1:1</t>
        </is>
      </c>
      <c r="E230" s="412" t="inlineStr">
        <is>
          <t>Employee / SAOKE_TINDUNG</t>
        </is>
      </c>
      <c r="F230" s="412" t="inlineStr">
        <is>
          <t>Name</t>
        </is>
      </c>
      <c r="G230" s="385" t="inlineStr">
        <is>
          <t>PG_BRONZE</t>
        </is>
      </c>
      <c r="H230" s="386" t="inlineStr">
        <is>
          <t>T24CORE_DEPT_ACCT_OFFICER</t>
        </is>
      </c>
      <c r="I230" s="386" t="inlineStr">
        <is>
          <t>NAME</t>
        </is>
      </c>
      <c r="J230" s="410" t="inlineStr">
        <is>
          <t>VARCHAR2</t>
        </is>
      </c>
      <c r="K230" s="408" t="n">
        <v>255</v>
      </c>
      <c r="L230" s="412" t="inlineStr">
        <is>
          <t>Tên nhân viên hạch toán</t>
        </is>
      </c>
      <c r="M230" s="412">
        <f>"COMMENT ON COLUMN "&amp;G230&amp;"."&amp;H230&amp;"."&amp;I230&amp;" IS '"&amp;L230&amp;"';"</f>
        <v/>
      </c>
      <c r="N230" s="414" t="inlineStr">
        <is>
          <t>Map 1:1 nguyên bản từ T24CORE.DEPT_ACCT_OFFICER.NAME sang PG_BRONZE.T24CORE_DEPT_ACCT_OFFICER.NAME</t>
        </is>
      </c>
    </row>
    <row r="231" ht="41.25" customHeight="1" s="335">
      <c r="A231" s="386" t="inlineStr">
        <is>
          <t>T24CORE</t>
        </is>
      </c>
      <c r="B231" s="386" t="inlineStr">
        <is>
          <t>DEPT_ACCT_OFFICER</t>
        </is>
      </c>
      <c r="C231" s="386" t="inlineStr">
        <is>
          <t>RECID</t>
        </is>
      </c>
      <c r="D231" s="385" t="inlineStr">
        <is>
          <t>1:1</t>
        </is>
      </c>
      <c r="E231" s="412" t="inlineStr">
        <is>
          <t>Employee / SAOKE_TINDUNG</t>
        </is>
      </c>
      <c r="F231" s="412" t="inlineStr">
        <is>
          <t>Recid</t>
        </is>
      </c>
      <c r="G231" s="385" t="inlineStr">
        <is>
          <t>PG_BRONZE</t>
        </is>
      </c>
      <c r="H231" s="386" t="inlineStr">
        <is>
          <t>T24CORE_DEPT_ACCT_OFFICER</t>
        </is>
      </c>
      <c r="I231" s="386" t="inlineStr">
        <is>
          <t>RECID</t>
        </is>
      </c>
      <c r="J231" s="410" t="inlineStr">
        <is>
          <t>VARCHAR2</t>
        </is>
      </c>
      <c r="K231" s="408" t="n">
        <v>100</v>
      </c>
      <c r="L231" s="412" t="inlineStr">
        <is>
          <t>Mã nhân viên hạch toán thứ 2</t>
        </is>
      </c>
      <c r="M231" s="412">
        <f>"COMMENT ON COLUMN "&amp;G231&amp;"."&amp;H231&amp;"."&amp;I231&amp;" IS '"&amp;L231&amp;"';"</f>
        <v/>
      </c>
      <c r="N231" s="414" t="inlineStr">
        <is>
          <t>Map 1:1 nguyên bản từ T24CORE.DEPT_ACCT_OFFICER.RECID sang PG_BRONZE.T24CORE_DEPT_ACCT_OFFICER.RECID</t>
        </is>
      </c>
    </row>
    <row r="232" ht="41.25" customHeight="1" s="335">
      <c r="A232" s="386" t="inlineStr">
        <is>
          <t>T24CORE</t>
        </is>
      </c>
      <c r="B232" s="386" t="inlineStr">
        <is>
          <t>LD_LOANS_AND_DEPOSITS</t>
        </is>
      </c>
      <c r="C232" s="386" t="inlineStr">
        <is>
          <t>ACC_FCC</t>
        </is>
      </c>
      <c r="D232" s="385" t="inlineStr">
        <is>
          <t>1:1</t>
        </is>
      </c>
      <c r="E232" s="412" t="inlineStr">
        <is>
          <t>Loan Arrangement</t>
        </is>
      </c>
      <c r="F232" s="412" t="inlineStr">
        <is>
          <t>FCC Arrangement Code</t>
        </is>
      </c>
      <c r="G232" s="385" t="inlineStr">
        <is>
          <t>PG_BRONZE</t>
        </is>
      </c>
      <c r="H232" s="386" t="inlineStr">
        <is>
          <t>T24CORE_LD_LOANS_AND_DEPOSITS</t>
        </is>
      </c>
      <c r="I232" s="386" t="inlineStr">
        <is>
          <t>ACC_FCC</t>
        </is>
      </c>
      <c r="J232" s="410" t="inlineStr">
        <is>
          <t>VARCHAR2</t>
        </is>
      </c>
      <c r="K232" s="408" t="n">
        <v>100</v>
      </c>
      <c r="L232" s="412" t="inlineStr">
        <is>
          <t>Mã hợp đồng FlexCube</t>
        </is>
      </c>
      <c r="M232" s="412">
        <f>"COMMENT ON COLUMN "&amp;G232&amp;"."&amp;H232&amp;"."&amp;I232&amp;" IS '"&amp;L232&amp;"';"</f>
        <v/>
      </c>
      <c r="N232" s="414" t="inlineStr">
        <is>
          <t>Map 1:1 nguyên bản từ T24CORE.LD_LOANS_AND_DEPOSITS.ACC_FCC sang PG_BRONZE.T24CORE_LD_LOANS_AND_DEPOSITS.ACC_FCC</t>
        </is>
      </c>
    </row>
    <row r="233" ht="41.25" customHeight="1" s="335">
      <c r="A233" s="386" t="inlineStr">
        <is>
          <t>T24CORE</t>
        </is>
      </c>
      <c r="B233" s="386" t="inlineStr">
        <is>
          <t>LD_LOANS_AND_DEPOSITS</t>
        </is>
      </c>
      <c r="C233" s="386" t="inlineStr">
        <is>
          <t>AMOUNT</t>
        </is>
      </c>
      <c r="D233" s="385" t="inlineStr">
        <is>
          <t>1:1</t>
        </is>
      </c>
      <c r="E233" s="412" t="inlineStr">
        <is>
          <t>Loan Arrangement / Profile / SAOKE_TINDUNG</t>
        </is>
      </c>
      <c r="F233" s="412" t="inlineStr">
        <is>
          <t>Amount</t>
        </is>
      </c>
      <c r="G233" s="385" t="inlineStr">
        <is>
          <t>PG_BRONZE</t>
        </is>
      </c>
      <c r="H233" s="386" t="inlineStr">
        <is>
          <t>T24CORE_LD_LOANS_AND_DEPOSITS</t>
        </is>
      </c>
      <c r="I233" s="386" t="inlineStr">
        <is>
          <t>AMOUNT</t>
        </is>
      </c>
      <c r="J233" s="410" t="inlineStr">
        <is>
          <t>NUMBER</t>
        </is>
      </c>
      <c r="K233" s="408" t="n">
        <v>25.5</v>
      </c>
      <c r="L233" s="412" t="inlineStr">
        <is>
          <t>Dự nợ hợp đồng</t>
        </is>
      </c>
      <c r="M233" s="412">
        <f>"COMMENT ON COLUMN "&amp;G233&amp;"."&amp;H233&amp;"."&amp;I233&amp;" IS '"&amp;L233&amp;"';"</f>
        <v/>
      </c>
      <c r="N233" s="414" t="inlineStr">
        <is>
          <t>Map 1:1 nguyên bản từ T24CORE.LD_LOANS_AND_DEPOSITS.AMOUNT sang PG_BRONZE.T24CORE_LD_LOANS_AND_DEPOSITS.AMOUNT</t>
        </is>
      </c>
    </row>
    <row r="234" ht="54.75" customHeight="1" s="335">
      <c r="A234" s="386" t="inlineStr">
        <is>
          <t>T24CORE</t>
        </is>
      </c>
      <c r="B234" s="386" t="inlineStr">
        <is>
          <t>LD_LOANS_AND_DEPOSITS</t>
        </is>
      </c>
      <c r="C234" s="386" t="inlineStr">
        <is>
          <t>APPROVE_AMOUNT</t>
        </is>
      </c>
      <c r="D234" s="385" t="inlineStr">
        <is>
          <t>1:1</t>
        </is>
      </c>
      <c r="E234" s="412" t="inlineStr">
        <is>
          <t>Loan Arrangement</t>
        </is>
      </c>
      <c r="F234" s="412" t="inlineStr">
        <is>
          <t>Original Amount FCY</t>
        </is>
      </c>
      <c r="G234" s="385" t="inlineStr">
        <is>
          <t>PG_BRONZE</t>
        </is>
      </c>
      <c r="H234" s="386" t="inlineStr">
        <is>
          <t>T24CORE_LD_LOANS_AND_DEPOSITS</t>
        </is>
      </c>
      <c r="I234" s="386" t="inlineStr">
        <is>
          <t>APPROVE_AMOUNT</t>
        </is>
      </c>
      <c r="J234" s="410" t="inlineStr">
        <is>
          <t>NUMBER</t>
        </is>
      </c>
      <c r="K234" s="408" t="n">
        <v>25.5</v>
      </c>
      <c r="L234" s="412" t="inlineStr">
        <is>
          <t>Giá trị phê duyệt</t>
        </is>
      </c>
      <c r="M234" s="412">
        <f>"COMMENT ON COLUMN "&amp;G234&amp;"."&amp;H234&amp;"."&amp;I234&amp;" IS '"&amp;L234&amp;"';"</f>
        <v/>
      </c>
      <c r="N234" s="414" t="inlineStr">
        <is>
          <t>Map 1:1 nguyên bản từ T24CORE.LD_LOANS_AND_DEPOSITS.APPROVE_AMOUNT sang PG_BRONZE.T24CORE_LD_LOANS_AND_DEPOSITS.APPROVE_AMOUNT</t>
        </is>
      </c>
    </row>
    <row r="235" ht="41.25" customHeight="1" s="335">
      <c r="A235" s="386" t="inlineStr">
        <is>
          <t>T24CORE</t>
        </is>
      </c>
      <c r="B235" s="386" t="inlineStr">
        <is>
          <t>LD_LOANS_AND_DEPOSITS</t>
        </is>
      </c>
      <c r="C235" s="386" t="inlineStr">
        <is>
          <t>AUTHORISER</t>
        </is>
      </c>
      <c r="D235" s="385" t="inlineStr">
        <is>
          <t>1:1</t>
        </is>
      </c>
      <c r="E235" s="412" t="inlineStr">
        <is>
          <t>Arrangement x Involved Party Relationship</t>
        </is>
      </c>
      <c r="F235" s="412" t="inlineStr">
        <is>
          <t>Checker Officer</t>
        </is>
      </c>
      <c r="G235" s="385" t="inlineStr">
        <is>
          <t>PG_BRONZE</t>
        </is>
      </c>
      <c r="H235" s="386" t="inlineStr">
        <is>
          <t>T24CORE_LD_LOANS_AND_DEPOSITS</t>
        </is>
      </c>
      <c r="I235" s="386" t="inlineStr">
        <is>
          <t>AUTHORISER</t>
        </is>
      </c>
      <c r="J235" s="410" t="inlineStr">
        <is>
          <t>VARCHAR2</t>
        </is>
      </c>
      <c r="K235" s="408" t="n">
        <v>100</v>
      </c>
      <c r="L235" s="412" t="inlineStr">
        <is>
          <t>Mã người phê duyệt</t>
        </is>
      </c>
      <c r="M235" s="412">
        <f>"COMMENT ON COLUMN "&amp;G235&amp;"."&amp;H235&amp;"."&amp;I235&amp;" IS '"&amp;L235&amp;"';"</f>
        <v/>
      </c>
      <c r="N235" s="414" t="inlineStr">
        <is>
          <t>Map 1:1 nguyên bản từ T24CORE.LD_LOANS_AND_DEPOSITS.AUTHORISER sang PG_BRONZE.T24CORE_LD_LOANS_AND_DEPOSITS.AUTHORISER</t>
        </is>
      </c>
    </row>
    <row r="236" ht="41.25" customHeight="1" s="335">
      <c r="A236" s="386" t="inlineStr">
        <is>
          <t>T24CORE</t>
        </is>
      </c>
      <c r="B236" s="386" t="inlineStr">
        <is>
          <t>LD_LOANS_AND_DEPOSITS</t>
        </is>
      </c>
      <c r="C236" s="386" t="inlineStr">
        <is>
          <t>CATEGORY</t>
        </is>
      </c>
      <c r="D236" s="385" t="inlineStr">
        <is>
          <t>1:1</t>
        </is>
      </c>
      <c r="E236" s="412" t="inlineStr">
        <is>
          <t>Loan Arrangement</t>
        </is>
      </c>
      <c r="F236" s="412" t="inlineStr">
        <is>
          <t>Product Category Code</t>
        </is>
      </c>
      <c r="G236" s="385" t="inlineStr">
        <is>
          <t>PG_BRONZE</t>
        </is>
      </c>
      <c r="H236" s="386" t="inlineStr">
        <is>
          <t>T24CORE_LD_LOANS_AND_DEPOSITS</t>
        </is>
      </c>
      <c r="I236" s="386" t="inlineStr">
        <is>
          <t>CATEGORY</t>
        </is>
      </c>
      <c r="J236" s="410" t="inlineStr">
        <is>
          <t>VARCHAR2</t>
        </is>
      </c>
      <c r="K236" s="408" t="n">
        <v>100</v>
      </c>
      <c r="L236" s="412" t="inlineStr">
        <is>
          <t>Mã phân loại sản phẩm</t>
        </is>
      </c>
      <c r="M236" s="412">
        <f>"COMMENT ON COLUMN "&amp;G236&amp;"."&amp;H236&amp;"."&amp;I236&amp;" IS '"&amp;L236&amp;"';"</f>
        <v/>
      </c>
      <c r="N236" s="414" t="inlineStr">
        <is>
          <t>Map 1:1 nguyên bản từ T24CORE.LD_LOANS_AND_DEPOSITS.CATEGORY sang PG_BRONZE.T24CORE_LD_LOANS_AND_DEPOSITS.CATEGORY</t>
        </is>
      </c>
    </row>
    <row r="237" ht="54.75" customHeight="1" s="335">
      <c r="A237" s="386" t="inlineStr">
        <is>
          <t>T24CORE</t>
        </is>
      </c>
      <c r="B237" s="386" t="inlineStr">
        <is>
          <t>LD_LOANS_AND_DEPOSITS</t>
        </is>
      </c>
      <c r="C237" s="386" t="inlineStr">
        <is>
          <t>COMMIT_ACTION</t>
        </is>
      </c>
      <c r="D237" s="385" t="inlineStr">
        <is>
          <t>1:1</t>
        </is>
      </c>
      <c r="E237" s="412" t="inlineStr">
        <is>
          <t>Loan Arrangement / Profile / SAOKE_TINDUNG</t>
        </is>
      </c>
      <c r="F237" s="412" t="inlineStr">
        <is>
          <t>Commit Action</t>
        </is>
      </c>
      <c r="G237" s="385" t="inlineStr">
        <is>
          <t>PG_BRONZE</t>
        </is>
      </c>
      <c r="H237" s="386" t="inlineStr">
        <is>
          <t>T24CORE_LD_LOANS_AND_DEPOSITS</t>
        </is>
      </c>
      <c r="I237" s="386" t="inlineStr">
        <is>
          <t>COMMIT_ACTION</t>
        </is>
      </c>
      <c r="J237" s="410" t="inlineStr">
        <is>
          <t>VARCHAR2</t>
        </is>
      </c>
      <c r="K237" s="408" t="n">
        <v>100</v>
      </c>
      <c r="L237" s="412" t="inlineStr">
        <is>
          <t>Trường COMMIT_ACTION của bảng nguồn T24CORE.LD_LOANS_AND_DEPOSITS</t>
        </is>
      </c>
      <c r="M237" s="412">
        <f>"COMMENT ON COLUMN "&amp;G237&amp;"."&amp;H237&amp;"."&amp;I237&amp;" IS '"&amp;L237&amp;"';"</f>
        <v/>
      </c>
      <c r="N237" s="414" t="inlineStr">
        <is>
          <t>Map 1:1 nguyên bản từ T24CORE.LD_LOANS_AND_DEPOSITS.COMMIT_ACTION sang PG_BRONZE.T24CORE_LD_LOANS_AND_DEPOSITS.COMMIT_ACTION</t>
        </is>
      </c>
    </row>
    <row r="238" ht="41.25" customHeight="1" s="335">
      <c r="A238" s="386" t="inlineStr">
        <is>
          <t>T24CORE</t>
        </is>
      </c>
      <c r="B238" s="386" t="inlineStr">
        <is>
          <t>LD_LOANS_AND_DEPOSITS</t>
        </is>
      </c>
      <c r="C238" s="386" t="inlineStr">
        <is>
          <t>CO_CODE</t>
        </is>
      </c>
      <c r="D238" s="385" t="inlineStr">
        <is>
          <t>1:1</t>
        </is>
      </c>
      <c r="E238" s="412" t="inlineStr">
        <is>
          <t>Loan Arrangement, Loan Arrangement Profile</t>
        </is>
      </c>
      <c r="F238" s="412" t="inlineStr">
        <is>
          <t>First Organization Unit Code , Organization Unit Code</t>
        </is>
      </c>
      <c r="G238" s="385" t="inlineStr">
        <is>
          <t>PG_BRONZE</t>
        </is>
      </c>
      <c r="H238" s="386" t="inlineStr">
        <is>
          <t>T24CORE_LD_LOANS_AND_DEPOSITS</t>
        </is>
      </c>
      <c r="I238" s="386" t="inlineStr">
        <is>
          <t>CO_CODE</t>
        </is>
      </c>
      <c r="J238" s="410" t="inlineStr">
        <is>
          <t>VARCHAR2</t>
        </is>
      </c>
      <c r="K238" s="408" t="n">
        <v>100</v>
      </c>
      <c r="L238" s="412" t="inlineStr">
        <is>
          <t>Mã chi nhánh quản lý hiện tại</t>
        </is>
      </c>
      <c r="M238" s="412">
        <f>"COMMENT ON COLUMN "&amp;G238&amp;"."&amp;H238&amp;"."&amp;I238&amp;" IS '"&amp;L238&amp;"';"</f>
        <v/>
      </c>
      <c r="N238" s="414" t="inlineStr">
        <is>
          <t>Map 1:1 nguyên bản từ T24CORE.LD_LOANS_AND_DEPOSITS.CO_CODE sang PG_BRONZE.T24CORE_LD_LOANS_AND_DEPOSITS.CO_CODE</t>
        </is>
      </c>
    </row>
    <row r="239" ht="41.25" customHeight="1" s="335">
      <c r="A239" s="386" t="inlineStr">
        <is>
          <t>T24CORE</t>
        </is>
      </c>
      <c r="B239" s="386" t="inlineStr">
        <is>
          <t>LD_LOANS_AND_DEPOSITS</t>
        </is>
      </c>
      <c r="C239" s="386" t="inlineStr">
        <is>
          <t>CRA_LD</t>
        </is>
      </c>
      <c r="D239" s="385" t="inlineStr">
        <is>
          <t>1:1</t>
        </is>
      </c>
      <c r="E239" s="412" t="inlineStr">
        <is>
          <t>Loan Arrangement</t>
        </is>
      </c>
      <c r="F239" s="412" t="inlineStr">
        <is>
          <t>Paper Contract Number</t>
        </is>
      </c>
      <c r="G239" s="385" t="inlineStr">
        <is>
          <t>PG_BRONZE</t>
        </is>
      </c>
      <c r="H239" s="386" t="inlineStr">
        <is>
          <t>T24CORE_LD_LOANS_AND_DEPOSITS</t>
        </is>
      </c>
      <c r="I239" s="386" t="inlineStr">
        <is>
          <t>CRA_LD</t>
        </is>
      </c>
      <c r="J239" s="410" t="inlineStr">
        <is>
          <t>VARCHAR2</t>
        </is>
      </c>
      <c r="K239" s="408" t="n">
        <v>100</v>
      </c>
      <c r="L239" s="412" t="inlineStr">
        <is>
          <t>Số hồ sơ giải ngân</t>
        </is>
      </c>
      <c r="M239" s="412">
        <f>"COMMENT ON COLUMN "&amp;G239&amp;"."&amp;H239&amp;"."&amp;I239&amp;" IS '"&amp;L239&amp;"';"</f>
        <v/>
      </c>
      <c r="N239" s="414" t="inlineStr">
        <is>
          <t>Map 1:1 nguyên bản từ T24CORE.LD_LOANS_AND_DEPOSITS.CRA_LD sang PG_BRONZE.T24CORE_LD_LOANS_AND_DEPOSITS.CRA_LD</t>
        </is>
      </c>
    </row>
    <row r="240" ht="41.25" customHeight="1" s="335">
      <c r="A240" s="386" t="inlineStr">
        <is>
          <t>T24CORE</t>
        </is>
      </c>
      <c r="B240" s="386" t="inlineStr">
        <is>
          <t>LD_LOANS_AND_DEPOSITS</t>
        </is>
      </c>
      <c r="C240" s="386" t="inlineStr">
        <is>
          <t>CURRENCY</t>
        </is>
      </c>
      <c r="D240" s="385" t="inlineStr">
        <is>
          <t>1:1</t>
        </is>
      </c>
      <c r="E240" s="412" t="inlineStr">
        <is>
          <t>Loan Arrangement</t>
        </is>
      </c>
      <c r="F240" s="412" t="inlineStr">
        <is>
          <t>Currency Code</t>
        </is>
      </c>
      <c r="G240" s="385" t="inlineStr">
        <is>
          <t>PG_BRONZE</t>
        </is>
      </c>
      <c r="H240" s="386" t="inlineStr">
        <is>
          <t>T24CORE_LD_LOANS_AND_DEPOSITS</t>
        </is>
      </c>
      <c r="I240" s="386" t="inlineStr">
        <is>
          <t>CURRENCY</t>
        </is>
      </c>
      <c r="J240" s="410" t="inlineStr">
        <is>
          <t>VARCHAR2</t>
        </is>
      </c>
      <c r="K240" s="408" t="n">
        <v>100</v>
      </c>
      <c r="L240" s="412" t="inlineStr">
        <is>
          <t>Loại tiền</t>
        </is>
      </c>
      <c r="M240" s="412">
        <f>"COMMENT ON COLUMN "&amp;G240&amp;"."&amp;H240&amp;"."&amp;I240&amp;" IS '"&amp;L240&amp;"';"</f>
        <v/>
      </c>
      <c r="N240" s="414" t="inlineStr">
        <is>
          <t>Map 1:1 nguyên bản từ T24CORE.LD_LOANS_AND_DEPOSITS.CURRENCY sang PG_BRONZE.T24CORE_LD_LOANS_AND_DEPOSITS.CURRENCY</t>
        </is>
      </c>
    </row>
    <row r="241" ht="41.25" customHeight="1" s="335">
      <c r="A241" s="386" t="inlineStr">
        <is>
          <t>T24CORE</t>
        </is>
      </c>
      <c r="B241" s="386" t="inlineStr">
        <is>
          <t>LD_LOANS_AND_DEPOSITS</t>
        </is>
      </c>
      <c r="C241" s="386" t="inlineStr">
        <is>
          <t>CURR_NO</t>
        </is>
      </c>
      <c r="D241" s="385" t="inlineStr">
        <is>
          <t>1:1</t>
        </is>
      </c>
      <c r="E241" s="412" t="inlineStr">
        <is>
          <t>Loan Arrangement / Profile / SAOKE_TINDUNG</t>
        </is>
      </c>
      <c r="F241" s="412" t="inlineStr">
        <is>
          <t>Curr No</t>
        </is>
      </c>
      <c r="G241" s="385" t="inlineStr">
        <is>
          <t>PG_BRONZE</t>
        </is>
      </c>
      <c r="H241" s="386" t="inlineStr">
        <is>
          <t>T24CORE_LD_LOANS_AND_DEPOSITS</t>
        </is>
      </c>
      <c r="I241" s="386" t="inlineStr">
        <is>
          <t>CURR_NO</t>
        </is>
      </c>
      <c r="J241" s="410" t="inlineStr">
        <is>
          <t>NUMBER</t>
        </is>
      </c>
      <c r="K241" s="408" t="n">
        <v>10</v>
      </c>
      <c r="L241" s="412" t="inlineStr">
        <is>
          <t>Version bản ghi hiện tại</t>
        </is>
      </c>
      <c r="M241" s="412">
        <f>"COMMENT ON COLUMN "&amp;G241&amp;"."&amp;H241&amp;"."&amp;I241&amp;" IS '"&amp;L241&amp;"';"</f>
        <v/>
      </c>
      <c r="N241" s="414" t="inlineStr">
        <is>
          <t>Map 1:1 nguyên bản từ T24CORE.LD_LOANS_AND_DEPOSITS.CURR_NO sang PG_BRONZE.T24CORE_LD_LOANS_AND_DEPOSITS.CURR_NO</t>
        </is>
      </c>
    </row>
    <row r="242" ht="41.25" customHeight="1" s="335">
      <c r="A242" s="386" t="inlineStr">
        <is>
          <t>T24CORE</t>
        </is>
      </c>
      <c r="B242" s="386" t="inlineStr">
        <is>
          <t>LD_LOANS_AND_DEPOSITS</t>
        </is>
      </c>
      <c r="C242" s="386" t="inlineStr">
        <is>
          <t>CUSTOMER_ID</t>
        </is>
      </c>
      <c r="D242" s="385" t="inlineStr">
        <is>
          <t>1:1</t>
        </is>
      </c>
      <c r="E242" s="412" t="inlineStr">
        <is>
          <t>Loan Arrangement</t>
        </is>
      </c>
      <c r="F242" s="412" t="inlineStr">
        <is>
          <t>Customer Code/ Customer ID</t>
        </is>
      </c>
      <c r="G242" s="385" t="inlineStr">
        <is>
          <t>PG_BRONZE</t>
        </is>
      </c>
      <c r="H242" s="386" t="inlineStr">
        <is>
          <t>T24CORE_LD_LOANS_AND_DEPOSITS</t>
        </is>
      </c>
      <c r="I242" s="386" t="inlineStr">
        <is>
          <t>CUSTOMER_ID</t>
        </is>
      </c>
      <c r="J242" s="410" t="inlineStr">
        <is>
          <t>VARCHAR2</t>
        </is>
      </c>
      <c r="K242" s="408" t="n">
        <v>100</v>
      </c>
      <c r="L242" s="412" t="inlineStr">
        <is>
          <t>Mã khách hàng</t>
        </is>
      </c>
      <c r="M242" s="412">
        <f>"COMMENT ON COLUMN "&amp;G242&amp;"."&amp;H242&amp;"."&amp;I242&amp;" IS '"&amp;L242&amp;"';"</f>
        <v/>
      </c>
      <c r="N242" s="414" t="inlineStr">
        <is>
          <t>Map 1:1 nguyên bản từ T24CORE.LD_LOANS_AND_DEPOSITS.CUSTOMER_ID sang PG_BRONZE.T24CORE_LD_LOANS_AND_DEPOSITS.CUSTOMER_ID</t>
        </is>
      </c>
    </row>
    <row r="243" ht="41.25" customHeight="1" s="335">
      <c r="A243" s="386" t="inlineStr">
        <is>
          <t>T24CORE</t>
        </is>
      </c>
      <c r="B243" s="386" t="inlineStr">
        <is>
          <t>LD_LOANS_AND_DEPOSITS</t>
        </is>
      </c>
      <c r="C243" s="386" t="inlineStr">
        <is>
          <t>DATE_TIME</t>
        </is>
      </c>
      <c r="D243" s="385" t="inlineStr">
        <is>
          <t>1:1</t>
        </is>
      </c>
      <c r="E243" s="412" t="inlineStr">
        <is>
          <t>Loan Arrangement / Profile / SAOKE_TINDUNG</t>
        </is>
      </c>
      <c r="F243" s="412" t="inlineStr">
        <is>
          <t>Date Time</t>
        </is>
      </c>
      <c r="G243" s="385" t="inlineStr">
        <is>
          <t>PG_BRONZE</t>
        </is>
      </c>
      <c r="H243" s="386" t="inlineStr">
        <is>
          <t>T24CORE_LD_LOANS_AND_DEPOSITS</t>
        </is>
      </c>
      <c r="I243" s="386" t="inlineStr">
        <is>
          <t>DATE_TIME</t>
        </is>
      </c>
      <c r="J243" s="410" t="inlineStr">
        <is>
          <t>DATE</t>
        </is>
      </c>
      <c r="K243" s="408" t="n">
        <v>8</v>
      </c>
      <c r="L243" s="412" t="inlineStr">
        <is>
          <t>Ngày nhập liệu Core</t>
        </is>
      </c>
      <c r="M243" s="412">
        <f>"COMMENT ON COLUMN "&amp;G243&amp;"."&amp;H243&amp;"."&amp;I243&amp;" IS '"&amp;L243&amp;"';"</f>
        <v/>
      </c>
      <c r="N243" s="414" t="inlineStr">
        <is>
          <t>Map 1:1 nguyên bản từ T24CORE.LD_LOANS_AND_DEPOSITS.DATE_TIME sang PG_BRONZE.T24CORE_LD_LOANS_AND_DEPOSITS.DATE_TIME</t>
        </is>
      </c>
    </row>
    <row r="244" ht="54.75" customHeight="1" s="335">
      <c r="A244" s="386" t="inlineStr">
        <is>
          <t>T24CORE</t>
        </is>
      </c>
      <c r="B244" s="386" t="inlineStr">
        <is>
          <t>LD_LOANS_AND_DEPOSITS</t>
        </is>
      </c>
      <c r="C244" s="386" t="inlineStr">
        <is>
          <t>DRAWDOWN_NET_AMT</t>
        </is>
      </c>
      <c r="D244" s="385" t="inlineStr">
        <is>
          <t>1:1</t>
        </is>
      </c>
      <c r="E244" s="412" t="inlineStr">
        <is>
          <t>Loan Arrangement</t>
        </is>
      </c>
      <c r="F244" s="412" t="inlineStr">
        <is>
          <t>Disbursement Amount FCY</t>
        </is>
      </c>
      <c r="G244" s="385" t="inlineStr">
        <is>
          <t>PG_BRONZE</t>
        </is>
      </c>
      <c r="H244" s="386" t="inlineStr">
        <is>
          <t>T24CORE_LD_LOANS_AND_DEPOSITS</t>
        </is>
      </c>
      <c r="I244" s="386" t="inlineStr">
        <is>
          <t>DRAWDOWN_NET_AMT</t>
        </is>
      </c>
      <c r="J244" s="410" t="inlineStr">
        <is>
          <t>NUMBER</t>
        </is>
      </c>
      <c r="K244" s="408" t="n">
        <v>25.5</v>
      </c>
      <c r="L244" s="412" t="inlineStr">
        <is>
          <t>Số tiền thực tế giải ngân</t>
        </is>
      </c>
      <c r="M244" s="412">
        <f>"COMMENT ON COLUMN "&amp;G244&amp;"."&amp;H244&amp;"."&amp;I244&amp;" IS '"&amp;L244&amp;"';"</f>
        <v/>
      </c>
      <c r="N244" s="414" t="inlineStr">
        <is>
          <t>Map 1:1 nguyên bản từ T24CORE.LD_LOANS_AND_DEPOSITS.DRAWDOWN_NET_AMT sang PG_BRONZE.T24CORE_LD_LOANS_AND_DEPOSITS.DRAWDOWN_NET_AMT</t>
        </is>
      </c>
    </row>
    <row r="245" ht="41.25" customHeight="1" s="335">
      <c r="A245" s="386" t="inlineStr">
        <is>
          <t>T24CORE</t>
        </is>
      </c>
      <c r="B245" s="386" t="inlineStr">
        <is>
          <t>LD_LOANS_AND_DEPOSITS</t>
        </is>
      </c>
      <c r="C245" s="386" t="inlineStr">
        <is>
          <t>EXCG_RATE</t>
        </is>
      </c>
      <c r="D245" s="385" t="inlineStr">
        <is>
          <t>1:1</t>
        </is>
      </c>
      <c r="E245" s="412" t="inlineStr">
        <is>
          <t>Loan Arrangement</t>
        </is>
      </c>
      <c r="F245" s="412" t="inlineStr">
        <is>
          <t>Exchange Rate To Local Currency</t>
        </is>
      </c>
      <c r="G245" s="385" t="inlineStr">
        <is>
          <t>PG_BRONZE</t>
        </is>
      </c>
      <c r="H245" s="386" t="inlineStr">
        <is>
          <t>T24CORE_LD_LOANS_AND_DEPOSITS</t>
        </is>
      </c>
      <c r="I245" s="386" t="inlineStr">
        <is>
          <t>EXCG_RATE</t>
        </is>
      </c>
      <c r="J245" s="410" t="inlineStr">
        <is>
          <t>NUMBER</t>
        </is>
      </c>
      <c r="K245" s="408" t="n">
        <v>13.7</v>
      </c>
      <c r="L245" s="412" t="inlineStr">
        <is>
          <t>Tỷ giá quy đổi</t>
        </is>
      </c>
      <c r="M245" s="412">
        <f>"COMMENT ON COLUMN "&amp;G245&amp;"."&amp;H245&amp;"."&amp;I245&amp;" IS '"&amp;L245&amp;"';"</f>
        <v/>
      </c>
      <c r="N245" s="414" t="inlineStr">
        <is>
          <t>Map 1:1 nguyên bản từ T24CORE.LD_LOANS_AND_DEPOSITS.EXCG_RATE sang PG_BRONZE.T24CORE_LD_LOANS_AND_DEPOSITS.EXCG_RATE</t>
        </is>
      </c>
    </row>
    <row r="246" ht="41.25" customHeight="1" s="335">
      <c r="A246" s="386" t="inlineStr">
        <is>
          <t>T24CORE</t>
        </is>
      </c>
      <c r="B246" s="386" t="inlineStr">
        <is>
          <t>LD_LOANS_AND_DEPOSITS</t>
        </is>
      </c>
      <c r="C246" s="386" t="inlineStr">
        <is>
          <t>FCC_LIMIT</t>
        </is>
      </c>
      <c r="D246" s="385" t="inlineStr">
        <is>
          <t>1:1</t>
        </is>
      </c>
      <c r="E246" s="412" t="inlineStr">
        <is>
          <t>Loan Arrangement</t>
        </is>
      </c>
      <c r="F246" s="412" t="inlineStr">
        <is>
          <t>FCC Limit Code</t>
        </is>
      </c>
      <c r="G246" s="385" t="inlineStr">
        <is>
          <t>PG_BRONZE</t>
        </is>
      </c>
      <c r="H246" s="386" t="inlineStr">
        <is>
          <t>T24CORE_LD_LOANS_AND_DEPOSITS</t>
        </is>
      </c>
      <c r="I246" s="386" t="inlineStr">
        <is>
          <t>FCC_LIMIT</t>
        </is>
      </c>
      <c r="J246" s="410" t="inlineStr">
        <is>
          <t>VARCHAR2</t>
        </is>
      </c>
      <c r="K246" s="408" t="n">
        <v>100</v>
      </c>
      <c r="L246" s="412" t="inlineStr">
        <is>
          <t>Mã hạn mức trên Flexcube</t>
        </is>
      </c>
      <c r="M246" s="412">
        <f>"COMMENT ON COLUMN "&amp;G246&amp;"."&amp;H246&amp;"."&amp;I246&amp;" IS '"&amp;L246&amp;"';"</f>
        <v/>
      </c>
      <c r="N246" s="414" t="inlineStr">
        <is>
          <t>Map 1:1 nguyên bản từ T24CORE.LD_LOANS_AND_DEPOSITS.FCC_LIMIT sang PG_BRONZE.T24CORE_LD_LOANS_AND_DEPOSITS.FCC_LIMIT</t>
        </is>
      </c>
    </row>
    <row r="247" ht="41.25" customHeight="1" s="335">
      <c r="A247" s="386" t="inlineStr">
        <is>
          <t>T24CORE</t>
        </is>
      </c>
      <c r="B247" s="386" t="inlineStr">
        <is>
          <t>LD_LOANS_AND_DEPOSITS</t>
        </is>
      </c>
      <c r="C247" s="386" t="inlineStr">
        <is>
          <t>FIN_MAT_DATE</t>
        </is>
      </c>
      <c r="D247" s="385" t="inlineStr">
        <is>
          <t>1:1</t>
        </is>
      </c>
      <c r="E247" s="412" t="inlineStr">
        <is>
          <t>Loan Arrangement</t>
        </is>
      </c>
      <c r="F247" s="412" t="inlineStr">
        <is>
          <t>Maturity Date</t>
        </is>
      </c>
      <c r="G247" s="385" t="inlineStr">
        <is>
          <t>PG_BRONZE</t>
        </is>
      </c>
      <c r="H247" s="386" t="inlineStr">
        <is>
          <t>T24CORE_LD_LOANS_AND_DEPOSITS</t>
        </is>
      </c>
      <c r="I247" s="386" t="inlineStr">
        <is>
          <t>FIN_MAT_DATE</t>
        </is>
      </c>
      <c r="J247" s="410" t="inlineStr">
        <is>
          <t>DATE</t>
        </is>
      </c>
      <c r="K247" s="408" t="n">
        <v>8</v>
      </c>
      <c r="L247" s="412" t="inlineStr">
        <is>
          <t>Ngày đáo hạn hợp đồng</t>
        </is>
      </c>
      <c r="M247" s="412">
        <f>"COMMENT ON COLUMN "&amp;G247&amp;"."&amp;H247&amp;"."&amp;I247&amp;" IS '"&amp;L247&amp;"';"</f>
        <v/>
      </c>
      <c r="N247" s="414" t="inlineStr">
        <is>
          <t>Map 1:1 nguyên bản từ T24CORE.LD_LOANS_AND_DEPOSITS.FIN_MAT_DATE sang PG_BRONZE.T24CORE_LD_LOANS_AND_DEPOSITS.FIN_MAT_DATE</t>
        </is>
      </c>
    </row>
    <row r="248" ht="41.25" customHeight="1" s="335">
      <c r="A248" s="386" t="inlineStr">
        <is>
          <t>T24CORE</t>
        </is>
      </c>
      <c r="B248" s="386" t="inlineStr">
        <is>
          <t>LD_LOANS_AND_DEPOSITS</t>
        </is>
      </c>
      <c r="C248" s="386" t="inlineStr">
        <is>
          <t>ID</t>
        </is>
      </c>
      <c r="D248" s="385" t="inlineStr">
        <is>
          <t>1:1</t>
        </is>
      </c>
      <c r="E248" s="412" t="inlineStr">
        <is>
          <t>Loan Arrangement / Profile / SAOKE_TINDUNG</t>
        </is>
      </c>
      <c r="F248" s="412" t="inlineStr">
        <is>
          <t>Id</t>
        </is>
      </c>
      <c r="G248" s="385" t="inlineStr">
        <is>
          <t>PG_BRONZE</t>
        </is>
      </c>
      <c r="H248" s="386" t="inlineStr">
        <is>
          <t>T24CORE_LD_LOANS_AND_DEPOSITS</t>
        </is>
      </c>
      <c r="I248" s="386" t="inlineStr">
        <is>
          <t>ID</t>
        </is>
      </c>
      <c r="J248" s="410" t="inlineStr">
        <is>
          <t>VARCHAR2</t>
        </is>
      </c>
      <c r="K248" s="408" t="n">
        <v>100</v>
      </c>
      <c r="L248" s="412" t="inlineStr">
        <is>
          <t>Thay = trường RECID</t>
        </is>
      </c>
      <c r="M248" s="412">
        <f>"COMMENT ON COLUMN "&amp;G248&amp;"."&amp;H248&amp;"."&amp;I248&amp;" IS '"&amp;L248&amp;"';"</f>
        <v/>
      </c>
      <c r="N248" s="414" t="inlineStr">
        <is>
          <t>Map 1:1 nguyên bản từ T24CORE.LD_LOANS_AND_DEPOSITS.ID sang PG_BRONZE.T24CORE_LD_LOANS_AND_DEPOSITS.ID</t>
        </is>
      </c>
    </row>
    <row r="249" ht="41.25" customHeight="1" s="335">
      <c r="A249" s="386" t="inlineStr">
        <is>
          <t>T24CORE</t>
        </is>
      </c>
      <c r="B249" s="386" t="inlineStr">
        <is>
          <t>LD_LOANS_AND_DEPOSITS</t>
        </is>
      </c>
      <c r="C249" s="386" t="inlineStr">
        <is>
          <t>INPUTTER</t>
        </is>
      </c>
      <c r="D249" s="385" t="inlineStr">
        <is>
          <t>1:1</t>
        </is>
      </c>
      <c r="E249" s="412" t="inlineStr">
        <is>
          <t>Arrangement x Involved Party Relationship</t>
        </is>
      </c>
      <c r="F249" s="412" t="inlineStr">
        <is>
          <t>Maker Officer</t>
        </is>
      </c>
      <c r="G249" s="385" t="inlineStr">
        <is>
          <t>PG_BRONZE</t>
        </is>
      </c>
      <c r="H249" s="386" t="inlineStr">
        <is>
          <t>T24CORE_LD_LOANS_AND_DEPOSITS</t>
        </is>
      </c>
      <c r="I249" s="386" t="inlineStr">
        <is>
          <t>INPUTTER</t>
        </is>
      </c>
      <c r="J249" s="410" t="inlineStr">
        <is>
          <t>VARCHAR2</t>
        </is>
      </c>
      <c r="K249" s="408" t="n">
        <v>100</v>
      </c>
      <c r="L249" s="412" t="inlineStr">
        <is>
          <t>ID người nhập liệu</t>
        </is>
      </c>
      <c r="M249" s="412">
        <f>"COMMENT ON COLUMN "&amp;G249&amp;"."&amp;H249&amp;"."&amp;I249&amp;" IS '"&amp;L249&amp;"';"</f>
        <v/>
      </c>
      <c r="N249" s="414" t="inlineStr">
        <is>
          <t>Map 1:1 nguyên bản từ T24CORE.LD_LOANS_AND_DEPOSITS.INPUTTER sang PG_BRONZE.T24CORE_LD_LOANS_AND_DEPOSITS.INPUTTER</t>
        </is>
      </c>
    </row>
    <row r="250" ht="41.25" customHeight="1" s="335">
      <c r="A250" s="386" t="inlineStr">
        <is>
          <t>T24CORE</t>
        </is>
      </c>
      <c r="B250" s="386" t="inlineStr">
        <is>
          <t>LD_LOANS_AND_DEPOSITS</t>
        </is>
      </c>
      <c r="C250" s="386" t="inlineStr">
        <is>
          <t>INTEREST_RATE</t>
        </is>
      </c>
      <c r="D250" s="385" t="inlineStr">
        <is>
          <t>1:1</t>
        </is>
      </c>
      <c r="E250" s="412" t="inlineStr">
        <is>
          <t>Arrangement Rate History</t>
        </is>
      </c>
      <c r="F250" s="412" t="inlineStr">
        <is>
          <t>Effective Rate Percentage</t>
        </is>
      </c>
      <c r="G250" s="385" t="inlineStr">
        <is>
          <t>PG_BRONZE</t>
        </is>
      </c>
      <c r="H250" s="386" t="inlineStr">
        <is>
          <t>T24CORE_LD_LOANS_AND_DEPOSITS</t>
        </is>
      </c>
      <c r="I250" s="386" t="inlineStr">
        <is>
          <t>INTEREST_RATE</t>
        </is>
      </c>
      <c r="J250" s="410" t="inlineStr">
        <is>
          <t>NUMBER</t>
        </is>
      </c>
      <c r="K250" s="408" t="n">
        <v>13.7</v>
      </c>
      <c r="L250" s="412" t="inlineStr">
        <is>
          <t>Giá trị lãi suất</t>
        </is>
      </c>
      <c r="M250" s="412">
        <f>"COMMENT ON COLUMN "&amp;G250&amp;"."&amp;H250&amp;"."&amp;I250&amp;" IS '"&amp;L250&amp;"';"</f>
        <v/>
      </c>
      <c r="N250" s="414" t="inlineStr">
        <is>
          <t>Map 1:1 nguyên bản từ T24CORE.LD_LOANS_AND_DEPOSITS.INTEREST_RATE sang PG_BRONZE.T24CORE_LD_LOANS_AND_DEPOSITS.INTEREST_RATE</t>
        </is>
      </c>
    </row>
    <row r="251" ht="54.75" customHeight="1" s="335">
      <c r="A251" s="386" t="inlineStr">
        <is>
          <t>T24CORE</t>
        </is>
      </c>
      <c r="B251" s="386" t="inlineStr">
        <is>
          <t>LD_LOANS_AND_DEPOSITS</t>
        </is>
      </c>
      <c r="C251" s="386" t="inlineStr">
        <is>
          <t>INTEREST_SPREAD</t>
        </is>
      </c>
      <c r="D251" s="385" t="inlineStr">
        <is>
          <t>1:1</t>
        </is>
      </c>
      <c r="E251" s="412" t="inlineStr">
        <is>
          <t>Arrangement Rate History</t>
        </is>
      </c>
      <c r="F251" s="412" t="inlineStr">
        <is>
          <t>Spread Rate Percentage</t>
        </is>
      </c>
      <c r="G251" s="385" t="inlineStr">
        <is>
          <t>PG_BRONZE</t>
        </is>
      </c>
      <c r="H251" s="386" t="inlineStr">
        <is>
          <t>T24CORE_LD_LOANS_AND_DEPOSITS</t>
        </is>
      </c>
      <c r="I251" s="386" t="inlineStr">
        <is>
          <t>INTEREST_SPREAD</t>
        </is>
      </c>
      <c r="J251" s="410" t="inlineStr">
        <is>
          <t>NUMBER</t>
        </is>
      </c>
      <c r="K251" s="408" t="n">
        <v>13.7</v>
      </c>
      <c r="L251" s="412" t="inlineStr">
        <is>
          <t>Biên độ lãi suất</t>
        </is>
      </c>
      <c r="M251" s="412">
        <f>"COMMENT ON COLUMN "&amp;G251&amp;"."&amp;H251&amp;"."&amp;I251&amp;" IS '"&amp;L251&amp;"';"</f>
        <v/>
      </c>
      <c r="N251" s="414" t="inlineStr">
        <is>
          <t>Map 1:1 nguyên bản từ T24CORE.LD_LOANS_AND_DEPOSITS.INTEREST_SPREAD sang PG_BRONZE.T24CORE_LD_LOANS_AND_DEPOSITS.INTEREST_SPREAD</t>
        </is>
      </c>
    </row>
    <row r="252" ht="41.25" customHeight="1" s="335">
      <c r="A252" s="386" t="inlineStr">
        <is>
          <t>T24CORE</t>
        </is>
      </c>
      <c r="B252" s="386" t="inlineStr">
        <is>
          <t>LD_LOANS_AND_DEPOSITS</t>
        </is>
      </c>
      <c r="C252" s="386" t="inlineStr">
        <is>
          <t>INT_LIQ_ACCT</t>
        </is>
      </c>
      <c r="D252" s="385" t="inlineStr">
        <is>
          <t>1:1</t>
        </is>
      </c>
      <c r="E252" s="412" t="inlineStr">
        <is>
          <t>Loan Arrangement Profile</t>
        </is>
      </c>
      <c r="F252" s="412" t="inlineStr">
        <is>
          <t>Interest Liquid Arrangement Code /Interest Liquid Arrangement Id</t>
        </is>
      </c>
      <c r="G252" s="385" t="inlineStr">
        <is>
          <t>PG_BRONZE</t>
        </is>
      </c>
      <c r="H252" s="386" t="inlineStr">
        <is>
          <t>T24CORE_LD_LOANS_AND_DEPOSITS</t>
        </is>
      </c>
      <c r="I252" s="386" t="inlineStr">
        <is>
          <t>INT_LIQ_ACCT</t>
        </is>
      </c>
      <c r="J252" s="410" t="inlineStr">
        <is>
          <t>VARCHAR2</t>
        </is>
      </c>
      <c r="K252" s="408" t="n">
        <v>100</v>
      </c>
      <c r="L252" s="412" t="inlineStr">
        <is>
          <t>Tài khoản thanh toán lãi</t>
        </is>
      </c>
      <c r="M252" s="412">
        <f>"COMMENT ON COLUMN "&amp;G252&amp;"."&amp;H252&amp;"."&amp;I252&amp;" IS '"&amp;L252&amp;"';"</f>
        <v/>
      </c>
      <c r="N252" s="414" t="inlineStr">
        <is>
          <t>Map 1:1 nguyên bản từ T24CORE.LD_LOANS_AND_DEPOSITS.INT_LIQ_ACCT sang PG_BRONZE.T24CORE_LD_LOANS_AND_DEPOSITS.INT_LIQ_ACCT</t>
        </is>
      </c>
    </row>
    <row r="253" ht="41.25" customHeight="1" s="335">
      <c r="A253" s="386" t="inlineStr">
        <is>
          <t>T24CORE</t>
        </is>
      </c>
      <c r="B253" s="386" t="inlineStr">
        <is>
          <t>LD_LOANS_AND_DEPOSITS</t>
        </is>
      </c>
      <c r="C253" s="386" t="inlineStr">
        <is>
          <t>INT_RATE_TYPE</t>
        </is>
      </c>
      <c r="D253" s="385" t="inlineStr">
        <is>
          <t>1:1</t>
        </is>
      </c>
      <c r="E253" s="412" t="inlineStr">
        <is>
          <t>Arrangement Rate History</t>
        </is>
      </c>
      <c r="F253" s="412" t="inlineStr">
        <is>
          <t>Interest Rate Variablity Type Code</t>
        </is>
      </c>
      <c r="G253" s="385" t="inlineStr">
        <is>
          <t>PG_BRONZE</t>
        </is>
      </c>
      <c r="H253" s="386" t="inlineStr">
        <is>
          <t>T24CORE_LD_LOANS_AND_DEPOSITS</t>
        </is>
      </c>
      <c r="I253" s="386" t="inlineStr">
        <is>
          <t>INT_RATE_TYPE</t>
        </is>
      </c>
      <c r="J253" s="410" t="inlineStr">
        <is>
          <t>VARCHAR2</t>
        </is>
      </c>
      <c r="K253" s="408" t="n">
        <v>20</v>
      </c>
      <c r="L253" s="412" t="inlineStr">
        <is>
          <t>Loại lãi suất : Fix , float</t>
        </is>
      </c>
      <c r="M253" s="412">
        <f>"COMMENT ON COLUMN "&amp;G253&amp;"."&amp;H253&amp;"."&amp;I253&amp;" IS '"&amp;L253&amp;"';"</f>
        <v/>
      </c>
      <c r="N253" s="414" t="inlineStr">
        <is>
          <t>Map 1:1 nguyên bản từ T24CORE.LD_LOANS_AND_DEPOSITS.INT_RATE_TYPE sang PG_BRONZE.T24CORE_LD_LOANS_AND_DEPOSITS.INT_RATE_TYPE</t>
        </is>
      </c>
    </row>
    <row r="254" ht="54.75" customHeight="1" s="335">
      <c r="A254" s="386" t="inlineStr">
        <is>
          <t>T24CORE</t>
        </is>
      </c>
      <c r="B254" s="386" t="inlineStr">
        <is>
          <t>LD_LOANS_AND_DEPOSITS</t>
        </is>
      </c>
      <c r="C254" s="386" t="inlineStr">
        <is>
          <t>INT_VALUE_DATE</t>
        </is>
      </c>
      <c r="D254" s="385" t="inlineStr">
        <is>
          <t>1:1</t>
        </is>
      </c>
      <c r="E254" s="412" t="inlineStr">
        <is>
          <t>Arrangement Rate History</t>
        </is>
      </c>
      <c r="F254" s="412" t="inlineStr">
        <is>
          <t>Interest Rate Effective Date</t>
        </is>
      </c>
      <c r="G254" s="385" t="inlineStr">
        <is>
          <t>PG_BRONZE</t>
        </is>
      </c>
      <c r="H254" s="386" t="inlineStr">
        <is>
          <t>T24CORE_LD_LOANS_AND_DEPOSITS</t>
        </is>
      </c>
      <c r="I254" s="386" t="inlineStr">
        <is>
          <t>INT_VALUE_DATE</t>
        </is>
      </c>
      <c r="J254" s="410" t="inlineStr">
        <is>
          <t>DATE</t>
        </is>
      </c>
      <c r="K254" s="408" t="n">
        <v>8</v>
      </c>
      <c r="L254" s="412" t="inlineStr">
        <is>
          <t>Ngày hiệu lực lãi suất</t>
        </is>
      </c>
      <c r="M254" s="412">
        <f>"COMMENT ON COLUMN "&amp;G254&amp;"."&amp;H254&amp;"."&amp;I254&amp;" IS '"&amp;L254&amp;"';"</f>
        <v/>
      </c>
      <c r="N254" s="414" t="inlineStr">
        <is>
          <t>Map 1:1 nguyên bản từ T24CORE.LD_LOANS_AND_DEPOSITS.INT_VALUE_DATE sang PG_BRONZE.T24CORE_LD_LOANS_AND_DEPOSITS.INT_VALUE_DATE</t>
        </is>
      </c>
    </row>
    <row r="255" ht="54.75" customHeight="1" s="335">
      <c r="A255" s="386" t="inlineStr">
        <is>
          <t>T24CORE</t>
        </is>
      </c>
      <c r="B255" s="386" t="inlineStr">
        <is>
          <t>LD_LOANS_AND_DEPOSITS</t>
        </is>
      </c>
      <c r="C255" s="386" t="inlineStr">
        <is>
          <t>LIMIT_REFERENCE</t>
        </is>
      </c>
      <c r="D255" s="385" t="inlineStr">
        <is>
          <t>1:1</t>
        </is>
      </c>
      <c r="E255" s="412" t="inlineStr">
        <is>
          <t>Loan Arrangement</t>
        </is>
      </c>
      <c r="F255" s="412" t="inlineStr">
        <is>
          <t>Limit Id/  Limit Code</t>
        </is>
      </c>
      <c r="G255" s="385" t="inlineStr">
        <is>
          <t>PG_BRONZE</t>
        </is>
      </c>
      <c r="H255" s="386" t="inlineStr">
        <is>
          <t>T24CORE_LD_LOANS_AND_DEPOSITS</t>
        </is>
      </c>
      <c r="I255" s="386" t="inlineStr">
        <is>
          <t>LIMIT_REFERENCE</t>
        </is>
      </c>
      <c r="J255" s="410" t="inlineStr">
        <is>
          <t>VARCHAR2</t>
        </is>
      </c>
      <c r="K255" s="408" t="n">
        <v>100</v>
      </c>
      <c r="L255" s="412" t="inlineStr">
        <is>
          <t>Mã tham chiếu hạn mức</t>
        </is>
      </c>
      <c r="M255" s="412">
        <f>"COMMENT ON COLUMN "&amp;G255&amp;"."&amp;H255&amp;"."&amp;I255&amp;" IS '"&amp;L255&amp;"';"</f>
        <v/>
      </c>
      <c r="N255" s="414" t="inlineStr">
        <is>
          <t>Map 1:1 nguyên bản từ T24CORE.LD_LOANS_AND_DEPOSITS.LIMIT_REFERENCE sang PG_BRONZE.T24CORE_LD_LOANS_AND_DEPOSITS.LIMIT_REFERENCE</t>
        </is>
      </c>
    </row>
    <row r="256" ht="41.25" customHeight="1" s="335">
      <c r="A256" s="386" t="inlineStr">
        <is>
          <t>T24CORE</t>
        </is>
      </c>
      <c r="B256" s="386" t="inlineStr">
        <is>
          <t>LD_LOANS_AND_DEPOSITS</t>
        </is>
      </c>
      <c r="C256" s="386" t="inlineStr">
        <is>
          <t>LOC_TERM</t>
        </is>
      </c>
      <c r="D256" s="385" t="inlineStr">
        <is>
          <t>1:1</t>
        </is>
      </c>
      <c r="E256" s="412" t="inlineStr">
        <is>
          <t>Loan Arrangement</t>
        </is>
      </c>
      <c r="F256" s="412" t="inlineStr">
        <is>
          <t>Term Code</t>
        </is>
      </c>
      <c r="G256" s="385" t="inlineStr">
        <is>
          <t>PG_BRONZE</t>
        </is>
      </c>
      <c r="H256" s="386" t="inlineStr">
        <is>
          <t>T24CORE_LD_LOANS_AND_DEPOSITS</t>
        </is>
      </c>
      <c r="I256" s="386" t="inlineStr">
        <is>
          <t>LOC_TERM</t>
        </is>
      </c>
      <c r="J256" s="410" t="inlineStr">
        <is>
          <t>VARCHAR2</t>
        </is>
      </c>
      <c r="K256" s="408" t="n">
        <v>100</v>
      </c>
      <c r="L256" s="412" t="inlineStr">
        <is>
          <t>Kỳ hạn</t>
        </is>
      </c>
      <c r="M256" s="412">
        <f>"COMMENT ON COLUMN "&amp;G256&amp;"."&amp;H256&amp;"."&amp;I256&amp;" IS '"&amp;L256&amp;"';"</f>
        <v/>
      </c>
      <c r="N256" s="414" t="inlineStr">
        <is>
          <t>Map 1:1 nguyên bản từ T24CORE.LD_LOANS_AND_DEPOSITS.LOC_TERM sang PG_BRONZE.T24CORE_LD_LOANS_AND_DEPOSITS.LOC_TERM</t>
        </is>
      </c>
    </row>
    <row r="257" ht="41.25" customHeight="1" s="335">
      <c r="A257" s="386" t="inlineStr">
        <is>
          <t>T24CORE</t>
        </is>
      </c>
      <c r="B257" s="386" t="inlineStr">
        <is>
          <t>LD_LOANS_AND_DEPOSITS</t>
        </is>
      </c>
      <c r="C257" s="386" t="inlineStr">
        <is>
          <t>LOS_FAC_CODE</t>
        </is>
      </c>
      <c r="D257" s="385" t="inlineStr">
        <is>
          <t>1:1</t>
        </is>
      </c>
      <c r="E257" s="412" t="inlineStr">
        <is>
          <t>Loan Arrangement</t>
        </is>
      </c>
      <c r="F257" s="412" t="inlineStr">
        <is>
          <t>LOS Contract Number</t>
        </is>
      </c>
      <c r="G257" s="385" t="inlineStr">
        <is>
          <t>PG_BRONZE</t>
        </is>
      </c>
      <c r="H257" s="386" t="inlineStr">
        <is>
          <t>T24CORE_LD_LOANS_AND_DEPOSITS</t>
        </is>
      </c>
      <c r="I257" s="386" t="inlineStr">
        <is>
          <t>LOS_FAC_CODE</t>
        </is>
      </c>
      <c r="J257" s="410" t="inlineStr">
        <is>
          <t>VARCHAR2</t>
        </is>
      </c>
      <c r="K257" s="408" t="n">
        <v>100</v>
      </c>
      <c r="L257" s="412" t="inlineStr">
        <is>
          <t>Số hồ sơ</t>
        </is>
      </c>
      <c r="M257" s="412">
        <f>"COMMENT ON COLUMN "&amp;G257&amp;"."&amp;H257&amp;"."&amp;I257&amp;" IS '"&amp;L257&amp;"';"</f>
        <v/>
      </c>
      <c r="N257" s="414" t="inlineStr">
        <is>
          <t>Map 1:1 nguyên bản từ T24CORE.LD_LOANS_AND_DEPOSITS.LOS_FAC_CODE sang PG_BRONZE.T24CORE_LD_LOANS_AND_DEPOSITS.LOS_FAC_CODE</t>
        </is>
      </c>
    </row>
    <row r="258" ht="54.75" customHeight="1" s="335">
      <c r="A258" s="386" t="inlineStr">
        <is>
          <t>T24CORE</t>
        </is>
      </c>
      <c r="B258" s="386" t="inlineStr">
        <is>
          <t>LD_LOANS_AND_DEPOSITS</t>
        </is>
      </c>
      <c r="C258" s="386" t="inlineStr">
        <is>
          <t>MB_RM_BANCHEO</t>
        </is>
      </c>
      <c r="D258" s="385" t="inlineStr">
        <is>
          <t>1:1</t>
        </is>
      </c>
      <c r="E258" s="412" t="inlineStr">
        <is>
          <t>Arrangement x Involved Party Relationship</t>
        </is>
      </c>
      <c r="F258" s="412" t="inlineStr">
        <is>
          <t>Referrer Officer</t>
        </is>
      </c>
      <c r="G258" s="385" t="inlineStr">
        <is>
          <t>PG_BRONZE</t>
        </is>
      </c>
      <c r="H258" s="386" t="inlineStr">
        <is>
          <t>T24CORE_LD_LOANS_AND_DEPOSITS</t>
        </is>
      </c>
      <c r="I258" s="386" t="inlineStr">
        <is>
          <t>MB_RM_BANCHEO</t>
        </is>
      </c>
      <c r="J258" s="410" t="inlineStr">
        <is>
          <t>VARCHAR2</t>
        </is>
      </c>
      <c r="K258" s="408" t="n">
        <v>100</v>
      </c>
      <c r="L258" s="412" t="inlineStr">
        <is>
          <t>ID nhân viên giới thiệu</t>
        </is>
      </c>
      <c r="M258" s="412">
        <f>"COMMENT ON COLUMN "&amp;G258&amp;"."&amp;H258&amp;"."&amp;I258&amp;" IS '"&amp;L258&amp;"';"</f>
        <v/>
      </c>
      <c r="N258" s="414" t="inlineStr">
        <is>
          <t>Map 1:1 nguyên bản từ T24CORE.LD_LOANS_AND_DEPOSITS.MB_RM_BANCHEO sang PG_BRONZE.T24CORE_LD_LOANS_AND_DEPOSITS.MB_RM_BANCHEO</t>
        </is>
      </c>
    </row>
    <row r="259" ht="41.25" customHeight="1" s="335">
      <c r="A259" s="386" t="inlineStr">
        <is>
          <t>T24CORE</t>
        </is>
      </c>
      <c r="B259" s="386" t="inlineStr">
        <is>
          <t>LD_LOANS_AND_DEPOSITS</t>
        </is>
      </c>
      <c r="C259" s="386" t="inlineStr">
        <is>
          <t>ORIG_VAL_DATE</t>
        </is>
      </c>
      <c r="D259" s="385" t="inlineStr">
        <is>
          <t>1:1</t>
        </is>
      </c>
      <c r="E259" s="412" t="inlineStr">
        <is>
          <t>Loan Arrangement</t>
        </is>
      </c>
      <c r="F259" s="412" t="inlineStr">
        <is>
          <t>Value Date</t>
        </is>
      </c>
      <c r="G259" s="385" t="inlineStr">
        <is>
          <t>PG_BRONZE</t>
        </is>
      </c>
      <c r="H259" s="386" t="inlineStr">
        <is>
          <t>T24CORE_LD_LOANS_AND_DEPOSITS</t>
        </is>
      </c>
      <c r="I259" s="386" t="inlineStr">
        <is>
          <t>ORIG_VAL_DATE</t>
        </is>
      </c>
      <c r="J259" s="410" t="inlineStr">
        <is>
          <t>DATE</t>
        </is>
      </c>
      <c r="K259" s="408" t="n">
        <v>8</v>
      </c>
      <c r="L259" s="412" t="inlineStr">
        <is>
          <t>Ngày hiệu lực đầu tiên của hợp đồng</t>
        </is>
      </c>
      <c r="M259" s="412">
        <f>"COMMENT ON COLUMN "&amp;G259&amp;"."&amp;H259&amp;"."&amp;I259&amp;" IS '"&amp;L259&amp;"';"</f>
        <v/>
      </c>
      <c r="N259" s="414" t="inlineStr">
        <is>
          <t>Map 1:1 nguyên bản từ T24CORE.LD_LOANS_AND_DEPOSITS.ORIG_VAL_DATE sang PG_BRONZE.T24CORE_LD_LOANS_AND_DEPOSITS.ORIG_VAL_DATE</t>
        </is>
      </c>
    </row>
    <row r="260" ht="41.25" customHeight="1" s="335">
      <c r="A260" s="386" t="inlineStr">
        <is>
          <t>T24CORE</t>
        </is>
      </c>
      <c r="B260" s="386" t="inlineStr">
        <is>
          <t>LD_LOANS_AND_DEPOSITS</t>
        </is>
      </c>
      <c r="C260" s="386" t="inlineStr">
        <is>
          <t>PE_RATE</t>
        </is>
      </c>
      <c r="D260" s="385" t="inlineStr">
        <is>
          <t>1:1</t>
        </is>
      </c>
      <c r="E260" s="412" t="inlineStr">
        <is>
          <t>Arrangement Rate History</t>
        </is>
      </c>
      <c r="F260" s="412" t="inlineStr">
        <is>
          <t>Penalty Rate</t>
        </is>
      </c>
      <c r="G260" s="385" t="inlineStr">
        <is>
          <t>PG_BRONZE</t>
        </is>
      </c>
      <c r="H260" s="386" t="inlineStr">
        <is>
          <t>T24CORE_LD_LOANS_AND_DEPOSITS</t>
        </is>
      </c>
      <c r="I260" s="386" t="inlineStr">
        <is>
          <t>PE_RATE</t>
        </is>
      </c>
      <c r="J260" s="410" t="inlineStr">
        <is>
          <t>NUMBER</t>
        </is>
      </c>
      <c r="K260" s="408" t="n">
        <v>13.7</v>
      </c>
      <c r="L260" s="412" t="inlineStr">
        <is>
          <t>Lãi phạt penalty rate</t>
        </is>
      </c>
      <c r="M260" s="412">
        <f>"COMMENT ON COLUMN "&amp;G260&amp;"."&amp;H260&amp;"."&amp;I260&amp;" IS '"&amp;L260&amp;"';"</f>
        <v/>
      </c>
      <c r="N260" s="414" t="inlineStr">
        <is>
          <t>Map 1:1 nguyên bản từ T24CORE.LD_LOANS_AND_DEPOSITS.PE_RATE sang PG_BRONZE.T24CORE_LD_LOANS_AND_DEPOSITS.PE_RATE</t>
        </is>
      </c>
    </row>
    <row r="261" ht="41.25" customHeight="1" s="335">
      <c r="A261" s="386" t="inlineStr">
        <is>
          <t>T24CORE</t>
        </is>
      </c>
      <c r="B261" s="386" t="inlineStr">
        <is>
          <t>LD_LOANS_AND_DEPOSITS</t>
        </is>
      </c>
      <c r="C261" s="386" t="inlineStr">
        <is>
          <t>PRIN_LIQ_ACCT</t>
        </is>
      </c>
      <c r="D261" s="385" t="inlineStr">
        <is>
          <t>1:1</t>
        </is>
      </c>
      <c r="E261" s="412" t="inlineStr">
        <is>
          <t>Loan Arrangement Profile</t>
        </is>
      </c>
      <c r="F261" s="412" t="inlineStr">
        <is>
          <t>Principal Liquid Arrangement Code / Principal Liquid Arrangement Id</t>
        </is>
      </c>
      <c r="G261" s="385" t="inlineStr">
        <is>
          <t>PG_BRONZE</t>
        </is>
      </c>
      <c r="H261" s="386" t="inlineStr">
        <is>
          <t>T24CORE_LD_LOANS_AND_DEPOSITS</t>
        </is>
      </c>
      <c r="I261" s="386" t="inlineStr">
        <is>
          <t>PRIN_LIQ_ACCT</t>
        </is>
      </c>
      <c r="J261" s="410" t="inlineStr">
        <is>
          <t>VARCHAR2</t>
        </is>
      </c>
      <c r="K261" s="408" t="n">
        <v>100</v>
      </c>
      <c r="L261" s="412" t="inlineStr">
        <is>
          <t>Tài khoản thanh toán gốc</t>
        </is>
      </c>
      <c r="M261" s="412">
        <f>"COMMENT ON COLUMN "&amp;G261&amp;"."&amp;H261&amp;"."&amp;I261&amp;" IS '"&amp;L261&amp;"';"</f>
        <v/>
      </c>
      <c r="N261" s="414" t="inlineStr">
        <is>
          <t>Map 1:1 nguyên bản từ T24CORE.LD_LOANS_AND_DEPOSITS.PRIN_LIQ_ACCT sang PG_BRONZE.T24CORE_LD_LOANS_AND_DEPOSITS.PRIN_LIQ_ACCT</t>
        </is>
      </c>
    </row>
    <row r="262" ht="54.75" customHeight="1" s="335">
      <c r="A262" s="386" t="inlineStr">
        <is>
          <t>T24CORE</t>
        </is>
      </c>
      <c r="B262" s="386" t="inlineStr">
        <is>
          <t>LD_LOANS_AND_DEPOSITS</t>
        </is>
      </c>
      <c r="C262" s="386" t="inlineStr">
        <is>
          <t>PRODUCTGR_CODE</t>
        </is>
      </c>
      <c r="D262" s="385" t="inlineStr">
        <is>
          <t>1:1</t>
        </is>
      </c>
      <c r="E262" s="412" t="inlineStr">
        <is>
          <t>Loan Arrangement</t>
        </is>
      </c>
      <c r="F262" s="412" t="inlineStr">
        <is>
          <t>Product Code</t>
        </is>
      </c>
      <c r="G262" s="385" t="inlineStr">
        <is>
          <t>PG_BRONZE</t>
        </is>
      </c>
      <c r="H262" s="386" t="inlineStr">
        <is>
          <t>T24CORE_LD_LOANS_AND_DEPOSITS</t>
        </is>
      </c>
      <c r="I262" s="386" t="inlineStr">
        <is>
          <t>PRODUCTGR_CODE</t>
        </is>
      </c>
      <c r="J262" s="410" t="inlineStr">
        <is>
          <t>VARCHAR2</t>
        </is>
      </c>
      <c r="K262" s="408" t="n">
        <v>100</v>
      </c>
      <c r="L262" s="412" t="inlineStr">
        <is>
          <t>Mã nhóm sản phẩm</t>
        </is>
      </c>
      <c r="M262" s="412">
        <f>"COMMENT ON COLUMN "&amp;G262&amp;"."&amp;H262&amp;"."&amp;I262&amp;" IS '"&amp;L262&amp;"';"</f>
        <v/>
      </c>
      <c r="N262" s="414" t="inlineStr">
        <is>
          <t>Map 1:1 nguyên bản từ T24CORE.LD_LOANS_AND_DEPOSITS.PRODUCTGR_CODE sang PG_BRONZE.T24CORE_LD_LOANS_AND_DEPOSITS.PRODUCTGR_CODE</t>
        </is>
      </c>
    </row>
    <row r="263" ht="41.25" customHeight="1" s="335">
      <c r="A263" s="386" t="inlineStr">
        <is>
          <t>T24CORE</t>
        </is>
      </c>
      <c r="B263" s="386" t="inlineStr">
        <is>
          <t>LD_LOANS_AND_DEPOSITS</t>
        </is>
      </c>
      <c r="C263" s="386" t="inlineStr">
        <is>
          <t>PS_RATE</t>
        </is>
      </c>
      <c r="D263" s="385" t="inlineStr">
        <is>
          <t>1:1</t>
        </is>
      </c>
      <c r="E263" s="412" t="inlineStr">
        <is>
          <t>Arrangement Rate History</t>
        </is>
      </c>
      <c r="F263" s="412" t="inlineStr">
        <is>
          <t>Overdue Interest Rate</t>
        </is>
      </c>
      <c r="G263" s="385" t="inlineStr">
        <is>
          <t>PG_BRONZE</t>
        </is>
      </c>
      <c r="H263" s="386" t="inlineStr">
        <is>
          <t>T24CORE_LD_LOANS_AND_DEPOSITS</t>
        </is>
      </c>
      <c r="I263" s="386" t="inlineStr">
        <is>
          <t>PS_RATE</t>
        </is>
      </c>
      <c r="J263" s="410" t="inlineStr">
        <is>
          <t>NUMBER</t>
        </is>
      </c>
      <c r="K263" s="408" t="n">
        <v>13.7</v>
      </c>
      <c r="L263" s="412" t="inlineStr">
        <is>
          <t>Lãi suất cho quá hạn</t>
        </is>
      </c>
      <c r="M263" s="412">
        <f>"COMMENT ON COLUMN "&amp;G263&amp;"."&amp;H263&amp;"."&amp;I263&amp;" IS '"&amp;L263&amp;"';"</f>
        <v/>
      </c>
      <c r="N263" s="414" t="inlineStr">
        <is>
          <t>Map 1:1 nguyên bản từ T24CORE.LD_LOANS_AND_DEPOSITS.PS_RATE sang PG_BRONZE.T24CORE_LD_LOANS_AND_DEPOSITS.PS_RATE</t>
        </is>
      </c>
    </row>
    <row r="264" ht="41.25" customHeight="1" s="335">
      <c r="A264" s="386" t="inlineStr">
        <is>
          <t>T24CORE</t>
        </is>
      </c>
      <c r="B264" s="386" t="inlineStr">
        <is>
          <t>LD_LOANS_AND_DEPOSITS</t>
        </is>
      </c>
      <c r="C264" s="386" t="inlineStr">
        <is>
          <t>REAL_RATE</t>
        </is>
      </c>
      <c r="D264" s="385" t="inlineStr">
        <is>
          <t>1:1</t>
        </is>
      </c>
      <c r="E264" s="412" t="inlineStr">
        <is>
          <t>Loan Arrangement / Profile / sk_lich_tra_no</t>
        </is>
      </c>
      <c r="F264" s="412" t="inlineStr">
        <is>
          <t>Real Rate</t>
        </is>
      </c>
      <c r="G264" s="385" t="inlineStr">
        <is>
          <t>PG_BRONZE</t>
        </is>
      </c>
      <c r="H264" s="386" t="inlineStr">
        <is>
          <t>T24CORE_LD_LOANS_AND_DEPOSITS</t>
        </is>
      </c>
      <c r="I264" s="386" t="inlineStr">
        <is>
          <t>REAL_RATE</t>
        </is>
      </c>
      <c r="J264" s="410" t="inlineStr">
        <is>
          <t>NUMBER</t>
        </is>
      </c>
      <c r="K264" s="408" t="n">
        <v>13.7</v>
      </c>
      <c r="L264" s="412" t="inlineStr">
        <is>
          <t>Lãi suât thực tế</t>
        </is>
      </c>
      <c r="M264" s="412">
        <f>"COMMENT ON COLUMN "&amp;G264&amp;"."&amp;H264&amp;"."&amp;I264&amp;" IS '"&amp;L264&amp;"';"</f>
        <v/>
      </c>
      <c r="N264" s="414" t="inlineStr">
        <is>
          <t>Map 1:1 nguyên bản từ T24CORE.LD_LOANS_AND_DEPOSITS.REAL_RATE sang PG_BRONZE.T24CORE_LD_LOANS_AND_DEPOSITS.REAL_RATE</t>
        </is>
      </c>
    </row>
    <row r="265" ht="41.25" customHeight="1" s="335">
      <c r="A265" s="386" t="inlineStr">
        <is>
          <t>T24CORE</t>
        </is>
      </c>
      <c r="B265" s="386" t="inlineStr">
        <is>
          <t>LD_LOANS_AND_DEPOSITS</t>
        </is>
      </c>
      <c r="C265" s="386" t="inlineStr">
        <is>
          <t>RECID</t>
        </is>
      </c>
      <c r="D265" s="385" t="inlineStr">
        <is>
          <t>1:1</t>
        </is>
      </c>
      <c r="E265" s="412" t="inlineStr">
        <is>
          <t>Loan Arrangement</t>
        </is>
      </c>
      <c r="F265" s="412" t="inlineStr">
        <is>
          <t>Arrangement Code</t>
        </is>
      </c>
      <c r="G265" s="385" t="inlineStr">
        <is>
          <t>PG_BRONZE</t>
        </is>
      </c>
      <c r="H265" s="386" t="inlineStr">
        <is>
          <t>T24CORE_LD_LOANS_AND_DEPOSITS</t>
        </is>
      </c>
      <c r="I265" s="386" t="inlineStr">
        <is>
          <t>RECID</t>
        </is>
      </c>
      <c r="J265" s="410" t="inlineStr">
        <is>
          <t>VARCHAR2</t>
        </is>
      </c>
      <c r="K265" s="408" t="n">
        <v>100</v>
      </c>
      <c r="L265" s="412" t="inlineStr">
        <is>
          <t>Mã hợp đồng</t>
        </is>
      </c>
      <c r="M265" s="412">
        <f>"COMMENT ON COLUMN "&amp;G265&amp;"."&amp;H265&amp;"."&amp;I265&amp;" IS '"&amp;L265&amp;"';"</f>
        <v/>
      </c>
      <c r="N265" s="414" t="inlineStr">
        <is>
          <t>Map 1:1 nguyên bản từ T24CORE.LD_LOANS_AND_DEPOSITS.RECID sang PG_BRONZE.T24CORE_LD_LOANS_AND_DEPOSITS.RECID</t>
        </is>
      </c>
    </row>
    <row r="266" ht="54.75" customHeight="1" s="335">
      <c r="A266" s="386" t="inlineStr">
        <is>
          <t>T24CORE</t>
        </is>
      </c>
      <c r="B266" s="386" t="inlineStr">
        <is>
          <t>LD_LOANS_AND_DEPOSITS</t>
        </is>
      </c>
      <c r="C266" s="386" t="inlineStr">
        <is>
          <t>RECORD_STATUS</t>
        </is>
      </c>
      <c r="D266" s="385" t="inlineStr">
        <is>
          <t>1:1</t>
        </is>
      </c>
      <c r="E266" s="412" t="inlineStr">
        <is>
          <t>Loan Arrangement / Profile / sk_lich_tra_no</t>
        </is>
      </c>
      <c r="F266" s="412" t="inlineStr">
        <is>
          <t>Record Status</t>
        </is>
      </c>
      <c r="G266" s="385" t="inlineStr">
        <is>
          <t>PG_BRONZE</t>
        </is>
      </c>
      <c r="H266" s="386" t="inlineStr">
        <is>
          <t>T24CORE_LD_LOANS_AND_DEPOSITS</t>
        </is>
      </c>
      <c r="I266" s="386" t="inlineStr">
        <is>
          <t>RECORD_STATUS</t>
        </is>
      </c>
      <c r="J266" s="410" t="inlineStr">
        <is>
          <t>VARCHAR2</t>
        </is>
      </c>
      <c r="K266" s="408" t="n">
        <v>100</v>
      </c>
      <c r="L266" s="412" t="inlineStr">
        <is>
          <t>Trạng thái bản ghi</t>
        </is>
      </c>
      <c r="M266" s="412">
        <f>"COMMENT ON COLUMN "&amp;G266&amp;"."&amp;H266&amp;"."&amp;I266&amp;" IS '"&amp;L266&amp;"';"</f>
        <v/>
      </c>
      <c r="N266" s="414" t="inlineStr">
        <is>
          <t>Map 1:1 nguyên bản từ T24CORE.LD_LOANS_AND_DEPOSITS.RECORD_STATUS sang PG_BRONZE.T24CORE_LD_LOANS_AND_DEPOSITS.RECORD_STATUS</t>
        </is>
      </c>
    </row>
    <row r="267" ht="41.25" customHeight="1" s="335">
      <c r="A267" s="386" t="inlineStr">
        <is>
          <t>T24CORE</t>
        </is>
      </c>
      <c r="B267" s="386" t="inlineStr">
        <is>
          <t>LD_LOANS_AND_DEPOSITS</t>
        </is>
      </c>
      <c r="C267" s="386" t="inlineStr">
        <is>
          <t>STATUS</t>
        </is>
      </c>
      <c r="D267" s="385" t="inlineStr">
        <is>
          <t>1:1</t>
        </is>
      </c>
      <c r="E267" s="412" t="inlineStr">
        <is>
          <t>Loan Arrangement Profile</t>
        </is>
      </c>
      <c r="F267" s="412" t="inlineStr">
        <is>
          <t>Arrangement Life Cycle Status Type Code</t>
        </is>
      </c>
      <c r="G267" s="385" t="inlineStr">
        <is>
          <t>PG_BRONZE</t>
        </is>
      </c>
      <c r="H267" s="386" t="inlineStr">
        <is>
          <t>T24CORE_LD_LOANS_AND_DEPOSITS</t>
        </is>
      </c>
      <c r="I267" s="386" t="inlineStr">
        <is>
          <t>STATUS</t>
        </is>
      </c>
      <c r="J267" s="410" t="inlineStr">
        <is>
          <t>VARCHAR2</t>
        </is>
      </c>
      <c r="K267" s="408" t="n">
        <v>100</v>
      </c>
      <c r="L267" s="412" t="inlineStr">
        <is>
          <t>Trạng thái</t>
        </is>
      </c>
      <c r="M267" s="412">
        <f>"COMMENT ON COLUMN "&amp;G267&amp;"."&amp;H267&amp;"."&amp;I267&amp;" IS '"&amp;L267&amp;"';"</f>
        <v/>
      </c>
      <c r="N267" s="414" t="inlineStr">
        <is>
          <t>Map 1:1 nguyên bản từ T24CORE.LD_LOANS_AND_DEPOSITS.STATUS sang PG_BRONZE.T24CORE_LD_LOANS_AND_DEPOSITS.STATUS</t>
        </is>
      </c>
    </row>
    <row r="268" ht="41.25" customHeight="1" s="335">
      <c r="A268" s="386" t="inlineStr">
        <is>
          <t>T24CORE</t>
        </is>
      </c>
      <c r="B268" s="386" t="inlineStr">
        <is>
          <t>LD_LOANS_AND_DEPOSITS</t>
        </is>
      </c>
      <c r="C268" s="386" t="inlineStr">
        <is>
          <t>USE_OF_LOAN</t>
        </is>
      </c>
      <c r="D268" s="385" t="inlineStr">
        <is>
          <t>1:1</t>
        </is>
      </c>
      <c r="E268" s="412" t="inlineStr">
        <is>
          <t>Loan Arrangement</t>
        </is>
      </c>
      <c r="F268" s="412" t="inlineStr">
        <is>
          <t>Arrangement Purpose Type Code</t>
        </is>
      </c>
      <c r="G268" s="385" t="inlineStr">
        <is>
          <t>PG_BRONZE</t>
        </is>
      </c>
      <c r="H268" s="386" t="inlineStr">
        <is>
          <t>T24CORE_LD_LOANS_AND_DEPOSITS</t>
        </is>
      </c>
      <c r="I268" s="386" t="inlineStr">
        <is>
          <t>USE_OF_LOAN</t>
        </is>
      </c>
      <c r="J268" s="410" t="inlineStr">
        <is>
          <t>VARCHAR2</t>
        </is>
      </c>
      <c r="K268" s="408" t="n">
        <v>100</v>
      </c>
      <c r="L268" s="412" t="inlineStr">
        <is>
          <t>Mã mục đích vay</t>
        </is>
      </c>
      <c r="M268" s="412">
        <f>"COMMENT ON COLUMN "&amp;G268&amp;"."&amp;H268&amp;"."&amp;I268&amp;" IS '"&amp;L268&amp;"';"</f>
        <v/>
      </c>
      <c r="N268" s="414" t="inlineStr">
        <is>
          <t>Map 1:1 nguyên bản từ T24CORE.LD_LOANS_AND_DEPOSITS.USE_OF_LOAN sang PG_BRONZE.T24CORE_LD_LOANS_AND_DEPOSITS.USE_OF_LOAN</t>
        </is>
      </c>
    </row>
    <row r="269" ht="54.75" customHeight="1" s="335">
      <c r="A269" s="386" t="inlineStr">
        <is>
          <t>T24CORE</t>
        </is>
      </c>
      <c r="B269" s="386" t="inlineStr">
        <is>
          <t>LD_LOANS_AND_DEPOSITS</t>
        </is>
      </c>
      <c r="C269" s="386" t="inlineStr">
        <is>
          <t>USE_OF_LOAN_CHA</t>
        </is>
      </c>
      <c r="D269" s="385" t="inlineStr">
        <is>
          <t>1:1</t>
        </is>
      </c>
      <c r="E269" s="412" t="inlineStr">
        <is>
          <t>Loan Arrangement</t>
        </is>
      </c>
      <c r="F269" s="412" t="inlineStr">
        <is>
          <t>Arrangement Purpose Group Code</t>
        </is>
      </c>
      <c r="G269" s="385" t="inlineStr">
        <is>
          <t>PG_BRONZE</t>
        </is>
      </c>
      <c r="H269" s="386" t="inlineStr">
        <is>
          <t>T24CORE_LD_LOANS_AND_DEPOSITS</t>
        </is>
      </c>
      <c r="I269" s="386" t="inlineStr">
        <is>
          <t>USE_OF_LOAN_CHA</t>
        </is>
      </c>
      <c r="J269" s="410" t="inlineStr">
        <is>
          <t>VARCHAR2</t>
        </is>
      </c>
      <c r="K269" s="408" t="n">
        <v>100</v>
      </c>
      <c r="L269" s="412" t="inlineStr">
        <is>
          <t>Mã nhóm mục đích vay</t>
        </is>
      </c>
      <c r="M269" s="412">
        <f>"COMMENT ON COLUMN "&amp;G269&amp;"."&amp;H269&amp;"."&amp;I269&amp;" IS '"&amp;L269&amp;"';"</f>
        <v/>
      </c>
      <c r="N269" s="414" t="inlineStr">
        <is>
          <t>Map 1:1 nguyên bản từ T24CORE.LD_LOANS_AND_DEPOSITS.USE_OF_LOAN_CHA sang PG_BRONZE.T24CORE_LD_LOANS_AND_DEPOSITS.USE_OF_LOAN_CHA</t>
        </is>
      </c>
    </row>
    <row r="270" ht="41.25" customHeight="1" s="335">
      <c r="A270" s="386" t="inlineStr">
        <is>
          <t>T24CORE</t>
        </is>
      </c>
      <c r="B270" s="386" t="inlineStr">
        <is>
          <t>LD_LOANS_AND_DEPOSITS</t>
        </is>
      </c>
      <c r="C270" s="386" t="inlineStr">
        <is>
          <t>VALUE_DATE</t>
        </is>
      </c>
      <c r="D270" s="385" t="inlineStr">
        <is>
          <t>1:1</t>
        </is>
      </c>
      <c r="E270" s="412" t="inlineStr">
        <is>
          <t>Loan Arrangement</t>
        </is>
      </c>
      <c r="F270" s="412" t="inlineStr">
        <is>
          <t>Effective Date</t>
        </is>
      </c>
      <c r="G270" s="385" t="inlineStr">
        <is>
          <t>PG_BRONZE</t>
        </is>
      </c>
      <c r="H270" s="386" t="inlineStr">
        <is>
          <t>T24CORE_LD_LOANS_AND_DEPOSITS</t>
        </is>
      </c>
      <c r="I270" s="386" t="inlineStr">
        <is>
          <t>VALUE_DATE</t>
        </is>
      </c>
      <c r="J270" s="410" t="inlineStr">
        <is>
          <t>DATE</t>
        </is>
      </c>
      <c r="K270" s="408" t="n">
        <v>8</v>
      </c>
      <c r="L270" s="412" t="inlineStr">
        <is>
          <t>Ngày hiệu lực hợp đồng</t>
        </is>
      </c>
      <c r="M270" s="412">
        <f>"COMMENT ON COLUMN "&amp;G270&amp;"."&amp;H270&amp;"."&amp;I270&amp;" IS '"&amp;L270&amp;"';"</f>
        <v/>
      </c>
      <c r="N270" s="414" t="inlineStr">
        <is>
          <t>Map 1:1 nguyên bản từ T24CORE.LD_LOANS_AND_DEPOSITS.VALUE_DATE sang PG_BRONZE.T24CORE_LD_LOANS_AND_DEPOSITS.VALUE_DATE</t>
        </is>
      </c>
    </row>
    <row r="271" ht="41.25" customHeight="1" s="335">
      <c r="A271" s="386" t="inlineStr">
        <is>
          <t>T24CORE</t>
        </is>
      </c>
      <c r="B271" s="386" t="inlineStr">
        <is>
          <t>LD_LOANS_AND_DEPOSITS_HIS</t>
        </is>
      </c>
      <c r="C271" s="386" t="inlineStr">
        <is>
          <t>ACC_FCC</t>
        </is>
      </c>
      <c r="D271" s="385" t="inlineStr">
        <is>
          <t>1:1</t>
        </is>
      </c>
      <c r="E271" s="412" t="inlineStr">
        <is>
          <t>Loan Arrangement</t>
        </is>
      </c>
      <c r="F271" s="412" t="inlineStr">
        <is>
          <t>FCC Arrangement Code</t>
        </is>
      </c>
      <c r="G271" s="385" t="inlineStr">
        <is>
          <t>PG_BRONZE</t>
        </is>
      </c>
      <c r="H271" s="386" t="inlineStr">
        <is>
          <t>T24CORE_LD_LOANS_AND_DEPOSITS_HIS</t>
        </is>
      </c>
      <c r="I271" s="386" t="inlineStr">
        <is>
          <t>ACC_FCC</t>
        </is>
      </c>
      <c r="J271" s="410" t="inlineStr">
        <is>
          <t>VARCHAR2</t>
        </is>
      </c>
      <c r="K271" s="408" t="n">
        <v>100</v>
      </c>
      <c r="L271" s="412" t="inlineStr">
        <is>
          <t>Mã hợp đồng FlexCube</t>
        </is>
      </c>
      <c r="M271" s="412">
        <f>"COMMENT ON COLUMN "&amp;G271&amp;"."&amp;H271&amp;"."&amp;I271&amp;" IS '"&amp;L271&amp;"';"</f>
        <v/>
      </c>
      <c r="N271" s="414" t="inlineStr">
        <is>
          <t>Map 1:1 nguyên bản từ T24CORE.LD_LOANS_AND_DEPOSITS_HIS.ACC_FCC sang PG_BRONZE.T24CORE_LD_LOANS_AND_DEPOSITS_HIS.ACC_FCC</t>
        </is>
      </c>
    </row>
    <row r="272" ht="41.25" customHeight="1" s="335">
      <c r="A272" s="386" t="inlineStr">
        <is>
          <t>T24CORE</t>
        </is>
      </c>
      <c r="B272" s="386" t="inlineStr">
        <is>
          <t>LD_LOANS_AND_DEPOSITS_HIS</t>
        </is>
      </c>
      <c r="C272" s="386" t="inlineStr">
        <is>
          <t>AMOUNT</t>
        </is>
      </c>
      <c r="D272" s="385" t="inlineStr">
        <is>
          <t>1:1</t>
        </is>
      </c>
      <c r="E272" s="412" t="inlineStr">
        <is>
          <t>Loan Arrangement / Profile (History) / sk_lich_tra_no</t>
        </is>
      </c>
      <c r="F272" s="412" t="inlineStr">
        <is>
          <t>Amount</t>
        </is>
      </c>
      <c r="G272" s="385" t="inlineStr">
        <is>
          <t>PG_BRONZE</t>
        </is>
      </c>
      <c r="H272" s="386" t="inlineStr">
        <is>
          <t>T24CORE_LD_LOANS_AND_DEPOSITS_HIS</t>
        </is>
      </c>
      <c r="I272" s="386" t="inlineStr">
        <is>
          <t>AMOUNT</t>
        </is>
      </c>
      <c r="J272" s="410" t="inlineStr">
        <is>
          <t>NUMBER</t>
        </is>
      </c>
      <c r="K272" s="408" t="n">
        <v>25.5</v>
      </c>
      <c r="L272" s="412" t="inlineStr">
        <is>
          <t>Dự nợ hợp đồng</t>
        </is>
      </c>
      <c r="M272" s="412">
        <f>"COMMENT ON COLUMN "&amp;G272&amp;"."&amp;H272&amp;"."&amp;I272&amp;" IS '"&amp;L272&amp;"';"</f>
        <v/>
      </c>
      <c r="N272" s="414" t="inlineStr">
        <is>
          <t>Map 1:1 nguyên bản từ T24CORE.LD_LOANS_AND_DEPOSITS_HIS.AMOUNT sang PG_BRONZE.T24CORE_LD_LOANS_AND_DEPOSITS_HIS.AMOUNT</t>
        </is>
      </c>
    </row>
    <row r="273" ht="69" customHeight="1" s="335">
      <c r="A273" s="386" t="inlineStr">
        <is>
          <t>T24CORE</t>
        </is>
      </c>
      <c r="B273" s="386" t="inlineStr">
        <is>
          <t>LD_LOANS_AND_DEPOSITS_HIS</t>
        </is>
      </c>
      <c r="C273" s="386" t="inlineStr">
        <is>
          <t>APPROVE_AMOUNT</t>
        </is>
      </c>
      <c r="D273" s="385" t="inlineStr">
        <is>
          <t>1:1</t>
        </is>
      </c>
      <c r="E273" s="412" t="inlineStr">
        <is>
          <t>Loan Arrangement</t>
        </is>
      </c>
      <c r="F273" s="412" t="inlineStr">
        <is>
          <t>Original Amount FCY</t>
        </is>
      </c>
      <c r="G273" s="385" t="inlineStr">
        <is>
          <t>PG_BRONZE</t>
        </is>
      </c>
      <c r="H273" s="386" t="inlineStr">
        <is>
          <t>T24CORE_LD_LOANS_AND_DEPOSITS_HIS</t>
        </is>
      </c>
      <c r="I273" s="386" t="inlineStr">
        <is>
          <t>APPROVE_AMOUNT</t>
        </is>
      </c>
      <c r="J273" s="410" t="inlineStr">
        <is>
          <t>NUMBER</t>
        </is>
      </c>
      <c r="K273" s="408" t="n">
        <v>25.5</v>
      </c>
      <c r="L273" s="412" t="inlineStr">
        <is>
          <t>Giá trị giải ngân</t>
        </is>
      </c>
      <c r="M273" s="412">
        <f>"COMMENT ON COLUMN "&amp;G273&amp;"."&amp;H273&amp;"."&amp;I273&amp;" IS '"&amp;L273&amp;"';"</f>
        <v/>
      </c>
      <c r="N273" s="414" t="inlineStr">
        <is>
          <t>Map 1:1 nguyên bản từ T24CORE.LD_LOANS_AND_DEPOSITS_HIS.APPROVE_AMOUNT sang PG_BRONZE.T24CORE_LD_LOANS_AND_DEPOSITS_HIS.APPROVE_AMOUNT</t>
        </is>
      </c>
    </row>
    <row r="274" ht="41.25" customHeight="1" s="335">
      <c r="A274" s="386" t="inlineStr">
        <is>
          <t>T24CORE</t>
        </is>
      </c>
      <c r="B274" s="386" t="inlineStr">
        <is>
          <t>LD_LOANS_AND_DEPOSITS_HIS</t>
        </is>
      </c>
      <c r="C274" s="386" t="inlineStr">
        <is>
          <t>CATEGORY</t>
        </is>
      </c>
      <c r="D274" s="385" t="inlineStr">
        <is>
          <t>1:1</t>
        </is>
      </c>
      <c r="E274" s="412" t="inlineStr">
        <is>
          <t>Loan Arrangement</t>
        </is>
      </c>
      <c r="F274" s="412" t="inlineStr">
        <is>
          <t>Product Category Code</t>
        </is>
      </c>
      <c r="G274" s="385" t="inlineStr">
        <is>
          <t>PG_BRONZE</t>
        </is>
      </c>
      <c r="H274" s="386" t="inlineStr">
        <is>
          <t>T24CORE_LD_LOANS_AND_DEPOSITS_HIS</t>
        </is>
      </c>
      <c r="I274" s="386" t="inlineStr">
        <is>
          <t>CATEGORY</t>
        </is>
      </c>
      <c r="J274" s="410" t="inlineStr">
        <is>
          <t>VARCHAR2</t>
        </is>
      </c>
      <c r="K274" s="408" t="n">
        <v>100</v>
      </c>
      <c r="L274" s="412" t="inlineStr">
        <is>
          <t>Mã phân loại sản phẩm</t>
        </is>
      </c>
      <c r="M274" s="412">
        <f>"COMMENT ON COLUMN "&amp;G274&amp;"."&amp;H274&amp;"."&amp;I274&amp;" IS '"&amp;L274&amp;"';"</f>
        <v/>
      </c>
      <c r="N274" s="414" t="inlineStr">
        <is>
          <t>Map 1:1 nguyên bản từ T24CORE.LD_LOANS_AND_DEPOSITS_HIS.CATEGORY sang PG_BRONZE.T24CORE_LD_LOANS_AND_DEPOSITS_HIS.CATEGORY</t>
        </is>
      </c>
    </row>
    <row r="275" ht="54.75" customHeight="1" s="335">
      <c r="A275" s="386" t="inlineStr">
        <is>
          <t>T24CORE</t>
        </is>
      </c>
      <c r="B275" s="386" t="inlineStr">
        <is>
          <t>LD_LOANS_AND_DEPOSITS_HIS</t>
        </is>
      </c>
      <c r="C275" s="386" t="inlineStr">
        <is>
          <t>COMMIT_ACTION</t>
        </is>
      </c>
      <c r="D275" s="385" t="inlineStr">
        <is>
          <t>1:1</t>
        </is>
      </c>
      <c r="E275" s="412" t="inlineStr">
        <is>
          <t>Loan Arrangement / Profile (History) / sk_lich_tra_no</t>
        </is>
      </c>
      <c r="F275" s="412" t="inlineStr">
        <is>
          <t>Commit Action</t>
        </is>
      </c>
      <c r="G275" s="385" t="inlineStr">
        <is>
          <t>PG_BRONZE</t>
        </is>
      </c>
      <c r="H275" s="386" t="inlineStr">
        <is>
          <t>T24CORE_LD_LOANS_AND_DEPOSITS_HIS</t>
        </is>
      </c>
      <c r="I275" s="386" t="inlineStr">
        <is>
          <t>COMMIT_ACTION</t>
        </is>
      </c>
      <c r="J275" s="410" t="inlineStr">
        <is>
          <t>VARCHAR2</t>
        </is>
      </c>
      <c r="K275" s="408" t="n">
        <v>100</v>
      </c>
      <c r="L275" s="412" t="inlineStr">
        <is>
          <t>Trường COMMIT_ACTION của bảng nguồn T24CORE.LD_LOANS_AND_DEPOSITS_HIS</t>
        </is>
      </c>
      <c r="M275" s="412">
        <f>"COMMENT ON COLUMN "&amp;G275&amp;"."&amp;H275&amp;"."&amp;I275&amp;" IS '"&amp;L275&amp;"';"</f>
        <v/>
      </c>
      <c r="N275" s="414" t="inlineStr">
        <is>
          <t>Map 1:1 nguyên bản từ T24CORE.LD_LOANS_AND_DEPOSITS_HIS.COMMIT_ACTION sang PG_BRONZE.T24CORE_LD_LOANS_AND_DEPOSITS_HIS.COMMIT_ACTION</t>
        </is>
      </c>
    </row>
    <row r="276" ht="41.25" customHeight="1" s="335">
      <c r="A276" s="386" t="inlineStr">
        <is>
          <t>T24CORE</t>
        </is>
      </c>
      <c r="B276" s="386" t="inlineStr">
        <is>
          <t>LD_LOANS_AND_DEPOSITS_HIS</t>
        </is>
      </c>
      <c r="C276" s="386" t="inlineStr">
        <is>
          <t>CO_CODE</t>
        </is>
      </c>
      <c r="D276" s="385" t="inlineStr">
        <is>
          <t>1:1</t>
        </is>
      </c>
      <c r="E276" s="412" t="inlineStr">
        <is>
          <t>Loan Arrangement, Loan Arrangement Profile</t>
        </is>
      </c>
      <c r="F276" s="412" t="inlineStr">
        <is>
          <t>First Organization Unit Code , Organization Unit Code</t>
        </is>
      </c>
      <c r="G276" s="385" t="inlineStr">
        <is>
          <t>PG_BRONZE</t>
        </is>
      </c>
      <c r="H276" s="386" t="inlineStr">
        <is>
          <t>T24CORE_LD_LOANS_AND_DEPOSITS_HIS</t>
        </is>
      </c>
      <c r="I276" s="386" t="inlineStr">
        <is>
          <t>CO_CODE</t>
        </is>
      </c>
      <c r="J276" s="410" t="inlineStr">
        <is>
          <t>VARCHAR2</t>
        </is>
      </c>
      <c r="K276" s="408" t="n">
        <v>100</v>
      </c>
      <c r="L276" s="412" t="inlineStr">
        <is>
          <t>Mã chi nhánh</t>
        </is>
      </c>
      <c r="M276" s="412">
        <f>"COMMENT ON COLUMN "&amp;G276&amp;"."&amp;H276&amp;"."&amp;I276&amp;" IS '"&amp;L276&amp;"';"</f>
        <v/>
      </c>
      <c r="N276" s="414" t="inlineStr">
        <is>
          <t>Map 1:1 nguyên bản từ T24CORE.LD_LOANS_AND_DEPOSITS_HIS.CO_CODE sang PG_BRONZE.T24CORE_LD_LOANS_AND_DEPOSITS_HIS.CO_CODE</t>
        </is>
      </c>
    </row>
    <row r="277" ht="41.25" customHeight="1" s="335">
      <c r="A277" s="386" t="inlineStr">
        <is>
          <t>T24CORE</t>
        </is>
      </c>
      <c r="B277" s="386" t="inlineStr">
        <is>
          <t>LD_LOANS_AND_DEPOSITS_HIS</t>
        </is>
      </c>
      <c r="C277" s="386" t="inlineStr">
        <is>
          <t>CRA_LD</t>
        </is>
      </c>
      <c r="D277" s="385" t="inlineStr">
        <is>
          <t>1:1</t>
        </is>
      </c>
      <c r="E277" s="412" t="inlineStr">
        <is>
          <t>Loan Arrangement</t>
        </is>
      </c>
      <c r="F277" s="412" t="inlineStr">
        <is>
          <t>Paper Contract Number</t>
        </is>
      </c>
      <c r="G277" s="385" t="inlineStr">
        <is>
          <t>PG_BRONZE</t>
        </is>
      </c>
      <c r="H277" s="386" t="inlineStr">
        <is>
          <t>T24CORE_LD_LOANS_AND_DEPOSITS_HIS</t>
        </is>
      </c>
      <c r="I277" s="386" t="inlineStr">
        <is>
          <t>CRA_LD</t>
        </is>
      </c>
      <c r="J277" s="410" t="inlineStr">
        <is>
          <t>VARCHAR2</t>
        </is>
      </c>
      <c r="K277" s="408" t="n">
        <v>100</v>
      </c>
      <c r="L277" s="412" t="inlineStr">
        <is>
          <t>Mã hồ sơ</t>
        </is>
      </c>
      <c r="M277" s="412">
        <f>"COMMENT ON COLUMN "&amp;G277&amp;"."&amp;H277&amp;"."&amp;I277&amp;" IS '"&amp;L277&amp;"';"</f>
        <v/>
      </c>
      <c r="N277" s="414" t="inlineStr">
        <is>
          <t>Map 1:1 nguyên bản từ T24CORE.LD_LOANS_AND_DEPOSITS_HIS.CRA_LD sang PG_BRONZE.T24CORE_LD_LOANS_AND_DEPOSITS_HIS.CRA_LD</t>
        </is>
      </c>
    </row>
    <row r="278" ht="41.25" customHeight="1" s="335">
      <c r="A278" s="386" t="inlineStr">
        <is>
          <t>T24CORE</t>
        </is>
      </c>
      <c r="B278" s="386" t="inlineStr">
        <is>
          <t>LD_LOANS_AND_DEPOSITS_HIS</t>
        </is>
      </c>
      <c r="C278" s="386" t="inlineStr">
        <is>
          <t>CURRENCY</t>
        </is>
      </c>
      <c r="D278" s="385" t="inlineStr">
        <is>
          <t>1:1</t>
        </is>
      </c>
      <c r="E278" s="412" t="inlineStr">
        <is>
          <t>Loan Arrangement</t>
        </is>
      </c>
      <c r="F278" s="412" t="inlineStr">
        <is>
          <t>Currency Code</t>
        </is>
      </c>
      <c r="G278" s="385" t="inlineStr">
        <is>
          <t>PG_BRONZE</t>
        </is>
      </c>
      <c r="H278" s="386" t="inlineStr">
        <is>
          <t>T24CORE_LD_LOANS_AND_DEPOSITS_HIS</t>
        </is>
      </c>
      <c r="I278" s="386" t="inlineStr">
        <is>
          <t>CURRENCY</t>
        </is>
      </c>
      <c r="J278" s="410" t="inlineStr">
        <is>
          <t>VARCHAR2</t>
        </is>
      </c>
      <c r="K278" s="408" t="n">
        <v>100</v>
      </c>
      <c r="L278" s="412" t="inlineStr">
        <is>
          <t>Mã loại tiền</t>
        </is>
      </c>
      <c r="M278" s="412">
        <f>"COMMENT ON COLUMN "&amp;G278&amp;"."&amp;H278&amp;"."&amp;I278&amp;" IS '"&amp;L278&amp;"';"</f>
        <v/>
      </c>
      <c r="N278" s="414" t="inlineStr">
        <is>
          <t>Map 1:1 nguyên bản từ T24CORE.LD_LOANS_AND_DEPOSITS_HIS.CURRENCY sang PG_BRONZE.T24CORE_LD_LOANS_AND_DEPOSITS_HIS.CURRENCY</t>
        </is>
      </c>
    </row>
    <row r="279" ht="41.25" customHeight="1" s="335">
      <c r="A279" s="386" t="inlineStr">
        <is>
          <t>T24CORE</t>
        </is>
      </c>
      <c r="B279" s="386" t="inlineStr">
        <is>
          <t>LD_LOANS_AND_DEPOSITS_HIS</t>
        </is>
      </c>
      <c r="C279" s="386" t="inlineStr">
        <is>
          <t>CURR_NO</t>
        </is>
      </c>
      <c r="D279" s="385" t="inlineStr">
        <is>
          <t>1:1</t>
        </is>
      </c>
      <c r="E279" s="412" t="inlineStr">
        <is>
          <t>Loan Arrangement / Profile (History) / sk_lich_tra_no</t>
        </is>
      </c>
      <c r="F279" s="412" t="inlineStr">
        <is>
          <t>Curr No</t>
        </is>
      </c>
      <c r="G279" s="385" t="inlineStr">
        <is>
          <t>PG_BRONZE</t>
        </is>
      </c>
      <c r="H279" s="386" t="inlineStr">
        <is>
          <t>T24CORE_LD_LOANS_AND_DEPOSITS_HIS</t>
        </is>
      </c>
      <c r="I279" s="386" t="inlineStr">
        <is>
          <t>CURR_NO</t>
        </is>
      </c>
      <c r="J279" s="410" t="inlineStr">
        <is>
          <t>NUMBER</t>
        </is>
      </c>
      <c r="K279" s="408" t="n">
        <v>10</v>
      </c>
      <c r="L279" s="412" t="inlineStr">
        <is>
          <t>Version của bản ghi</t>
        </is>
      </c>
      <c r="M279" s="412">
        <f>"COMMENT ON COLUMN "&amp;G279&amp;"."&amp;H279&amp;"."&amp;I279&amp;" IS '"&amp;L279&amp;"';"</f>
        <v/>
      </c>
      <c r="N279" s="414" t="inlineStr">
        <is>
          <t>Map 1:1 nguyên bản từ T24CORE.LD_LOANS_AND_DEPOSITS_HIS.CURR_NO sang PG_BRONZE.T24CORE_LD_LOANS_AND_DEPOSITS_HIS.CURR_NO</t>
        </is>
      </c>
    </row>
    <row r="280" ht="54.75" customHeight="1" s="335">
      <c r="A280" s="386" t="inlineStr">
        <is>
          <t>T24CORE</t>
        </is>
      </c>
      <c r="B280" s="386" t="inlineStr">
        <is>
          <t>LD_LOANS_AND_DEPOSITS_HIS</t>
        </is>
      </c>
      <c r="C280" s="386" t="inlineStr">
        <is>
          <t>CUSTOMER_ID</t>
        </is>
      </c>
      <c r="D280" s="385" t="inlineStr">
        <is>
          <t>1:1</t>
        </is>
      </c>
      <c r="E280" s="412" t="inlineStr">
        <is>
          <t>Loan Arrangement</t>
        </is>
      </c>
      <c r="F280" s="412" t="inlineStr">
        <is>
          <t>Customer Code/ Customer ID</t>
        </is>
      </c>
      <c r="G280" s="385" t="inlineStr">
        <is>
          <t>PG_BRONZE</t>
        </is>
      </c>
      <c r="H280" s="386" t="inlineStr">
        <is>
          <t>T24CORE_LD_LOANS_AND_DEPOSITS_HIS</t>
        </is>
      </c>
      <c r="I280" s="386" t="inlineStr">
        <is>
          <t>CUSTOMER_ID</t>
        </is>
      </c>
      <c r="J280" s="410" t="inlineStr">
        <is>
          <t>VARCHAR2</t>
        </is>
      </c>
      <c r="K280" s="408" t="n">
        <v>100</v>
      </c>
      <c r="L280" s="412" t="inlineStr">
        <is>
          <t>Mã khách hành</t>
        </is>
      </c>
      <c r="M280" s="412">
        <f>"COMMENT ON COLUMN "&amp;G280&amp;"."&amp;H280&amp;"."&amp;I280&amp;" IS '"&amp;L280&amp;"';"</f>
        <v/>
      </c>
      <c r="N280" s="414" t="inlineStr">
        <is>
          <t>Map 1:1 nguyên bản từ T24CORE.LD_LOANS_AND_DEPOSITS_HIS.CUSTOMER_ID sang PG_BRONZE.T24CORE_LD_LOANS_AND_DEPOSITS_HIS.CUSTOMER_ID</t>
        </is>
      </c>
    </row>
    <row r="281" ht="41.25" customHeight="1" s="335">
      <c r="A281" s="386" t="inlineStr">
        <is>
          <t>T24CORE</t>
        </is>
      </c>
      <c r="B281" s="386" t="inlineStr">
        <is>
          <t>LD_LOANS_AND_DEPOSITS_HIS</t>
        </is>
      </c>
      <c r="C281" s="386" t="inlineStr">
        <is>
          <t>DATE_TIME</t>
        </is>
      </c>
      <c r="D281" s="385" t="inlineStr">
        <is>
          <t>1:1</t>
        </is>
      </c>
      <c r="E281" s="412" t="inlineStr">
        <is>
          <t>Loan Arrangement / Profile (History) / sk_lich_tra_no</t>
        </is>
      </c>
      <c r="F281" s="412" t="inlineStr">
        <is>
          <t>Date Time</t>
        </is>
      </c>
      <c r="G281" s="385" t="inlineStr">
        <is>
          <t>PG_BRONZE</t>
        </is>
      </c>
      <c r="H281" s="386" t="inlineStr">
        <is>
          <t>T24CORE_LD_LOANS_AND_DEPOSITS_HIS</t>
        </is>
      </c>
      <c r="I281" s="386" t="inlineStr">
        <is>
          <t>DATE_TIME</t>
        </is>
      </c>
      <c r="J281" s="410" t="inlineStr">
        <is>
          <t>DATE</t>
        </is>
      </c>
      <c r="K281" s="408" t="n">
        <v>8</v>
      </c>
      <c r="L281" s="412" t="inlineStr">
        <is>
          <t>Ngày nhập liệu Core</t>
        </is>
      </c>
      <c r="M281" s="412">
        <f>"COMMENT ON COLUMN "&amp;G281&amp;"."&amp;H281&amp;"."&amp;I281&amp;" IS '"&amp;L281&amp;"';"</f>
        <v/>
      </c>
      <c r="N281" s="414" t="inlineStr">
        <is>
          <t>Map 1:1 nguyên bản từ T24CORE.LD_LOANS_AND_DEPOSITS_HIS.DATE_TIME sang PG_BRONZE.T24CORE_LD_LOANS_AND_DEPOSITS_HIS.DATE_TIME</t>
        </is>
      </c>
    </row>
    <row r="282" ht="69" customHeight="1" s="335">
      <c r="A282" s="386" t="inlineStr">
        <is>
          <t>T24CORE</t>
        </is>
      </c>
      <c r="B282" s="386" t="inlineStr">
        <is>
          <t>LD_LOANS_AND_DEPOSITS_HIS</t>
        </is>
      </c>
      <c r="C282" s="386" t="inlineStr">
        <is>
          <t>DRAWDOWN_NET_AMT</t>
        </is>
      </c>
      <c r="D282" s="385" t="inlineStr">
        <is>
          <t>1:1</t>
        </is>
      </c>
      <c r="E282" s="412" t="inlineStr">
        <is>
          <t>Loan Arrangement</t>
        </is>
      </c>
      <c r="F282" s="412" t="inlineStr">
        <is>
          <t>Disbursement Amount FCY</t>
        </is>
      </c>
      <c r="G282" s="385" t="inlineStr">
        <is>
          <t>PG_BRONZE</t>
        </is>
      </c>
      <c r="H282" s="386" t="inlineStr">
        <is>
          <t>T24CORE_LD_LOANS_AND_DEPOSITS_HIS</t>
        </is>
      </c>
      <c r="I282" s="386" t="inlineStr">
        <is>
          <t>DRAWDOWN_NET_AMT</t>
        </is>
      </c>
      <c r="J282" s="410" t="inlineStr">
        <is>
          <t>NUMBER</t>
        </is>
      </c>
      <c r="K282" s="408" t="n">
        <v>25.5</v>
      </c>
      <c r="L282" s="412" t="inlineStr">
        <is>
          <t>Số tiền thực tế giải ngân</t>
        </is>
      </c>
      <c r="M282" s="412">
        <f>"COMMENT ON COLUMN "&amp;G282&amp;"."&amp;H282&amp;"."&amp;I282&amp;" IS '"&amp;L282&amp;"';"</f>
        <v/>
      </c>
      <c r="N282" s="414" t="inlineStr">
        <is>
          <t>Map 1:1 nguyên bản từ T24CORE.LD_LOANS_AND_DEPOSITS_HIS.DRAWDOWN_NET_AMT sang PG_BRONZE.T24CORE_LD_LOANS_AND_DEPOSITS_HIS.DRAWDOWN_NET_AMT</t>
        </is>
      </c>
    </row>
    <row r="283" ht="41.25" customHeight="1" s="335">
      <c r="A283" s="386" t="inlineStr">
        <is>
          <t>T24CORE</t>
        </is>
      </c>
      <c r="B283" s="386" t="inlineStr">
        <is>
          <t>LD_LOANS_AND_DEPOSITS_HIS</t>
        </is>
      </c>
      <c r="C283" s="386" t="inlineStr">
        <is>
          <t>EXCG_RATE</t>
        </is>
      </c>
      <c r="D283" s="385" t="inlineStr">
        <is>
          <t>1:1</t>
        </is>
      </c>
      <c r="E283" s="412" t="inlineStr">
        <is>
          <t>Loan Arrangement</t>
        </is>
      </c>
      <c r="F283" s="412" t="inlineStr">
        <is>
          <t>Exchange Rate To Local Currency</t>
        </is>
      </c>
      <c r="G283" s="385" t="inlineStr">
        <is>
          <t>PG_BRONZE</t>
        </is>
      </c>
      <c r="H283" s="386" t="inlineStr">
        <is>
          <t>T24CORE_LD_LOANS_AND_DEPOSITS_HIS</t>
        </is>
      </c>
      <c r="I283" s="386" t="inlineStr">
        <is>
          <t>EXCG_RATE</t>
        </is>
      </c>
      <c r="J283" s="410" t="inlineStr">
        <is>
          <t>NUMBER</t>
        </is>
      </c>
      <c r="K283" s="408" t="n">
        <v>13.7</v>
      </c>
      <c r="L283" s="412" t="inlineStr">
        <is>
          <t>Tỷ giá quy đổi</t>
        </is>
      </c>
      <c r="M283" s="412">
        <f>"COMMENT ON COLUMN "&amp;G283&amp;"."&amp;H283&amp;"."&amp;I283&amp;" IS '"&amp;L283&amp;"';"</f>
        <v/>
      </c>
      <c r="N283" s="414" t="inlineStr">
        <is>
          <t>Map 1:1 nguyên bản từ T24CORE.LD_LOANS_AND_DEPOSITS_HIS.EXCG_RATE sang PG_BRONZE.T24CORE_LD_LOANS_AND_DEPOSITS_HIS.EXCG_RATE</t>
        </is>
      </c>
    </row>
    <row r="284" ht="54.75" customHeight="1" s="335">
      <c r="A284" s="386" t="inlineStr">
        <is>
          <t>T24CORE</t>
        </is>
      </c>
      <c r="B284" s="386" t="inlineStr">
        <is>
          <t>LD_LOANS_AND_DEPOSITS_HIS</t>
        </is>
      </c>
      <c r="C284" s="386" t="inlineStr">
        <is>
          <t>FIN_MAT_DATE</t>
        </is>
      </c>
      <c r="D284" s="385" t="inlineStr">
        <is>
          <t>1:1</t>
        </is>
      </c>
      <c r="E284" s="412" t="inlineStr">
        <is>
          <t>Loan Arrangement</t>
        </is>
      </c>
      <c r="F284" s="412" t="inlineStr">
        <is>
          <t>Maturity Date</t>
        </is>
      </c>
      <c r="G284" s="385" t="inlineStr">
        <is>
          <t>PG_BRONZE</t>
        </is>
      </c>
      <c r="H284" s="386" t="inlineStr">
        <is>
          <t>T24CORE_LD_LOANS_AND_DEPOSITS_HIS</t>
        </is>
      </c>
      <c r="I284" s="386" t="inlineStr">
        <is>
          <t>FIN_MAT_DATE</t>
        </is>
      </c>
      <c r="J284" s="410" t="inlineStr">
        <is>
          <t>DATE</t>
        </is>
      </c>
      <c r="K284" s="408" t="n">
        <v>8</v>
      </c>
      <c r="L284" s="412" t="inlineStr">
        <is>
          <t>Ngày đáo hạn</t>
        </is>
      </c>
      <c r="M284" s="412">
        <f>"COMMENT ON COLUMN "&amp;G284&amp;"."&amp;H284&amp;"."&amp;I284&amp;" IS '"&amp;L284&amp;"';"</f>
        <v/>
      </c>
      <c r="N284" s="414" t="inlineStr">
        <is>
          <t>Map 1:1 nguyên bản từ T24CORE.LD_LOANS_AND_DEPOSITS_HIS.FIN_MAT_DATE sang PG_BRONZE.T24CORE_LD_LOANS_AND_DEPOSITS_HIS.FIN_MAT_DATE</t>
        </is>
      </c>
    </row>
    <row r="285" ht="54.75" customHeight="1" s="335">
      <c r="A285" s="386" t="inlineStr">
        <is>
          <t>T24CORE</t>
        </is>
      </c>
      <c r="B285" s="386" t="inlineStr">
        <is>
          <t>LD_LOANS_AND_DEPOSITS_HIS</t>
        </is>
      </c>
      <c r="C285" s="386" t="inlineStr">
        <is>
          <t>INTEREST_RATE</t>
        </is>
      </c>
      <c r="D285" s="385" t="inlineStr">
        <is>
          <t>1:1</t>
        </is>
      </c>
      <c r="E285" s="412" t="inlineStr">
        <is>
          <t>Arrangement Rate History</t>
        </is>
      </c>
      <c r="F285" s="412" t="inlineStr">
        <is>
          <t>Effective Rate Percentage</t>
        </is>
      </c>
      <c r="G285" s="385" t="inlineStr">
        <is>
          <t>PG_BRONZE</t>
        </is>
      </c>
      <c r="H285" s="386" t="inlineStr">
        <is>
          <t>T24CORE_LD_LOANS_AND_DEPOSITS_HIS</t>
        </is>
      </c>
      <c r="I285" s="386" t="inlineStr">
        <is>
          <t>INTEREST_RATE</t>
        </is>
      </c>
      <c r="J285" s="410" t="inlineStr">
        <is>
          <t>NUMBER</t>
        </is>
      </c>
      <c r="K285" s="408" t="n">
        <v>13.7</v>
      </c>
      <c r="L285" s="412" t="inlineStr">
        <is>
          <t>Giá trị lãi suất</t>
        </is>
      </c>
      <c r="M285" s="412">
        <f>"COMMENT ON COLUMN "&amp;G285&amp;"."&amp;H285&amp;"."&amp;I285&amp;" IS '"&amp;L285&amp;"';"</f>
        <v/>
      </c>
      <c r="N285" s="414" t="inlineStr">
        <is>
          <t>Map 1:1 nguyên bản từ T24CORE.LD_LOANS_AND_DEPOSITS_HIS.INTEREST_RATE sang PG_BRONZE.T24CORE_LD_LOANS_AND_DEPOSITS_HIS.INTEREST_RATE</t>
        </is>
      </c>
    </row>
    <row r="286" ht="54.75" customHeight="1" s="335">
      <c r="A286" s="386" t="inlineStr">
        <is>
          <t>T24CORE</t>
        </is>
      </c>
      <c r="B286" s="386" t="inlineStr">
        <is>
          <t>LD_LOANS_AND_DEPOSITS_HIS</t>
        </is>
      </c>
      <c r="C286" s="386" t="inlineStr">
        <is>
          <t>INTEREST_SPREAD</t>
        </is>
      </c>
      <c r="D286" s="385" t="inlineStr">
        <is>
          <t>1:1</t>
        </is>
      </c>
      <c r="E286" s="412" t="inlineStr">
        <is>
          <t>Arrangement Rate History</t>
        </is>
      </c>
      <c r="F286" s="412" t="inlineStr">
        <is>
          <t>Spread Rate Percentage</t>
        </is>
      </c>
      <c r="G286" s="385" t="inlineStr">
        <is>
          <t>PG_BRONZE</t>
        </is>
      </c>
      <c r="H286" s="386" t="inlineStr">
        <is>
          <t>T24CORE_LD_LOANS_AND_DEPOSITS_HIS</t>
        </is>
      </c>
      <c r="I286" s="386" t="inlineStr">
        <is>
          <t>INTEREST_SPREAD</t>
        </is>
      </c>
      <c r="J286" s="410" t="inlineStr">
        <is>
          <t>NUMBER</t>
        </is>
      </c>
      <c r="K286" s="408" t="n">
        <v>13.7</v>
      </c>
      <c r="L286" s="412" t="inlineStr">
        <is>
          <t>Biên độ lãi suất</t>
        </is>
      </c>
      <c r="M286" s="412">
        <f>"COMMENT ON COLUMN "&amp;G286&amp;"."&amp;H286&amp;"."&amp;I286&amp;" IS '"&amp;L286&amp;"';"</f>
        <v/>
      </c>
      <c r="N286" s="414" t="inlineStr">
        <is>
          <t>Map 1:1 nguyên bản từ T24CORE.LD_LOANS_AND_DEPOSITS_HIS.INTEREST_SPREAD sang PG_BRONZE.T24CORE_LD_LOANS_AND_DEPOSITS_HIS.INTEREST_SPREAD</t>
        </is>
      </c>
    </row>
    <row r="287" ht="54.75" customHeight="1" s="335">
      <c r="A287" s="386" t="inlineStr">
        <is>
          <t>T24CORE</t>
        </is>
      </c>
      <c r="B287" s="386" t="inlineStr">
        <is>
          <t>LD_LOANS_AND_DEPOSITS_HIS</t>
        </is>
      </c>
      <c r="C287" s="386" t="inlineStr">
        <is>
          <t>INT_LIQ_ACCT</t>
        </is>
      </c>
      <c r="D287" s="385" t="inlineStr">
        <is>
          <t>1:1</t>
        </is>
      </c>
      <c r="E287" s="412" t="inlineStr">
        <is>
          <t>Loan Arrangement Profile</t>
        </is>
      </c>
      <c r="F287" s="412" t="inlineStr">
        <is>
          <t>Interest Liquid Arrangement Code /Interest Liquid Arrangement Id</t>
        </is>
      </c>
      <c r="G287" s="385" t="inlineStr">
        <is>
          <t>PG_BRONZE</t>
        </is>
      </c>
      <c r="H287" s="386" t="inlineStr">
        <is>
          <t>T24CORE_LD_LOANS_AND_DEPOSITS_HIS</t>
        </is>
      </c>
      <c r="I287" s="386" t="inlineStr">
        <is>
          <t>INT_LIQ_ACCT</t>
        </is>
      </c>
      <c r="J287" s="410" t="inlineStr">
        <is>
          <t>VARCHAR2</t>
        </is>
      </c>
      <c r="K287" s="408" t="n">
        <v>100</v>
      </c>
      <c r="L287" s="412" t="inlineStr">
        <is>
          <t>Tài khoản thanh toán lãi</t>
        </is>
      </c>
      <c r="M287" s="412">
        <f>"COMMENT ON COLUMN "&amp;G287&amp;"."&amp;H287&amp;"."&amp;I287&amp;" IS '"&amp;L287&amp;"';"</f>
        <v/>
      </c>
      <c r="N287" s="414" t="inlineStr">
        <is>
          <t>Map 1:1 nguyên bản từ T24CORE.LD_LOANS_AND_DEPOSITS_HIS.INT_LIQ_ACCT sang PG_BRONZE.T24CORE_LD_LOANS_AND_DEPOSITS_HIS.INT_LIQ_ACCT</t>
        </is>
      </c>
    </row>
    <row r="288" ht="54.75" customHeight="1" s="335">
      <c r="A288" s="386" t="inlineStr">
        <is>
          <t>T24CORE</t>
        </is>
      </c>
      <c r="B288" s="386" t="inlineStr">
        <is>
          <t>LD_LOANS_AND_DEPOSITS_HIS</t>
        </is>
      </c>
      <c r="C288" s="386" t="inlineStr">
        <is>
          <t>INT_RATE_TYPE</t>
        </is>
      </c>
      <c r="D288" s="385" t="inlineStr">
        <is>
          <t>1:1</t>
        </is>
      </c>
      <c r="E288" s="412" t="inlineStr">
        <is>
          <t>Arrangement Rate History</t>
        </is>
      </c>
      <c r="F288" s="412" t="inlineStr">
        <is>
          <t>Interest Rate Variablity Type Code</t>
        </is>
      </c>
      <c r="G288" s="385" t="inlineStr">
        <is>
          <t>PG_BRONZE</t>
        </is>
      </c>
      <c r="H288" s="386" t="inlineStr">
        <is>
          <t>T24CORE_LD_LOANS_AND_DEPOSITS_HIS</t>
        </is>
      </c>
      <c r="I288" s="386" t="inlineStr">
        <is>
          <t>INT_RATE_TYPE</t>
        </is>
      </c>
      <c r="J288" s="410" t="inlineStr">
        <is>
          <t>VARCHAR2</t>
        </is>
      </c>
      <c r="K288" s="408" t="n">
        <v>20</v>
      </c>
      <c r="L288" s="412" t="inlineStr">
        <is>
          <t>Loại lãi suất: cố định, thả nổi</t>
        </is>
      </c>
      <c r="M288" s="412">
        <f>"COMMENT ON COLUMN "&amp;G288&amp;"."&amp;H288&amp;"."&amp;I288&amp;" IS '"&amp;L288&amp;"';"</f>
        <v/>
      </c>
      <c r="N288" s="414" t="inlineStr">
        <is>
          <t>Map 1:1 nguyên bản từ T24CORE.LD_LOANS_AND_DEPOSITS_HIS.INT_RATE_TYPE sang PG_BRONZE.T24CORE_LD_LOANS_AND_DEPOSITS_HIS.INT_RATE_TYPE</t>
        </is>
      </c>
    </row>
    <row r="289" ht="54.75" customHeight="1" s="335">
      <c r="A289" s="386" t="inlineStr">
        <is>
          <t>T24CORE</t>
        </is>
      </c>
      <c r="B289" s="386" t="inlineStr">
        <is>
          <t>LD_LOANS_AND_DEPOSITS_HIS</t>
        </is>
      </c>
      <c r="C289" s="386" t="inlineStr">
        <is>
          <t>INT_VALUE_DATE</t>
        </is>
      </c>
      <c r="D289" s="385" t="inlineStr">
        <is>
          <t>1:1</t>
        </is>
      </c>
      <c r="E289" s="412" t="inlineStr">
        <is>
          <t>Arrangement Rate History</t>
        </is>
      </c>
      <c r="F289" s="412" t="inlineStr">
        <is>
          <t>Interest Rate Effective Date</t>
        </is>
      </c>
      <c r="G289" s="385" t="inlineStr">
        <is>
          <t>PG_BRONZE</t>
        </is>
      </c>
      <c r="H289" s="386" t="inlineStr">
        <is>
          <t>T24CORE_LD_LOANS_AND_DEPOSITS_HIS</t>
        </is>
      </c>
      <c r="I289" s="386" t="inlineStr">
        <is>
          <t>INT_VALUE_DATE</t>
        </is>
      </c>
      <c r="J289" s="410" t="inlineStr">
        <is>
          <t>DATE</t>
        </is>
      </c>
      <c r="K289" s="408" t="n">
        <v>8</v>
      </c>
      <c r="L289" s="412" t="inlineStr">
        <is>
          <t>Ngày thu lãi</t>
        </is>
      </c>
      <c r="M289" s="412">
        <f>"COMMENT ON COLUMN "&amp;G289&amp;"."&amp;H289&amp;"."&amp;I289&amp;" IS '"&amp;L289&amp;"';"</f>
        <v/>
      </c>
      <c r="N289" s="414" t="inlineStr">
        <is>
          <t>Map 1:1 nguyên bản từ T24CORE.LD_LOANS_AND_DEPOSITS_HIS.INT_VALUE_DATE sang PG_BRONZE.T24CORE_LD_LOANS_AND_DEPOSITS_HIS.INT_VALUE_DATE</t>
        </is>
      </c>
    </row>
    <row r="290" ht="41.25" customHeight="1" s="335">
      <c r="A290" s="386" t="inlineStr">
        <is>
          <t>T24CORE</t>
        </is>
      </c>
      <c r="B290" s="386" t="inlineStr">
        <is>
          <t>LD_LOANS_AND_DEPOSITS_HIS</t>
        </is>
      </c>
      <c r="C290" s="386" t="inlineStr">
        <is>
          <t>LOC_TERM</t>
        </is>
      </c>
      <c r="D290" s="385" t="inlineStr">
        <is>
          <t>1:1</t>
        </is>
      </c>
      <c r="E290" s="412" t="inlineStr">
        <is>
          <t>Loan Arrangement</t>
        </is>
      </c>
      <c r="F290" s="412" t="inlineStr">
        <is>
          <t>Term Code</t>
        </is>
      </c>
      <c r="G290" s="385" t="inlineStr">
        <is>
          <t>PG_BRONZE</t>
        </is>
      </c>
      <c r="H290" s="386" t="inlineStr">
        <is>
          <t>T24CORE_LD_LOANS_AND_DEPOSITS_HIS</t>
        </is>
      </c>
      <c r="I290" s="386" t="inlineStr">
        <is>
          <t>LOC_TERM</t>
        </is>
      </c>
      <c r="J290" s="410" t="inlineStr">
        <is>
          <t>VARCHAR2</t>
        </is>
      </c>
      <c r="K290" s="408" t="n">
        <v>100</v>
      </c>
      <c r="L290" s="412" t="inlineStr">
        <is>
          <t>Kỳ hạn</t>
        </is>
      </c>
      <c r="M290" s="412">
        <f>"COMMENT ON COLUMN "&amp;G290&amp;"."&amp;H290&amp;"."&amp;I290&amp;" IS '"&amp;L290&amp;"';"</f>
        <v/>
      </c>
      <c r="N290" s="414" t="inlineStr">
        <is>
          <t>Map 1:1 nguyên bản từ T24CORE.LD_LOANS_AND_DEPOSITS_HIS.LOC_TERM sang PG_BRONZE.T24CORE_LD_LOANS_AND_DEPOSITS_HIS.LOC_TERM</t>
        </is>
      </c>
    </row>
    <row r="291" ht="54.75" customHeight="1" s="335">
      <c r="A291" s="386" t="inlineStr">
        <is>
          <t>T24CORE</t>
        </is>
      </c>
      <c r="B291" s="386" t="inlineStr">
        <is>
          <t>LD_LOANS_AND_DEPOSITS_HIS</t>
        </is>
      </c>
      <c r="C291" s="386" t="inlineStr">
        <is>
          <t>MB_RM_BANCHEO</t>
        </is>
      </c>
      <c r="D291" s="385" t="inlineStr">
        <is>
          <t>1:1</t>
        </is>
      </c>
      <c r="E291" s="412" t="inlineStr">
        <is>
          <t>Arrangement x Involved Party Relationship</t>
        </is>
      </c>
      <c r="F291" s="412" t="inlineStr">
        <is>
          <t>Referrer Officer</t>
        </is>
      </c>
      <c r="G291" s="385" t="inlineStr">
        <is>
          <t>PG_BRONZE</t>
        </is>
      </c>
      <c r="H291" s="386" t="inlineStr">
        <is>
          <t>T24CORE_LD_LOANS_AND_DEPOSITS_HIS</t>
        </is>
      </c>
      <c r="I291" s="386" t="inlineStr">
        <is>
          <t>MB_RM_BANCHEO</t>
        </is>
      </c>
      <c r="J291" s="410" t="inlineStr">
        <is>
          <t>VARCHAR2</t>
        </is>
      </c>
      <c r="K291" s="408" t="n">
        <v>100</v>
      </c>
      <c r="L291" s="412" t="inlineStr">
        <is>
          <t>ID nhân viên giới thiệu</t>
        </is>
      </c>
      <c r="M291" s="412">
        <f>"COMMENT ON COLUMN "&amp;G291&amp;"."&amp;H291&amp;"."&amp;I291&amp;" IS '"&amp;L291&amp;"';"</f>
        <v/>
      </c>
      <c r="N291" s="414" t="inlineStr">
        <is>
          <t>Map 1:1 nguyên bản từ T24CORE.LD_LOANS_AND_DEPOSITS_HIS.MB_RM_BANCHEO sang PG_BRONZE.T24CORE_LD_LOANS_AND_DEPOSITS_HIS.MB_RM_BANCHEO</t>
        </is>
      </c>
    </row>
    <row r="292" ht="54.75" customHeight="1" s="335">
      <c r="A292" s="386" t="inlineStr">
        <is>
          <t>T24CORE</t>
        </is>
      </c>
      <c r="B292" s="386" t="inlineStr">
        <is>
          <t>LD_LOANS_AND_DEPOSITS_HIS</t>
        </is>
      </c>
      <c r="C292" s="386" t="inlineStr">
        <is>
          <t>ORIG_VAL_DATE</t>
        </is>
      </c>
      <c r="D292" s="385" t="inlineStr">
        <is>
          <t>1:1</t>
        </is>
      </c>
      <c r="E292" s="412" t="inlineStr">
        <is>
          <t>Loan Arrangement</t>
        </is>
      </c>
      <c r="F292" s="412" t="inlineStr">
        <is>
          <t>Value Date</t>
        </is>
      </c>
      <c r="G292" s="385" t="inlineStr">
        <is>
          <t>PG_BRONZE</t>
        </is>
      </c>
      <c r="H292" s="386" t="inlineStr">
        <is>
          <t>T24CORE_LD_LOANS_AND_DEPOSITS_HIS</t>
        </is>
      </c>
      <c r="I292" s="386" t="inlineStr">
        <is>
          <t>ORIG_VAL_DATE</t>
        </is>
      </c>
      <c r="J292" s="410" t="inlineStr">
        <is>
          <t>DATE</t>
        </is>
      </c>
      <c r="K292" s="408" t="n">
        <v>8</v>
      </c>
      <c r="L292" s="412" t="inlineStr">
        <is>
          <t>Ngày hiệu lực đầu tiên của hợp đồng</t>
        </is>
      </c>
      <c r="M292" s="412">
        <f>"COMMENT ON COLUMN "&amp;G292&amp;"."&amp;H292&amp;"."&amp;I292&amp;" IS '"&amp;L292&amp;"';"</f>
        <v/>
      </c>
      <c r="N292" s="414" t="inlineStr">
        <is>
          <t>Map 1:1 nguyên bản từ T24CORE.LD_LOANS_AND_DEPOSITS_HIS.ORIG_VAL_DATE sang PG_BRONZE.T24CORE_LD_LOANS_AND_DEPOSITS_HIS.ORIG_VAL_DATE</t>
        </is>
      </c>
    </row>
    <row r="293" ht="54.75" customHeight="1" s="335">
      <c r="A293" s="386" t="inlineStr">
        <is>
          <t>T24CORE</t>
        </is>
      </c>
      <c r="B293" s="386" t="inlineStr">
        <is>
          <t>LD_LOANS_AND_DEPOSITS_HIS</t>
        </is>
      </c>
      <c r="C293" s="386" t="inlineStr">
        <is>
          <t>PRIN_LIQ_ACCT</t>
        </is>
      </c>
      <c r="D293" s="385" t="inlineStr">
        <is>
          <t>1:1</t>
        </is>
      </c>
      <c r="E293" s="412" t="inlineStr">
        <is>
          <t>Loan Arrangement Profile</t>
        </is>
      </c>
      <c r="F293" s="412" t="inlineStr">
        <is>
          <t>Principal Liquid Arrangement Code / Principal Liquid Arrangement Id</t>
        </is>
      </c>
      <c r="G293" s="385" t="inlineStr">
        <is>
          <t>PG_BRONZE</t>
        </is>
      </c>
      <c r="H293" s="386" t="inlineStr">
        <is>
          <t>T24CORE_LD_LOANS_AND_DEPOSITS_HIS</t>
        </is>
      </c>
      <c r="I293" s="386" t="inlineStr">
        <is>
          <t>PRIN_LIQ_ACCT</t>
        </is>
      </c>
      <c r="J293" s="410" t="inlineStr">
        <is>
          <t>VARCHAR2</t>
        </is>
      </c>
      <c r="K293" s="408" t="n">
        <v>100</v>
      </c>
      <c r="L293" s="412" t="inlineStr">
        <is>
          <t>tài khoản thanh toán gốc</t>
        </is>
      </c>
      <c r="M293" s="412">
        <f>"COMMENT ON COLUMN "&amp;G293&amp;"."&amp;H293&amp;"."&amp;I293&amp;" IS '"&amp;L293&amp;"';"</f>
        <v/>
      </c>
      <c r="N293" s="414" t="inlineStr">
        <is>
          <t>Map 1:1 nguyên bản từ T24CORE.LD_LOANS_AND_DEPOSITS_HIS.PRIN_LIQ_ACCT sang PG_BRONZE.T24CORE_LD_LOANS_AND_DEPOSITS_HIS.PRIN_LIQ_ACCT</t>
        </is>
      </c>
    </row>
    <row r="294" ht="41.25" customHeight="1" s="335">
      <c r="A294" s="386" t="inlineStr">
        <is>
          <t>T24CORE</t>
        </is>
      </c>
      <c r="B294" s="386" t="inlineStr">
        <is>
          <t>LD_LOANS_AND_DEPOSITS_HIS</t>
        </is>
      </c>
      <c r="C294" s="386" t="inlineStr">
        <is>
          <t>REAL_RATE</t>
        </is>
      </c>
      <c r="D294" s="385" t="inlineStr">
        <is>
          <t>1:1</t>
        </is>
      </c>
      <c r="E294" s="412" t="inlineStr">
        <is>
          <t>Loan Arrangement / Profile (History) / sk_lich_tra_no</t>
        </is>
      </c>
      <c r="F294" s="412" t="inlineStr">
        <is>
          <t>Real Rate</t>
        </is>
      </c>
      <c r="G294" s="385" t="inlineStr">
        <is>
          <t>PG_BRONZE</t>
        </is>
      </c>
      <c r="H294" s="386" t="inlineStr">
        <is>
          <t>T24CORE_LD_LOANS_AND_DEPOSITS_HIS</t>
        </is>
      </c>
      <c r="I294" s="386" t="inlineStr">
        <is>
          <t>REAL_RATE</t>
        </is>
      </c>
      <c r="J294" s="410" t="inlineStr">
        <is>
          <t>NUMBER</t>
        </is>
      </c>
      <c r="K294" s="408" t="n">
        <v>13.7</v>
      </c>
      <c r="L294" s="412" t="inlineStr">
        <is>
          <t>Lãi suâất thực tế</t>
        </is>
      </c>
      <c r="M294" s="412">
        <f>"COMMENT ON COLUMN "&amp;G294&amp;"."&amp;H294&amp;"."&amp;I294&amp;" IS '"&amp;L294&amp;"';"</f>
        <v/>
      </c>
      <c r="N294" s="414" t="inlineStr">
        <is>
          <t>Map 1:1 nguyên bản từ T24CORE.LD_LOANS_AND_DEPOSITS_HIS.REAL_RATE sang PG_BRONZE.T24CORE_LD_LOANS_AND_DEPOSITS_HIS.REAL_RATE</t>
        </is>
      </c>
    </row>
    <row r="295" ht="41.25" customHeight="1" s="335">
      <c r="A295" s="386" t="inlineStr">
        <is>
          <t>T24CORE</t>
        </is>
      </c>
      <c r="B295" s="386" t="inlineStr">
        <is>
          <t>LD_LOANS_AND_DEPOSITS_HIS</t>
        </is>
      </c>
      <c r="C295" s="386" t="inlineStr">
        <is>
          <t>RECID</t>
        </is>
      </c>
      <c r="D295" s="385" t="inlineStr">
        <is>
          <t>1:1</t>
        </is>
      </c>
      <c r="E295" s="412" t="inlineStr">
        <is>
          <t>Loan Arrangement</t>
        </is>
      </c>
      <c r="F295" s="412" t="inlineStr">
        <is>
          <t>Arrangement Code/Arrangement ID</t>
        </is>
      </c>
      <c r="G295" s="385" t="inlineStr">
        <is>
          <t>PG_BRONZE</t>
        </is>
      </c>
      <c r="H295" s="386" t="inlineStr">
        <is>
          <t>T24CORE_LD_LOANS_AND_DEPOSITS_HIS</t>
        </is>
      </c>
      <c r="I295" s="386" t="inlineStr">
        <is>
          <t>RECID</t>
        </is>
      </c>
      <c r="J295" s="410" t="inlineStr">
        <is>
          <t>VARCHAR2</t>
        </is>
      </c>
      <c r="K295" s="408" t="n">
        <v>100</v>
      </c>
      <c r="L295" s="412" t="inlineStr">
        <is>
          <t>Mã Hợp đồng</t>
        </is>
      </c>
      <c r="M295" s="412">
        <f>"COMMENT ON COLUMN "&amp;G295&amp;"."&amp;H295&amp;"."&amp;I295&amp;" IS '"&amp;L295&amp;"';"</f>
        <v/>
      </c>
      <c r="N295" s="414" t="inlineStr">
        <is>
          <t>Map 1:1 nguyên bản từ T24CORE.LD_LOANS_AND_DEPOSITS_HIS.RECID sang PG_BRONZE.T24CORE_LD_LOANS_AND_DEPOSITS_HIS.RECID</t>
        </is>
      </c>
    </row>
    <row r="296" ht="54.75" customHeight="1" s="335">
      <c r="A296" s="386" t="inlineStr">
        <is>
          <t>T24CORE</t>
        </is>
      </c>
      <c r="B296" s="386" t="inlineStr">
        <is>
          <t>LD_LOANS_AND_DEPOSITS_HIS</t>
        </is>
      </c>
      <c r="C296" s="386" t="inlineStr">
        <is>
          <t>RECORD_STATUS</t>
        </is>
      </c>
      <c r="D296" s="385" t="inlineStr">
        <is>
          <t>1:1</t>
        </is>
      </c>
      <c r="E296" s="412" t="inlineStr">
        <is>
          <t>Loan Arrangement / Profile (History) / sk_lich_tra_no</t>
        </is>
      </c>
      <c r="F296" s="412" t="inlineStr">
        <is>
          <t>Record Status</t>
        </is>
      </c>
      <c r="G296" s="385" t="inlineStr">
        <is>
          <t>PG_BRONZE</t>
        </is>
      </c>
      <c r="H296" s="386" t="inlineStr">
        <is>
          <t>T24CORE_LD_LOANS_AND_DEPOSITS_HIS</t>
        </is>
      </c>
      <c r="I296" s="386" t="inlineStr">
        <is>
          <t>RECORD_STATUS</t>
        </is>
      </c>
      <c r="J296" s="410" t="inlineStr">
        <is>
          <t>VARCHAR2</t>
        </is>
      </c>
      <c r="K296" s="408" t="n">
        <v>100</v>
      </c>
      <c r="L296" s="412" t="inlineStr">
        <is>
          <t>Trạng thái bản ghi</t>
        </is>
      </c>
      <c r="M296" s="412">
        <f>"COMMENT ON COLUMN "&amp;G296&amp;"."&amp;H296&amp;"."&amp;I296&amp;" IS '"&amp;L296&amp;"';"</f>
        <v/>
      </c>
      <c r="N296" s="414" t="inlineStr">
        <is>
          <t>Map 1:1 nguyên bản từ T24CORE.LD_LOANS_AND_DEPOSITS_HIS.RECORD_STATUS sang PG_BRONZE.T24CORE_LD_LOANS_AND_DEPOSITS_HIS.RECORD_STATUS</t>
        </is>
      </c>
    </row>
    <row r="297" ht="54.75" customHeight="1" s="335">
      <c r="A297" s="386" t="inlineStr">
        <is>
          <t>T24CORE</t>
        </is>
      </c>
      <c r="B297" s="386" t="inlineStr">
        <is>
          <t>LD_LOANS_AND_DEPOSITS_HIS</t>
        </is>
      </c>
      <c r="C297" s="386" t="inlineStr">
        <is>
          <t>USE_OF_LOAN</t>
        </is>
      </c>
      <c r="D297" s="385" t="inlineStr">
        <is>
          <t>1:1</t>
        </is>
      </c>
      <c r="E297" s="412" t="inlineStr">
        <is>
          <t>Loan Arrangement</t>
        </is>
      </c>
      <c r="F297" s="412" t="inlineStr">
        <is>
          <t>Arrangement Purpose Type Code</t>
        </is>
      </c>
      <c r="G297" s="385" t="inlineStr">
        <is>
          <t>PG_BRONZE</t>
        </is>
      </c>
      <c r="H297" s="386" t="inlineStr">
        <is>
          <t>T24CORE_LD_LOANS_AND_DEPOSITS_HIS</t>
        </is>
      </c>
      <c r="I297" s="386" t="inlineStr">
        <is>
          <t>USE_OF_LOAN</t>
        </is>
      </c>
      <c r="J297" s="410" t="inlineStr">
        <is>
          <t>VARCHAR2</t>
        </is>
      </c>
      <c r="K297" s="408" t="n">
        <v>100</v>
      </c>
      <c r="L297" s="412" t="inlineStr">
        <is>
          <t>Mã Mục đích vay</t>
        </is>
      </c>
      <c r="M297" s="412">
        <f>"COMMENT ON COLUMN "&amp;G297&amp;"."&amp;H297&amp;"."&amp;I297&amp;" IS '"&amp;L297&amp;"';"</f>
        <v/>
      </c>
      <c r="N297" s="414" t="inlineStr">
        <is>
          <t>Map 1:1 nguyên bản từ T24CORE.LD_LOANS_AND_DEPOSITS_HIS.USE_OF_LOAN sang PG_BRONZE.T24CORE_LD_LOANS_AND_DEPOSITS_HIS.USE_OF_LOAN</t>
        </is>
      </c>
    </row>
    <row r="298" ht="69" customHeight="1" s="335">
      <c r="A298" s="386" t="inlineStr">
        <is>
          <t>T24CORE</t>
        </is>
      </c>
      <c r="B298" s="386" t="inlineStr">
        <is>
          <t>LD_LOANS_AND_DEPOSITS_HIS</t>
        </is>
      </c>
      <c r="C298" s="386" t="inlineStr">
        <is>
          <t>USE_OF_LOAN_CHA</t>
        </is>
      </c>
      <c r="D298" s="385" t="inlineStr">
        <is>
          <t>1:1</t>
        </is>
      </c>
      <c r="E298" s="412" t="inlineStr">
        <is>
          <t>Loan Arrangement</t>
        </is>
      </c>
      <c r="F298" s="412" t="inlineStr">
        <is>
          <t>Arrangement Purpose Group Code</t>
        </is>
      </c>
      <c r="G298" s="385" t="inlineStr">
        <is>
          <t>PG_BRONZE</t>
        </is>
      </c>
      <c r="H298" s="386" t="inlineStr">
        <is>
          <t>T24CORE_LD_LOANS_AND_DEPOSITS_HIS</t>
        </is>
      </c>
      <c r="I298" s="386" t="inlineStr">
        <is>
          <t>USE_OF_LOAN_CHA</t>
        </is>
      </c>
      <c r="J298" s="410" t="inlineStr">
        <is>
          <t>VARCHAR2</t>
        </is>
      </c>
      <c r="K298" s="408" t="n">
        <v>100</v>
      </c>
      <c r="L298" s="412" t="inlineStr">
        <is>
          <t>Mã nhóm mục đích vay</t>
        </is>
      </c>
      <c r="M298" s="412">
        <f>"COMMENT ON COLUMN "&amp;G298&amp;"."&amp;H298&amp;"."&amp;I298&amp;" IS '"&amp;L298&amp;"';"</f>
        <v/>
      </c>
      <c r="N298" s="414" t="inlineStr">
        <is>
          <t>Map 1:1 nguyên bản từ T24CORE.LD_LOANS_AND_DEPOSITS_HIS.USE_OF_LOAN_CHA sang PG_BRONZE.T24CORE_LD_LOANS_AND_DEPOSITS_HIS.USE_OF_LOAN_CHA</t>
        </is>
      </c>
    </row>
    <row r="299" ht="54.75" customHeight="1" s="335">
      <c r="A299" s="386" t="inlineStr">
        <is>
          <t>T24CORE</t>
        </is>
      </c>
      <c r="B299" s="386" t="inlineStr">
        <is>
          <t>LD_LOANS_AND_DEPOSITS_HIS</t>
        </is>
      </c>
      <c r="C299" s="386" t="inlineStr">
        <is>
          <t>VALUE_DATE</t>
        </is>
      </c>
      <c r="D299" s="385" t="inlineStr">
        <is>
          <t>1:1</t>
        </is>
      </c>
      <c r="E299" s="412" t="inlineStr">
        <is>
          <t>Loan Arrangement</t>
        </is>
      </c>
      <c r="F299" s="412" t="inlineStr">
        <is>
          <t>Effective Date</t>
        </is>
      </c>
      <c r="G299" s="385" t="inlineStr">
        <is>
          <t>PG_BRONZE</t>
        </is>
      </c>
      <c r="H299" s="386" t="inlineStr">
        <is>
          <t>T24CORE_LD_LOANS_AND_DEPOSITS_HIS</t>
        </is>
      </c>
      <c r="I299" s="386" t="inlineStr">
        <is>
          <t>VALUE_DATE</t>
        </is>
      </c>
      <c r="J299" s="410" t="inlineStr">
        <is>
          <t>DATE</t>
        </is>
      </c>
      <c r="K299" s="408" t="n">
        <v>8</v>
      </c>
      <c r="L299" s="412" t="inlineStr">
        <is>
          <t>Ngày hiệu lực hợp đồng</t>
        </is>
      </c>
      <c r="M299" s="412">
        <f>"COMMENT ON COLUMN "&amp;G299&amp;"."&amp;H299&amp;"."&amp;I299&amp;" IS '"&amp;L299&amp;"';"</f>
        <v/>
      </c>
      <c r="N299" s="414" t="inlineStr">
        <is>
          <t>Map 1:1 nguyên bản từ T24CORE.LD_LOANS_AND_DEPOSITS_HIS.VALUE_DATE sang PG_BRONZE.T24CORE_LD_LOANS_AND_DEPOSITS_HIS.VALUE_DATE</t>
        </is>
      </c>
    </row>
    <row r="300" ht="41.25" customHeight="1" s="335">
      <c r="A300" s="386" t="inlineStr">
        <is>
          <t>T24CORE</t>
        </is>
      </c>
      <c r="B300" s="386" t="inlineStr">
        <is>
          <t>LD_SCHEDULE_DEFINE_MV</t>
        </is>
      </c>
      <c r="C300" s="386" t="inlineStr">
        <is>
          <t>CONTRACT_ID</t>
        </is>
      </c>
      <c r="D300" s="385" t="inlineStr">
        <is>
          <t>1:1</t>
        </is>
      </c>
      <c r="E300" s="412" t="inlineStr">
        <is>
          <t>Arrangement Activity Schedule Item / sk_lich_tra_no</t>
        </is>
      </c>
      <c r="F300" s="412" t="inlineStr">
        <is>
          <t>Contract Id</t>
        </is>
      </c>
      <c r="G300" s="385" t="inlineStr">
        <is>
          <t>PG_BRONZE</t>
        </is>
      </c>
      <c r="H300" s="386" t="inlineStr">
        <is>
          <t>T24CORE_LD_SCHEDULE_DEFINE_MV</t>
        </is>
      </c>
      <c r="I300" s="386" t="inlineStr">
        <is>
          <t>CONTRACT_ID</t>
        </is>
      </c>
      <c r="J300" s="410" t="inlineStr">
        <is>
          <t>VARCHAR2</t>
        </is>
      </c>
      <c r="K300" s="408" t="n">
        <v>100</v>
      </c>
      <c r="L300" s="412" t="inlineStr">
        <is>
          <t>Mã Hợp đồng</t>
        </is>
      </c>
      <c r="M300" s="412">
        <f>"COMMENT ON COLUMN "&amp;G300&amp;"."&amp;H300&amp;"."&amp;I300&amp;" IS '"&amp;L300&amp;"';"</f>
        <v/>
      </c>
      <c r="N300" s="414" t="inlineStr">
        <is>
          <t>Map 1:1 nguyên bản từ T24CORE.LD_SCHEDULE_DEFINE_MV.CONTRACT_ID sang PG_BRONZE.T24CORE_LD_SCHEDULE_DEFINE_MV.CONTRACT_ID</t>
        </is>
      </c>
    </row>
    <row r="301" ht="54.75" customHeight="1" s="335">
      <c r="A301" s="386" t="inlineStr">
        <is>
          <t>T24CORE</t>
        </is>
      </c>
      <c r="B301" s="386" t="inlineStr">
        <is>
          <t>LD_SCHEDULE_DEFINE_MV</t>
        </is>
      </c>
      <c r="C301" s="386" t="inlineStr">
        <is>
          <t>PREV_SCHED_DATE</t>
        </is>
      </c>
      <c r="D301" s="385" t="inlineStr">
        <is>
          <t>1:1</t>
        </is>
      </c>
      <c r="E301" s="412" t="inlineStr">
        <is>
          <t>Arrangement Activity Schedule Item / sk_lich_tra_no</t>
        </is>
      </c>
      <c r="F301" s="412" t="inlineStr">
        <is>
          <t>Prev Sched Date</t>
        </is>
      </c>
      <c r="G301" s="385" t="inlineStr">
        <is>
          <t>PG_BRONZE</t>
        </is>
      </c>
      <c r="H301" s="386" t="inlineStr">
        <is>
          <t>T24CORE_LD_SCHEDULE_DEFINE_MV</t>
        </is>
      </c>
      <c r="I301" s="386" t="inlineStr">
        <is>
          <t>PREV_SCHED_DATE</t>
        </is>
      </c>
      <c r="J301" s="410" t="inlineStr">
        <is>
          <t>DATE</t>
        </is>
      </c>
      <c r="K301" s="408" t="n">
        <v>8</v>
      </c>
      <c r="L301" s="412" t="inlineStr">
        <is>
          <t>Ngày thanh toán gần nhất</t>
        </is>
      </c>
      <c r="M301" s="412">
        <f>"COMMENT ON COLUMN "&amp;G301&amp;"."&amp;H301&amp;"."&amp;I301&amp;" IS '"&amp;L301&amp;"';"</f>
        <v/>
      </c>
      <c r="N301" s="414" t="inlineStr">
        <is>
          <t>Map 1:1 nguyên bản từ T24CORE.LD_SCHEDULE_DEFINE_MV.PREV_SCHED_DATE sang PG_BRONZE.T24CORE_LD_SCHEDULE_DEFINE_MV.PREV_SCHED_DATE</t>
        </is>
      </c>
    </row>
    <row r="302" ht="27" customHeight="1" s="335">
      <c r="A302" s="386" t="inlineStr">
        <is>
          <t>T24CORE</t>
        </is>
      </c>
      <c r="B302" s="386" t="inlineStr">
        <is>
          <t>LIMIT</t>
        </is>
      </c>
      <c r="C302" s="386" t="inlineStr">
        <is>
          <t>EXPIRY_DATE</t>
        </is>
      </c>
      <c r="D302" s="385" t="inlineStr">
        <is>
          <t>1:1</t>
        </is>
      </c>
      <c r="E302" s="412" t="inlineStr">
        <is>
          <t>Limit</t>
        </is>
      </c>
      <c r="F302" s="412" t="inlineStr">
        <is>
          <t>Limit Expiry Date</t>
        </is>
      </c>
      <c r="G302" s="385" t="inlineStr">
        <is>
          <t>PG_BRONZE</t>
        </is>
      </c>
      <c r="H302" s="386" t="inlineStr">
        <is>
          <t>T24CORE_LIMIT</t>
        </is>
      </c>
      <c r="I302" s="386" t="inlineStr">
        <is>
          <t>EXPIRY_DATE</t>
        </is>
      </c>
      <c r="J302" s="410" t="inlineStr">
        <is>
          <t>DATE</t>
        </is>
      </c>
      <c r="K302" s="408" t="n">
        <v>8</v>
      </c>
      <c r="L302" s="412" t="inlineStr">
        <is>
          <t>Ngày hết hạn hạn mức tín dụng</t>
        </is>
      </c>
      <c r="M302" s="412">
        <f>"COMMENT ON COLUMN "&amp;G302&amp;"."&amp;H302&amp;"."&amp;I302&amp;" IS '"&amp;L302&amp;"';"</f>
        <v/>
      </c>
      <c r="N302" s="414" t="inlineStr">
        <is>
          <t>Map 1:1 nguyên bản từ T24CORE.LIMIT.EXPIRY_DATE sang PG_BRONZE.T24CORE_LIMIT.EXPIRY_DATE</t>
        </is>
      </c>
    </row>
    <row r="303" ht="41.25" customHeight="1" s="335">
      <c r="A303" s="386" t="inlineStr">
        <is>
          <t>T24CORE</t>
        </is>
      </c>
      <c r="B303" s="386" t="inlineStr">
        <is>
          <t>LIMIT</t>
        </is>
      </c>
      <c r="C303" s="386" t="inlineStr">
        <is>
          <t>INTERNAL_AMOUNT</t>
        </is>
      </c>
      <c r="D303" s="385" t="inlineStr">
        <is>
          <t>1:1</t>
        </is>
      </c>
      <c r="E303" s="412" t="inlineStr">
        <is>
          <t>Limit</t>
        </is>
      </c>
      <c r="F303" s="412" t="inlineStr">
        <is>
          <t>Internal Limit Amount</t>
        </is>
      </c>
      <c r="G303" s="385" t="inlineStr">
        <is>
          <t>PG_BRONZE</t>
        </is>
      </c>
      <c r="H303" s="386" t="inlineStr">
        <is>
          <t>T24CORE_LIMIT</t>
        </is>
      </c>
      <c r="I303" s="386" t="inlineStr">
        <is>
          <t>INTERNAL_AMOUNT</t>
        </is>
      </c>
      <c r="J303" s="410" t="inlineStr">
        <is>
          <t>NUMBER</t>
        </is>
      </c>
      <c r="K303" s="408" t="n">
        <v>25.5</v>
      </c>
      <c r="L303" s="412" t="inlineStr">
        <is>
          <t>Số tiền hạn mức nội bộ được cấp</t>
        </is>
      </c>
      <c r="M303" s="412">
        <f>"COMMENT ON COLUMN "&amp;G303&amp;"."&amp;H303&amp;"."&amp;I303&amp;" IS '"&amp;L303&amp;"';"</f>
        <v/>
      </c>
      <c r="N303" s="414" t="inlineStr">
        <is>
          <t>Map 1:1 nguyên bản từ T24CORE.LIMIT.INTERNAL_AMOUNT sang PG_BRONZE.T24CORE_LIMIT.INTERNAL_AMOUNT</t>
        </is>
      </c>
    </row>
    <row r="304" ht="41.25" customHeight="1" s="335">
      <c r="A304" s="386" t="inlineStr">
        <is>
          <t>T24CORE</t>
        </is>
      </c>
      <c r="B304" s="386" t="inlineStr">
        <is>
          <t>LIMIT</t>
        </is>
      </c>
      <c r="C304" s="386" t="inlineStr">
        <is>
          <t>LIMIT_PRODUCT</t>
        </is>
      </c>
      <c r="D304" s="385" t="inlineStr">
        <is>
          <t>1:1</t>
        </is>
      </c>
      <c r="E304" s="412" t="inlineStr">
        <is>
          <t>Limit</t>
        </is>
      </c>
      <c r="F304" s="412" t="inlineStr">
        <is>
          <t>Limit Product Code</t>
        </is>
      </c>
      <c r="G304" s="385" t="inlineStr">
        <is>
          <t>PG_BRONZE</t>
        </is>
      </c>
      <c r="H304" s="386" t="inlineStr">
        <is>
          <t>T24CORE_LIMIT</t>
        </is>
      </c>
      <c r="I304" s="386" t="inlineStr">
        <is>
          <t>LIMIT_PRODUCT</t>
        </is>
      </c>
      <c r="J304" s="410" t="inlineStr">
        <is>
          <t>VARCHAR2</t>
        </is>
      </c>
      <c r="K304" s="408" t="n">
        <v>100</v>
      </c>
      <c r="L304" s="412" t="inlineStr">
        <is>
          <t>Mã sản phẩm hạn mức tín dụng</t>
        </is>
      </c>
      <c r="M304" s="412">
        <f>"COMMENT ON COLUMN "&amp;G304&amp;"."&amp;H304&amp;"."&amp;I304&amp;" IS '"&amp;L304&amp;"';"</f>
        <v/>
      </c>
      <c r="N304" s="414" t="inlineStr">
        <is>
          <t>Map 1:1 nguyên bản từ T24CORE.LIMIT.LIMIT_PRODUCT sang PG_BRONZE.T24CORE_LIMIT.LIMIT_PRODUCT</t>
        </is>
      </c>
    </row>
    <row r="305" ht="41.25" customHeight="1" s="335">
      <c r="A305" s="386" t="inlineStr">
        <is>
          <t>T24CORE</t>
        </is>
      </c>
      <c r="B305" s="386" t="inlineStr">
        <is>
          <t>LIMIT</t>
        </is>
      </c>
      <c r="C305" s="386" t="inlineStr">
        <is>
          <t>MAXIMUM_TOTAL</t>
        </is>
      </c>
      <c r="D305" s="385" t="inlineStr">
        <is>
          <t>1:1</t>
        </is>
      </c>
      <c r="E305" s="412" t="inlineStr">
        <is>
          <t>Limit</t>
        </is>
      </c>
      <c r="F305" s="412" t="inlineStr">
        <is>
          <t>Maximum Total Limit</t>
        </is>
      </c>
      <c r="G305" s="385" t="inlineStr">
        <is>
          <t>PG_BRONZE</t>
        </is>
      </c>
      <c r="H305" s="386" t="inlineStr">
        <is>
          <t>T24CORE_LIMIT</t>
        </is>
      </c>
      <c r="I305" s="386" t="inlineStr">
        <is>
          <t>MAXIMUM_TOTAL</t>
        </is>
      </c>
      <c r="J305" s="410" t="inlineStr">
        <is>
          <t>NUMBER</t>
        </is>
      </c>
      <c r="K305" s="408" t="n">
        <v>25.5</v>
      </c>
      <c r="L305" s="412" t="inlineStr">
        <is>
          <t>Tổng hạn mức tối đa được phê duyệt</t>
        </is>
      </c>
      <c r="M305" s="412">
        <f>"COMMENT ON COLUMN "&amp;G305&amp;"."&amp;H305&amp;"."&amp;I305&amp;" IS '"&amp;L305&amp;"';"</f>
        <v/>
      </c>
      <c r="N305" s="414" t="inlineStr">
        <is>
          <t>Map 1:1 nguyên bản từ T24CORE.LIMIT.MAXIMUM_TOTAL sang PG_BRONZE.T24CORE_LIMIT.MAXIMUM_TOTAL</t>
        </is>
      </c>
    </row>
    <row r="306" ht="41.25" customHeight="1" s="335">
      <c r="A306" s="386" t="inlineStr">
        <is>
          <t>T24CORE</t>
        </is>
      </c>
      <c r="B306" s="386" t="inlineStr">
        <is>
          <t>LIMIT</t>
        </is>
      </c>
      <c r="C306" s="386" t="inlineStr">
        <is>
          <t>ONLINE_LIMIT_DATE</t>
        </is>
      </c>
      <c r="D306" s="385" t="inlineStr">
        <is>
          <t>1:1</t>
        </is>
      </c>
      <c r="E306" s="412" t="inlineStr">
        <is>
          <t>Limit</t>
        </is>
      </c>
      <c r="F306" s="412" t="inlineStr">
        <is>
          <t>Online Limit Effective Date</t>
        </is>
      </c>
      <c r="G306" s="385" t="inlineStr">
        <is>
          <t>PG_BRONZE</t>
        </is>
      </c>
      <c r="H306" s="386" t="inlineStr">
        <is>
          <t>T24CORE_LIMIT</t>
        </is>
      </c>
      <c r="I306" s="386" t="inlineStr">
        <is>
          <t>ONLINE_LIMIT_DATE</t>
        </is>
      </c>
      <c r="J306" s="410" t="inlineStr">
        <is>
          <t>DATE</t>
        </is>
      </c>
      <c r="K306" s="408" t="n">
        <v>8</v>
      </c>
      <c r="L306" s="412" t="inlineStr">
        <is>
          <t>Ngày hiệu lực hạn mức trực tuyến</t>
        </is>
      </c>
      <c r="M306" s="412">
        <f>"COMMENT ON COLUMN "&amp;G306&amp;"."&amp;H306&amp;"."&amp;I306&amp;" IS '"&amp;L306&amp;"';"</f>
        <v/>
      </c>
      <c r="N306" s="414" t="inlineStr">
        <is>
          <t>Map 1:1 nguyên bản từ T24CORE.LIMIT.ONLINE_LIMIT_DATE sang PG_BRONZE.T24CORE_LIMIT.ONLINE_LIMIT_DATE</t>
        </is>
      </c>
    </row>
    <row r="307" ht="27" customHeight="1" s="335">
      <c r="A307" s="386" t="inlineStr">
        <is>
          <t>T24CORE</t>
        </is>
      </c>
      <c r="B307" s="386" t="inlineStr">
        <is>
          <t>LIMIT</t>
        </is>
      </c>
      <c r="C307" s="386" t="inlineStr">
        <is>
          <t>RECID</t>
        </is>
      </c>
      <c r="D307" s="385" t="inlineStr">
        <is>
          <t>1:1</t>
        </is>
      </c>
      <c r="E307" s="412" t="inlineStr">
        <is>
          <t>Limit</t>
        </is>
      </c>
      <c r="F307" s="412" t="inlineStr">
        <is>
          <t>Limit ID / Limit Code</t>
        </is>
      </c>
      <c r="G307" s="385" t="inlineStr">
        <is>
          <t>PG_BRONZE</t>
        </is>
      </c>
      <c r="H307" s="386" t="inlineStr">
        <is>
          <t>T24CORE_LIMIT</t>
        </is>
      </c>
      <c r="I307" s="386" t="inlineStr">
        <is>
          <t>RECID</t>
        </is>
      </c>
      <c r="J307" s="410" t="inlineStr">
        <is>
          <t>VARCHAR2</t>
        </is>
      </c>
      <c r="K307" s="408" t="n">
        <v>100</v>
      </c>
      <c r="L307" s="412" t="inlineStr">
        <is>
          <t>Mã định danh hạn mức tín dụng (Limit ID)</t>
        </is>
      </c>
      <c r="M307" s="412">
        <f>"COMMENT ON COLUMN "&amp;G307&amp;"."&amp;H307&amp;"."&amp;I307&amp;" IS '"&amp;L307&amp;"';"</f>
        <v/>
      </c>
      <c r="N307" s="414" t="inlineStr">
        <is>
          <t>Map 1:1 nguyên bản từ T24CORE.LIMIT.RECID sang PG_BRONZE.T24CORE_LIMIT.RECID</t>
        </is>
      </c>
    </row>
    <row r="308" ht="41.25" customHeight="1" s="335">
      <c r="A308" s="386" t="inlineStr">
        <is>
          <t>T24CORE</t>
        </is>
      </c>
      <c r="B308" s="386" t="inlineStr">
        <is>
          <t>MB_MG_SAVING_MULTI</t>
        </is>
      </c>
      <c r="C308" s="386" t="inlineStr">
        <is>
          <t>LD_ID</t>
        </is>
      </c>
      <c r="D308" s="385" t="inlineStr">
        <is>
          <t>1:1</t>
        </is>
      </c>
      <c r="E308" s="412" t="inlineStr">
        <is>
          <t>Loan Arrangement</t>
        </is>
      </c>
      <c r="F308" s="412" t="inlineStr">
        <is>
          <t>Arrangement Code/ Arrangement ID</t>
        </is>
      </c>
      <c r="G308" s="385" t="inlineStr">
        <is>
          <t>PG_BRONZE</t>
        </is>
      </c>
      <c r="H308" s="386" t="inlineStr">
        <is>
          <t>T24CORE_MB_MG_SAVING_MULTI</t>
        </is>
      </c>
      <c r="I308" s="386" t="inlineStr">
        <is>
          <t>LD_ID</t>
        </is>
      </c>
      <c r="J308" s="410" t="inlineStr">
        <is>
          <t>VARCHAR2</t>
        </is>
      </c>
      <c r="K308" s="408" t="n">
        <v>100</v>
      </c>
      <c r="L308" s="412" t="inlineStr">
        <is>
          <t>Mã Hợp đồng</t>
        </is>
      </c>
      <c r="M308" s="412">
        <f>"COMMENT ON COLUMN "&amp;G308&amp;"."&amp;H308&amp;"."&amp;I308&amp;" IS '"&amp;L308&amp;"';"</f>
        <v/>
      </c>
      <c r="N308" s="414" t="inlineStr">
        <is>
          <t>Map 1:1 nguyên bản từ T24CORE.MB_MG_SAVING_MULTI.LD_ID sang PG_BRONZE.T24CORE_MB_MG_SAVING_MULTI.LD_ID</t>
        </is>
      </c>
    </row>
    <row r="309" ht="41.25" customHeight="1" s="335">
      <c r="A309" s="386" t="inlineStr">
        <is>
          <t>T24CORE</t>
        </is>
      </c>
      <c r="B309" s="386" t="inlineStr">
        <is>
          <t>MB_MG_SAVING_MULTI</t>
        </is>
      </c>
      <c r="C309" s="386" t="inlineStr">
        <is>
          <t>MB_LD_TYPE</t>
        </is>
      </c>
      <c r="D309" s="385" t="inlineStr">
        <is>
          <t>1:1</t>
        </is>
      </c>
      <c r="E309" s="412" t="inlineStr">
        <is>
          <t>Loan Arrangement Profile</t>
        </is>
      </c>
      <c r="F309" s="412" t="inlineStr">
        <is>
          <t>Promotion Program / Promotion Program 2</t>
        </is>
      </c>
      <c r="G309" s="385" t="inlineStr">
        <is>
          <t>PG_BRONZE</t>
        </is>
      </c>
      <c r="H309" s="386" t="inlineStr">
        <is>
          <t>T24CORE_MB_MG_SAVING_MULTI</t>
        </is>
      </c>
      <c r="I309" s="386" t="inlineStr">
        <is>
          <t>MB_LD_TYPE</t>
        </is>
      </c>
      <c r="J309" s="410" t="inlineStr">
        <is>
          <t>VARCHAR2</t>
        </is>
      </c>
      <c r="K309" s="408" t="n">
        <v>100</v>
      </c>
      <c r="L309" s="412" t="inlineStr">
        <is>
          <t>Bổ sung cho CTKM VÀ CTKM 2</t>
        </is>
      </c>
      <c r="M309" s="412">
        <f>"COMMENT ON COLUMN "&amp;G309&amp;"."&amp;H309&amp;"."&amp;I309&amp;" IS '"&amp;L309&amp;"';"</f>
        <v/>
      </c>
      <c r="N309" s="414" t="inlineStr">
        <is>
          <t>Map 1:1 nguyên bản từ T24CORE.MB_MG_SAVING_MULTI.MB_LD_TYPE sang PG_BRONZE.T24CORE_MB_MG_SAVING_MULTI.MB_LD_TYPE</t>
        </is>
      </c>
    </row>
    <row r="310" ht="54.75" customHeight="1" s="335">
      <c r="A310" s="386" t="inlineStr">
        <is>
          <t>T24CORE</t>
        </is>
      </c>
      <c r="B310" s="386" t="inlineStr">
        <is>
          <t>MB_MG_SAVING_MULTI</t>
        </is>
      </c>
      <c r="C310" s="386" t="inlineStr">
        <is>
          <t>PRODUCTGR_CODE</t>
        </is>
      </c>
      <c r="D310" s="385" t="inlineStr">
        <is>
          <t>1:1</t>
        </is>
      </c>
      <c r="E310" s="412" t="inlineStr">
        <is>
          <t>Loan Arrangement Profile / sk_lich_tra_no</t>
        </is>
      </c>
      <c r="F310" s="412" t="inlineStr">
        <is>
          <t>Productgr Code</t>
        </is>
      </c>
      <c r="G310" s="385" t="inlineStr">
        <is>
          <t>PG_BRONZE</t>
        </is>
      </c>
      <c r="H310" s="386" t="inlineStr">
        <is>
          <t>T24CORE_MB_MG_SAVING_MULTI</t>
        </is>
      </c>
      <c r="I310" s="386" t="inlineStr">
        <is>
          <t>PRODUCTGR_CODE</t>
        </is>
      </c>
      <c r="J310" s="410" t="inlineStr">
        <is>
          <t>VARCHAR2</t>
        </is>
      </c>
      <c r="K310" s="408" t="n">
        <v>100</v>
      </c>
      <c r="L310" s="412" t="inlineStr">
        <is>
          <t>Mã sản phẩm</t>
        </is>
      </c>
      <c r="M310" s="412">
        <f>"COMMENT ON COLUMN "&amp;G310&amp;"."&amp;H310&amp;"."&amp;I310&amp;" IS '"&amp;L310&amp;"';"</f>
        <v/>
      </c>
      <c r="N310" s="414" t="inlineStr">
        <is>
          <t>Map 1:1 nguyên bản từ T24CORE.MB_MG_SAVING_MULTI.PRODUCTGR_CODE sang PG_BRONZE.T24CORE_MB_MG_SAVING_MULTI.PRODUCTGR_CODE</t>
        </is>
      </c>
    </row>
    <row r="311" ht="41.25" customHeight="1" s="335">
      <c r="A311" s="386" t="inlineStr">
        <is>
          <t>T24CORE</t>
        </is>
      </c>
      <c r="B311" s="386" t="inlineStr">
        <is>
          <t>PD_PAYMENT_DUE</t>
        </is>
      </c>
      <c r="C311" s="386" t="inlineStr">
        <is>
          <t>AUTHORISER</t>
        </is>
      </c>
      <c r="D311" s="385" t="inlineStr">
        <is>
          <t>1:1</t>
        </is>
      </c>
      <c r="E311" s="412" t="inlineStr">
        <is>
          <t>Arrangement x Involved Party Relationship</t>
        </is>
      </c>
      <c r="F311" s="412" t="inlineStr">
        <is>
          <t>Checker Officer</t>
        </is>
      </c>
      <c r="G311" s="385" t="inlineStr">
        <is>
          <t>PG_BRONZE</t>
        </is>
      </c>
      <c r="H311" s="386" t="inlineStr">
        <is>
          <t>T24CORE_PD_PAYMENT_DUE</t>
        </is>
      </c>
      <c r="I311" s="386" t="inlineStr">
        <is>
          <t>AUTHORISER</t>
        </is>
      </c>
      <c r="J311" s="410" t="inlineStr">
        <is>
          <t>VARCHAR2</t>
        </is>
      </c>
      <c r="K311" s="408" t="n">
        <v>100</v>
      </c>
      <c r="L311" s="412" t="inlineStr">
        <is>
          <t>ID người phê duyệt</t>
        </is>
      </c>
      <c r="M311" s="412">
        <f>"COMMENT ON COLUMN "&amp;G311&amp;"."&amp;H311&amp;"."&amp;I311&amp;" IS '"&amp;L311&amp;"';"</f>
        <v/>
      </c>
      <c r="N311" s="414" t="inlineStr">
        <is>
          <t>Map 1:1 nguyên bản từ T24CORE.PD_PAYMENT_DUE.AUTHORISER sang PG_BRONZE.T24CORE_PD_PAYMENT_DUE.AUTHORISER</t>
        </is>
      </c>
    </row>
    <row r="312" ht="41.25" customHeight="1" s="335">
      <c r="A312" s="386" t="inlineStr">
        <is>
          <t>T24CORE</t>
        </is>
      </c>
      <c r="B312" s="386" t="inlineStr">
        <is>
          <t>PD_PAYMENT_DUE</t>
        </is>
      </c>
      <c r="C312" s="386" t="inlineStr">
        <is>
          <t>CRA_LD</t>
        </is>
      </c>
      <c r="D312" s="385" t="inlineStr">
        <is>
          <t>1:1</t>
        </is>
      </c>
      <c r="E312" s="412" t="inlineStr">
        <is>
          <t>Loan Arrangement</t>
        </is>
      </c>
      <c r="F312" s="412" t="inlineStr">
        <is>
          <t>Paper Contract Number</t>
        </is>
      </c>
      <c r="G312" s="385" t="inlineStr">
        <is>
          <t>PG_BRONZE</t>
        </is>
      </c>
      <c r="H312" s="386" t="inlineStr">
        <is>
          <t>T24CORE_PD_PAYMENT_DUE</t>
        </is>
      </c>
      <c r="I312" s="386" t="inlineStr">
        <is>
          <t>CRA_LD</t>
        </is>
      </c>
      <c r="J312" s="410" t="inlineStr">
        <is>
          <t>VARCHAR2</t>
        </is>
      </c>
      <c r="K312" s="408" t="n">
        <v>100</v>
      </c>
      <c r="L312" s="412" t="inlineStr">
        <is>
          <t>Số hợp đồng tín dụng giấy (Paper Contract Number)</t>
        </is>
      </c>
      <c r="M312" s="412">
        <f>"COMMENT ON COLUMN "&amp;G312&amp;"."&amp;H312&amp;"."&amp;I312&amp;" IS '"&amp;L312&amp;"';"</f>
        <v/>
      </c>
      <c r="N312" s="414" t="inlineStr">
        <is>
          <t>Map 1:1 nguyên bản từ T24CORE.PD_PAYMENT_DUE.CRA_LD sang PG_BRONZE.T24CORE_PD_PAYMENT_DUE.CRA_LD</t>
        </is>
      </c>
    </row>
    <row r="313" ht="41.25" customHeight="1" s="335">
      <c r="A313" s="386" t="inlineStr">
        <is>
          <t>T24CORE</t>
        </is>
      </c>
      <c r="B313" s="386" t="inlineStr">
        <is>
          <t>PD_PAYMENT_DUE</t>
        </is>
      </c>
      <c r="C313" s="386" t="inlineStr">
        <is>
          <t>CREDIT_STATUS</t>
        </is>
      </c>
      <c r="D313" s="385" t="inlineStr">
        <is>
          <t>1:1</t>
        </is>
      </c>
      <c r="E313" s="412" t="inlineStr">
        <is>
          <t>Loan Arrangement Profile</t>
        </is>
      </c>
      <c r="F313" s="412" t="inlineStr">
        <is>
          <t>Financial Status Code</t>
        </is>
      </c>
      <c r="G313" s="385" t="inlineStr">
        <is>
          <t>PG_BRONZE</t>
        </is>
      </c>
      <c r="H313" s="386" t="inlineStr">
        <is>
          <t>T24CORE_PD_PAYMENT_DUE</t>
        </is>
      </c>
      <c r="I313" s="386" t="inlineStr">
        <is>
          <t>CREDIT_STATUS</t>
        </is>
      </c>
      <c r="J313" s="410" t="inlineStr">
        <is>
          <t>VARCHAR2</t>
        </is>
      </c>
      <c r="K313" s="408" t="n">
        <v>100</v>
      </c>
      <c r="L313" s="412" t="inlineStr">
        <is>
          <t>Tình trạng tín dụng</t>
        </is>
      </c>
      <c r="M313" s="412">
        <f>"COMMENT ON COLUMN "&amp;G313&amp;"."&amp;H313&amp;"."&amp;I313&amp;" IS '"&amp;L313&amp;"';"</f>
        <v/>
      </c>
      <c r="N313" s="414" t="inlineStr">
        <is>
          <t>Map 1:1 nguyên bản từ T24CORE.PD_PAYMENT_DUE.CREDIT_STATUS sang PG_BRONZE.T24CORE_PD_PAYMENT_DUE.CREDIT_STATUS</t>
        </is>
      </c>
    </row>
    <row r="314" ht="41.25" customHeight="1" s="335">
      <c r="A314" s="386" t="inlineStr">
        <is>
          <t>T24CORE</t>
        </is>
      </c>
      <c r="B314" s="386" t="inlineStr">
        <is>
          <t>PD_PAYMENT_DUE</t>
        </is>
      </c>
      <c r="C314" s="386" t="inlineStr">
        <is>
          <t>CURR_NO</t>
        </is>
      </c>
      <c r="D314" s="385" t="inlineStr">
        <is>
          <t>1:1</t>
        </is>
      </c>
      <c r="E314" s="412" t="inlineStr">
        <is>
          <t>Loan Arrangement / Delinquency Summary / sk_lich_tra_no</t>
        </is>
      </c>
      <c r="F314" s="412" t="inlineStr">
        <is>
          <t>Curr No</t>
        </is>
      </c>
      <c r="G314" s="385" t="inlineStr">
        <is>
          <t>PG_BRONZE</t>
        </is>
      </c>
      <c r="H314" s="386" t="inlineStr">
        <is>
          <t>T24CORE_PD_PAYMENT_DUE</t>
        </is>
      </c>
      <c r="I314" s="386" t="inlineStr">
        <is>
          <t>CURR_NO</t>
        </is>
      </c>
      <c r="J314" s="410" t="inlineStr">
        <is>
          <t>NUMBER</t>
        </is>
      </c>
      <c r="K314" s="408" t="n">
        <v>10</v>
      </c>
      <c r="L314" s="412" t="inlineStr">
        <is>
          <t>Version hiện tại của bản ghi</t>
        </is>
      </c>
      <c r="M314" s="412">
        <f>"COMMENT ON COLUMN "&amp;G314&amp;"."&amp;H314&amp;"."&amp;I314&amp;" IS '"&amp;L314&amp;"';"</f>
        <v/>
      </c>
      <c r="N314" s="414" t="inlineStr">
        <is>
          <t>Map 1:1 nguyên bản từ T24CORE.PD_PAYMENT_DUE.CURR_NO sang PG_BRONZE.T24CORE_PD_PAYMENT_DUE.CURR_NO</t>
        </is>
      </c>
    </row>
    <row r="315" ht="41.25" customHeight="1" s="335">
      <c r="A315" s="386" t="inlineStr">
        <is>
          <t>T24CORE</t>
        </is>
      </c>
      <c r="B315" s="386" t="inlineStr">
        <is>
          <t>PD_PAYMENT_DUE</t>
        </is>
      </c>
      <c r="C315" s="386" t="inlineStr">
        <is>
          <t>CUSTOMER</t>
        </is>
      </c>
      <c r="D315" s="385" t="inlineStr">
        <is>
          <t>1:1</t>
        </is>
      </c>
      <c r="E315" s="412" t="inlineStr">
        <is>
          <t>Loan Arrangement</t>
        </is>
      </c>
      <c r="F315" s="412" t="inlineStr">
        <is>
          <t>Customer Code/ Customer ID</t>
        </is>
      </c>
      <c r="G315" s="385" t="inlineStr">
        <is>
          <t>PG_BRONZE</t>
        </is>
      </c>
      <c r="H315" s="386" t="inlineStr">
        <is>
          <t>T24CORE_PD_PAYMENT_DUE</t>
        </is>
      </c>
      <c r="I315" s="386" t="inlineStr">
        <is>
          <t>CUSTOMER</t>
        </is>
      </c>
      <c r="J315" s="410" t="inlineStr">
        <is>
          <t>VARCHAR2</t>
        </is>
      </c>
      <c r="K315" s="408" t="n">
        <v>100</v>
      </c>
      <c r="L315" s="412" t="inlineStr">
        <is>
          <t>Mã Khách hàng</t>
        </is>
      </c>
      <c r="M315" s="412">
        <f>"COMMENT ON COLUMN "&amp;G315&amp;"."&amp;H315&amp;"."&amp;I315&amp;" IS '"&amp;L315&amp;"';"</f>
        <v/>
      </c>
      <c r="N315" s="414" t="inlineStr">
        <is>
          <t>Map 1:1 nguyên bản từ T24CORE.PD_PAYMENT_DUE.CUSTOMER sang PG_BRONZE.T24CORE_PD_PAYMENT_DUE.CUSTOMER</t>
        </is>
      </c>
    </row>
    <row r="316" ht="41.25" customHeight="1" s="335">
      <c r="A316" s="386" t="inlineStr">
        <is>
          <t>T24CORE</t>
        </is>
      </c>
      <c r="B316" s="386" t="inlineStr">
        <is>
          <t>PD_PAYMENT_DUE</t>
        </is>
      </c>
      <c r="C316" s="386" t="inlineStr">
        <is>
          <t>FLAG_STATUS</t>
        </is>
      </c>
      <c r="D316" s="385" t="inlineStr">
        <is>
          <t>1:1</t>
        </is>
      </c>
      <c r="E316" s="412" t="inlineStr">
        <is>
          <t>Loan Arrangement / Delinquency Summary / sk_lich_tra_no</t>
        </is>
      </c>
      <c r="F316" s="412" t="inlineStr">
        <is>
          <t>Flag Status</t>
        </is>
      </c>
      <c r="G316" s="385" t="inlineStr">
        <is>
          <t>PG_BRONZE</t>
        </is>
      </c>
      <c r="H316" s="386" t="inlineStr">
        <is>
          <t>T24CORE_PD_PAYMENT_DUE</t>
        </is>
      </c>
      <c r="I316" s="386" t="inlineStr">
        <is>
          <t>FLAG_STATUS</t>
        </is>
      </c>
      <c r="J316" s="410" t="inlineStr">
        <is>
          <t>VARCHAR2</t>
        </is>
      </c>
      <c r="K316" s="408" t="n">
        <v>100</v>
      </c>
      <c r="L316" s="412" t="inlineStr">
        <is>
          <t>Trường FLAG_STATUS của bảng nguồn T24CORE.PD_PAYMENT_DUE</t>
        </is>
      </c>
      <c r="M316" s="412">
        <f>"COMMENT ON COLUMN "&amp;G316&amp;"."&amp;H316&amp;"."&amp;I316&amp;" IS '"&amp;L316&amp;"';"</f>
        <v/>
      </c>
      <c r="N316" s="414" t="inlineStr">
        <is>
          <t>Map 1:1 nguyên bản từ T24CORE.PD_PAYMENT_DUE.FLAG_STATUS sang PG_BRONZE.T24CORE_PD_PAYMENT_DUE.FLAG_STATUS</t>
        </is>
      </c>
    </row>
    <row r="317" ht="41.25" customHeight="1" s="335">
      <c r="A317" s="386" t="inlineStr">
        <is>
          <t>T24CORE</t>
        </is>
      </c>
      <c r="B317" s="386" t="inlineStr">
        <is>
          <t>PD_PAYMENT_DUE</t>
        </is>
      </c>
      <c r="C317" s="386" t="inlineStr">
        <is>
          <t>INPUTTER</t>
        </is>
      </c>
      <c r="D317" s="385" t="inlineStr">
        <is>
          <t>1:1</t>
        </is>
      </c>
      <c r="E317" s="412" t="inlineStr">
        <is>
          <t>Arrangement x Involved Party Relationship</t>
        </is>
      </c>
      <c r="F317" s="412" t="inlineStr">
        <is>
          <t>Maker Officer</t>
        </is>
      </c>
      <c r="G317" s="385" t="inlineStr">
        <is>
          <t>PG_BRONZE</t>
        </is>
      </c>
      <c r="H317" s="386" t="inlineStr">
        <is>
          <t>T24CORE_PD_PAYMENT_DUE</t>
        </is>
      </c>
      <c r="I317" s="386" t="inlineStr">
        <is>
          <t>INPUTTER</t>
        </is>
      </c>
      <c r="J317" s="410" t="inlineStr">
        <is>
          <t>VARCHAR2</t>
        </is>
      </c>
      <c r="K317" s="408" t="n">
        <v>100</v>
      </c>
      <c r="L317" s="412" t="inlineStr">
        <is>
          <t>ID người nhập liệu</t>
        </is>
      </c>
      <c r="M317" s="412">
        <f>"COMMENT ON COLUMN "&amp;G317&amp;"."&amp;H317&amp;"."&amp;I317&amp;" IS '"&amp;L317&amp;"';"</f>
        <v/>
      </c>
      <c r="N317" s="414" t="inlineStr">
        <is>
          <t>Map 1:1 nguyên bản từ T24CORE.PD_PAYMENT_DUE.INPUTTER sang PG_BRONZE.T24CORE_PD_PAYMENT_DUE.INPUTTER</t>
        </is>
      </c>
    </row>
    <row r="318" ht="41.25" customHeight="1" s="335">
      <c r="A318" s="386" t="inlineStr">
        <is>
          <t>T24CORE</t>
        </is>
      </c>
      <c r="B318" s="386" t="inlineStr">
        <is>
          <t>PD_PAYMENT_DUE</t>
        </is>
      </c>
      <c r="C318" s="386" t="inlineStr">
        <is>
          <t>LIMIT_REFERENCE</t>
        </is>
      </c>
      <c r="D318" s="385" t="inlineStr">
        <is>
          <t>1:1</t>
        </is>
      </c>
      <c r="E318" s="412" t="inlineStr">
        <is>
          <t>Loan Arrangement</t>
        </is>
      </c>
      <c r="F318" s="412" t="inlineStr">
        <is>
          <t>Limit Id/  Limit Code</t>
        </is>
      </c>
      <c r="G318" s="385" t="inlineStr">
        <is>
          <t>PG_BRONZE</t>
        </is>
      </c>
      <c r="H318" s="386" t="inlineStr">
        <is>
          <t>T24CORE_PD_PAYMENT_DUE</t>
        </is>
      </c>
      <c r="I318" s="386" t="inlineStr">
        <is>
          <t>LIMIT_REFERENCE</t>
        </is>
      </c>
      <c r="J318" s="410" t="inlineStr">
        <is>
          <t>VARCHAR2</t>
        </is>
      </c>
      <c r="K318" s="408" t="n">
        <v>100</v>
      </c>
      <c r="L318" s="412" t="inlineStr">
        <is>
          <t>Mã tham chiếu hạn mức</t>
        </is>
      </c>
      <c r="M318" s="412">
        <f>"COMMENT ON COLUMN "&amp;G318&amp;"."&amp;H318&amp;"."&amp;I318&amp;" IS '"&amp;L318&amp;"';"</f>
        <v/>
      </c>
      <c r="N318" s="414" t="inlineStr">
        <is>
          <t>Map 1:1 nguyên bản từ T24CORE.PD_PAYMENT_DUE.LIMIT_REFERENCE sang PG_BRONZE.T24CORE_PD_PAYMENT_DUE.LIMIT_REFERENCE</t>
        </is>
      </c>
    </row>
    <row r="319" ht="41.25" customHeight="1" s="335">
      <c r="A319" s="386" t="inlineStr">
        <is>
          <t>T24CORE</t>
        </is>
      </c>
      <c r="B319" s="386" t="inlineStr">
        <is>
          <t>PD_PAYMENT_DUE</t>
        </is>
      </c>
      <c r="C319" s="386" t="inlineStr">
        <is>
          <t>LOS_FAC_CODE</t>
        </is>
      </c>
      <c r="D319" s="385" t="inlineStr">
        <is>
          <t>1:1</t>
        </is>
      </c>
      <c r="E319" s="412" t="inlineStr">
        <is>
          <t>Loan Arrangement</t>
        </is>
      </c>
      <c r="F319" s="412" t="inlineStr">
        <is>
          <t>Paper Contract Number</t>
        </is>
      </c>
      <c r="G319" s="385" t="inlineStr">
        <is>
          <t>PG_BRONZE</t>
        </is>
      </c>
      <c r="H319" s="386" t="inlineStr">
        <is>
          <t>T24CORE_PD_PAYMENT_DUE</t>
        </is>
      </c>
      <c r="I319" s="386" t="inlineStr">
        <is>
          <t>LOS_FAC_CODE</t>
        </is>
      </c>
      <c r="J319" s="410" t="inlineStr">
        <is>
          <t>VARCHAR2</t>
        </is>
      </c>
      <c r="K319" s="408" t="n">
        <v>100</v>
      </c>
      <c r="L319" s="412" t="inlineStr">
        <is>
          <t>Số hồ sơ</t>
        </is>
      </c>
      <c r="M319" s="412">
        <f>"COMMENT ON COLUMN "&amp;G319&amp;"."&amp;H319&amp;"."&amp;I319&amp;" IS '"&amp;L319&amp;"';"</f>
        <v/>
      </c>
      <c r="N319" s="414" t="inlineStr">
        <is>
          <t>Map 1:1 nguyên bản từ T24CORE.PD_PAYMENT_DUE.LOS_FAC_CODE sang PG_BRONZE.T24CORE_PD_PAYMENT_DUE.LOS_FAC_CODE</t>
        </is>
      </c>
    </row>
    <row r="320" ht="41.25" customHeight="1" s="335">
      <c r="A320" s="386" t="inlineStr">
        <is>
          <t>T24CORE</t>
        </is>
      </c>
      <c r="B320" s="386" t="inlineStr">
        <is>
          <t>PD_PAYMENT_DUE</t>
        </is>
      </c>
      <c r="C320" s="386" t="inlineStr">
        <is>
          <t>ORIGINAL_MAT</t>
        </is>
      </c>
      <c r="D320" s="385" t="inlineStr">
        <is>
          <t>1:1</t>
        </is>
      </c>
      <c r="E320" s="412" t="inlineStr">
        <is>
          <t>Loan Arrangement</t>
        </is>
      </c>
      <c r="F320" s="412" t="inlineStr">
        <is>
          <t>Maturity Date</t>
        </is>
      </c>
      <c r="G320" s="385" t="inlineStr">
        <is>
          <t>PG_BRONZE</t>
        </is>
      </c>
      <c r="H320" s="386" t="inlineStr">
        <is>
          <t>T24CORE_PD_PAYMENT_DUE</t>
        </is>
      </c>
      <c r="I320" s="386" t="inlineStr">
        <is>
          <t>ORIGINAL_MAT</t>
        </is>
      </c>
      <c r="J320" s="410" t="inlineStr">
        <is>
          <t>DATE</t>
        </is>
      </c>
      <c r="K320" s="408" t="n">
        <v>8</v>
      </c>
      <c r="L320" s="412" t="inlineStr">
        <is>
          <t>Kỳ hạn gốc</t>
        </is>
      </c>
      <c r="M320" s="412">
        <f>"COMMENT ON COLUMN "&amp;G320&amp;"."&amp;H320&amp;"."&amp;I320&amp;" IS '"&amp;L320&amp;"';"</f>
        <v/>
      </c>
      <c r="N320" s="414" t="inlineStr">
        <is>
          <t>Map 1:1 nguyên bản từ T24CORE.PD_PAYMENT_DUE.ORIGINAL_MAT sang PG_BRONZE.T24CORE_PD_PAYMENT_DUE.ORIGINAL_MAT</t>
        </is>
      </c>
    </row>
    <row r="321" ht="41.25" customHeight="1" s="335">
      <c r="A321" s="386" t="inlineStr">
        <is>
          <t>T24CORE</t>
        </is>
      </c>
      <c r="B321" s="386" t="inlineStr">
        <is>
          <t>PD_PAYMENT_DUE</t>
        </is>
      </c>
      <c r="C321" s="386" t="inlineStr">
        <is>
          <t>PAYMENT_DTE_DUE</t>
        </is>
      </c>
      <c r="D321" s="385" t="inlineStr">
        <is>
          <t>1:1</t>
        </is>
      </c>
      <c r="E321" s="412" t="inlineStr">
        <is>
          <t>Loan Arrangement</t>
        </is>
      </c>
      <c r="F321" s="412" t="inlineStr">
        <is>
          <t>Effective Date</t>
        </is>
      </c>
      <c r="G321" s="385" t="inlineStr">
        <is>
          <t>PG_BRONZE</t>
        </is>
      </c>
      <c r="H321" s="386" t="inlineStr">
        <is>
          <t>T24CORE_PD_PAYMENT_DUE</t>
        </is>
      </c>
      <c r="I321" s="386" t="inlineStr">
        <is>
          <t>PAYMENT_DTE_DUE</t>
        </is>
      </c>
      <c r="J321" s="410" t="inlineStr">
        <is>
          <t>DATE</t>
        </is>
      </c>
      <c r="K321" s="408" t="n">
        <v>8</v>
      </c>
      <c r="L321" s="412" t="inlineStr">
        <is>
          <t>Hạn thanh toán</t>
        </is>
      </c>
      <c r="M321" s="412">
        <f>"COMMENT ON COLUMN "&amp;G321&amp;"."&amp;H321&amp;"."&amp;I321&amp;" IS '"&amp;L321&amp;"';"</f>
        <v/>
      </c>
      <c r="N321" s="414" t="inlineStr">
        <is>
          <t>Map 1:1 nguyên bản từ T24CORE.PD_PAYMENT_DUE.PAYMENT_DTE_DUE sang PG_BRONZE.T24CORE_PD_PAYMENT_DUE.PAYMENT_DTE_DUE</t>
        </is>
      </c>
    </row>
    <row r="322" ht="69" customHeight="1" s="335">
      <c r="A322" s="386" t="inlineStr">
        <is>
          <t>T24CORE</t>
        </is>
      </c>
      <c r="B322" s="386" t="inlineStr">
        <is>
          <t>PD_PAYMENT_DUE</t>
        </is>
      </c>
      <c r="C322" s="386" t="inlineStr">
        <is>
          <t>PD_TYPE</t>
        </is>
      </c>
      <c r="D322" s="385" t="inlineStr">
        <is>
          <t>1:1</t>
        </is>
      </c>
      <c r="E322" s="412" t="inlineStr">
        <is>
          <t>Loan Arrangement / Delinquency Summary / sk_lich_tra_no</t>
        </is>
      </c>
      <c r="F322" s="412" t="inlineStr">
        <is>
          <t>Pd Type</t>
        </is>
      </c>
      <c r="G322" s="385" t="inlineStr">
        <is>
          <t>PG_BRONZE</t>
        </is>
      </c>
      <c r="H322" s="386" t="inlineStr">
        <is>
          <t>T24CORE_PD_PAYMENT_DUE</t>
        </is>
      </c>
      <c r="I322" s="386" t="inlineStr">
        <is>
          <t>PD_TYPE</t>
        </is>
      </c>
      <c r="J322" s="410" t="inlineStr">
        <is>
          <t>VARCHAR2</t>
        </is>
      </c>
      <c r="K322" s="408" t="n">
        <v>100</v>
      </c>
      <c r="L322" s="412" t="inlineStr">
        <is>
          <t>Pd_type = 1 là các khoản phạt gốc quá hạn, lãi quá hạn đc migrate sang thành phần IN
Null là gốc, lãi quá hạn</t>
        </is>
      </c>
      <c r="M322" s="412">
        <f>"COMMENT ON COLUMN "&amp;G322&amp;"."&amp;H322&amp;"."&amp;I322&amp;" IS '"&amp;L322&amp;"';"</f>
        <v/>
      </c>
      <c r="N322" s="414" t="inlineStr">
        <is>
          <t>Map 1:1 nguyên bản từ T24CORE.PD_PAYMENT_DUE.PD_TYPE sang PG_BRONZE.T24CORE_PD_PAYMENT_DUE.PD_TYPE</t>
        </is>
      </c>
    </row>
    <row r="323" ht="41.25" customHeight="1" s="335">
      <c r="A323" s="386" t="inlineStr">
        <is>
          <t>T24CORE</t>
        </is>
      </c>
      <c r="B323" s="386" t="inlineStr">
        <is>
          <t>PD_PAYMENT_DUE</t>
        </is>
      </c>
      <c r="C323" s="386" t="inlineStr">
        <is>
          <t>PENALTY_RATE</t>
        </is>
      </c>
      <c r="D323" s="385" t="inlineStr">
        <is>
          <t>1:1</t>
        </is>
      </c>
      <c r="E323" s="412" t="inlineStr">
        <is>
          <t>Loan Arrangement / Delinquency Summary / sk_lich_tra_no</t>
        </is>
      </c>
      <c r="F323" s="412" t="inlineStr">
        <is>
          <t>Penalty Rate</t>
        </is>
      </c>
      <c r="G323" s="385" t="inlineStr">
        <is>
          <t>PG_BRONZE</t>
        </is>
      </c>
      <c r="H323" s="386" t="inlineStr">
        <is>
          <t>T24CORE_PD_PAYMENT_DUE</t>
        </is>
      </c>
      <c r="I323" s="386" t="inlineStr">
        <is>
          <t>PENALTY_RATE</t>
        </is>
      </c>
      <c r="J323" s="410" t="inlineStr">
        <is>
          <t>NUMBER</t>
        </is>
      </c>
      <c r="K323" s="408" t="n">
        <v>13.7</v>
      </c>
      <c r="L323" s="412" t="inlineStr">
        <is>
          <t>Lãi suất phạt quá hạn danh nghĩa (Penalty Rate)</t>
        </is>
      </c>
      <c r="M323" s="412">
        <f>"COMMENT ON COLUMN "&amp;G323&amp;"."&amp;H323&amp;"."&amp;I323&amp;" IS '"&amp;L323&amp;"';"</f>
        <v/>
      </c>
      <c r="N323" s="414" t="inlineStr">
        <is>
          <t>Map 1:1 nguyên bản từ T24CORE.PD_PAYMENT_DUE.PENALTY_RATE sang PG_BRONZE.T24CORE_PD_PAYMENT_DUE.PENALTY_RATE</t>
        </is>
      </c>
    </row>
    <row r="324" ht="41.25" customHeight="1" s="335">
      <c r="A324" s="386" t="inlineStr">
        <is>
          <t>T24CORE</t>
        </is>
      </c>
      <c r="B324" s="386" t="inlineStr">
        <is>
          <t>PD_PAYMENT_DUE</t>
        </is>
      </c>
      <c r="C324" s="386" t="inlineStr">
        <is>
          <t>PE_RATE</t>
        </is>
      </c>
      <c r="D324" s="385" t="inlineStr">
        <is>
          <t>1:1</t>
        </is>
      </c>
      <c r="E324" s="412" t="inlineStr">
        <is>
          <t>Arrangement Rate History</t>
        </is>
      </c>
      <c r="F324" s="412" t="inlineStr">
        <is>
          <t>Penalty Rate</t>
        </is>
      </c>
      <c r="G324" s="385" t="inlineStr">
        <is>
          <t>PG_BRONZE</t>
        </is>
      </c>
      <c r="H324" s="386" t="inlineStr">
        <is>
          <t>T24CORE_PD_PAYMENT_DUE</t>
        </is>
      </c>
      <c r="I324" s="386" t="inlineStr">
        <is>
          <t>PE_RATE</t>
        </is>
      </c>
      <c r="J324" s="410" t="inlineStr">
        <is>
          <t>NUMBER</t>
        </is>
      </c>
      <c r="K324" s="408" t="n">
        <v>13.7</v>
      </c>
      <c r="L324" s="412" t="inlineStr">
        <is>
          <t>Lãi phạt penalty rate</t>
        </is>
      </c>
      <c r="M324" s="412">
        <f>"COMMENT ON COLUMN "&amp;G324&amp;"."&amp;H324&amp;"."&amp;I324&amp;" IS '"&amp;L324&amp;"';"</f>
        <v/>
      </c>
      <c r="N324" s="414" t="inlineStr">
        <is>
          <t>Map 1:1 nguyên bản từ T24CORE.PD_PAYMENT_DUE.PE_RATE sang PG_BRONZE.T24CORE_PD_PAYMENT_DUE.PE_RATE</t>
        </is>
      </c>
    </row>
    <row r="325" ht="41.25" customHeight="1" s="335">
      <c r="A325" s="386" t="inlineStr">
        <is>
          <t>T24CORE</t>
        </is>
      </c>
      <c r="B325" s="386" t="inlineStr">
        <is>
          <t>PD_PAYMENT_DUE</t>
        </is>
      </c>
      <c r="C325" s="386" t="inlineStr">
        <is>
          <t>PS_RATE</t>
        </is>
      </c>
      <c r="D325" s="385" t="inlineStr">
        <is>
          <t>1:1</t>
        </is>
      </c>
      <c r="E325" s="412" t="inlineStr">
        <is>
          <t>Arrangement Rate History</t>
        </is>
      </c>
      <c r="F325" s="412" t="inlineStr">
        <is>
          <t>Overdue Interest Rate</t>
        </is>
      </c>
      <c r="G325" s="385" t="inlineStr">
        <is>
          <t>PG_BRONZE</t>
        </is>
      </c>
      <c r="H325" s="386" t="inlineStr">
        <is>
          <t>T24CORE_PD_PAYMENT_DUE</t>
        </is>
      </c>
      <c r="I325" s="386" t="inlineStr">
        <is>
          <t>PS_RATE</t>
        </is>
      </c>
      <c r="J325" s="410" t="inlineStr">
        <is>
          <t>NUMBER</t>
        </is>
      </c>
      <c r="K325" s="408" t="n">
        <v>13.7</v>
      </c>
      <c r="L325" s="412" t="inlineStr">
        <is>
          <t>Lãi suất cho quá hạn</t>
        </is>
      </c>
      <c r="M325" s="412">
        <f>"COMMENT ON COLUMN "&amp;G325&amp;"."&amp;H325&amp;"."&amp;I325&amp;" IS '"&amp;L325&amp;"';"</f>
        <v/>
      </c>
      <c r="N325" s="414" t="inlineStr">
        <is>
          <t>Map 1:1 nguyên bản từ T24CORE.PD_PAYMENT_DUE.PS_RATE sang PG_BRONZE.T24CORE_PD_PAYMENT_DUE.PS_RATE</t>
        </is>
      </c>
    </row>
    <row r="326" ht="27" customHeight="1" s="335">
      <c r="A326" s="386" t="inlineStr">
        <is>
          <t>T24CORE</t>
        </is>
      </c>
      <c r="B326" s="386" t="inlineStr">
        <is>
          <t>PD_PAYMENT_DUE</t>
        </is>
      </c>
      <c r="C326" s="386" t="inlineStr">
        <is>
          <t>RECID</t>
        </is>
      </c>
      <c r="D326" s="385" t="inlineStr">
        <is>
          <t>1:1</t>
        </is>
      </c>
      <c r="E326" s="412" t="inlineStr">
        <is>
          <t>Loan Arrangement</t>
        </is>
      </c>
      <c r="F326" s="412" t="inlineStr">
        <is>
          <t>Arrangement Code/Arrangement ID</t>
        </is>
      </c>
      <c r="G326" s="385" t="inlineStr">
        <is>
          <t>PG_BRONZE</t>
        </is>
      </c>
      <c r="H326" s="386" t="inlineStr">
        <is>
          <t>T24CORE_PD_PAYMENT_DUE</t>
        </is>
      </c>
      <c r="I326" s="386" t="inlineStr">
        <is>
          <t>RECID</t>
        </is>
      </c>
      <c r="J326" s="410" t="inlineStr">
        <is>
          <t>VARCHAR2</t>
        </is>
      </c>
      <c r="K326" s="408" t="n">
        <v>100</v>
      </c>
      <c r="L326" s="412" t="inlineStr">
        <is>
          <t>Mã hợp đồng</t>
        </is>
      </c>
      <c r="M326" s="412">
        <f>"COMMENT ON COLUMN "&amp;G326&amp;"."&amp;H326&amp;"."&amp;I326&amp;" IS '"&amp;L326&amp;"';"</f>
        <v/>
      </c>
      <c r="N326" s="414" t="inlineStr">
        <is>
          <t>Map 1:1 nguyên bản từ T24CORE.PD_PAYMENT_DUE.RECID sang PG_BRONZE.T24CORE_PD_PAYMENT_DUE.RECID</t>
        </is>
      </c>
    </row>
    <row r="327" ht="41.25" customHeight="1" s="335">
      <c r="A327" s="386" t="inlineStr">
        <is>
          <t>T24CORE</t>
        </is>
      </c>
      <c r="B327" s="386" t="inlineStr">
        <is>
          <t>PD_PAYMENT_DUE</t>
        </is>
      </c>
      <c r="C327" s="386" t="inlineStr">
        <is>
          <t>REPAYMENT_ACCT</t>
        </is>
      </c>
      <c r="D327" s="385" t="inlineStr">
        <is>
          <t>1:1</t>
        </is>
      </c>
      <c r="E327" s="412" t="inlineStr">
        <is>
          <t>Loan Arrangement Profile</t>
        </is>
      </c>
      <c r="F327" s="412" t="inlineStr">
        <is>
          <t>Interest Liquidation Arrangement Code</t>
        </is>
      </c>
      <c r="G327" s="385" t="inlineStr">
        <is>
          <t>PG_BRONZE</t>
        </is>
      </c>
      <c r="H327" s="386" t="inlineStr">
        <is>
          <t>T24CORE_PD_PAYMENT_DUE</t>
        </is>
      </c>
      <c r="I327" s="386" t="inlineStr">
        <is>
          <t>REPAYMENT_ACCT</t>
        </is>
      </c>
      <c r="J327" s="410" t="inlineStr">
        <is>
          <t>VARCHAR2</t>
        </is>
      </c>
      <c r="K327" s="408" t="n">
        <v>100</v>
      </c>
      <c r="L327" s="412" t="inlineStr">
        <is>
          <t>Tài khoản thu nợ quá hạn (Repayment Account)</t>
        </is>
      </c>
      <c r="M327" s="412">
        <f>"COMMENT ON COLUMN "&amp;G327&amp;"."&amp;H327&amp;"."&amp;I327&amp;" IS '"&amp;L327&amp;"';"</f>
        <v/>
      </c>
      <c r="N327" s="414" t="inlineStr">
        <is>
          <t>Map 1:1 nguyên bản từ T24CORE.PD_PAYMENT_DUE.REPAYMENT_ACCT sang PG_BRONZE.T24CORE_PD_PAYMENT_DUE.REPAYMENT_ACCT</t>
        </is>
      </c>
    </row>
    <row r="328" ht="41.25" customHeight="1" s="335">
      <c r="A328" s="386" t="inlineStr">
        <is>
          <t>T24CORE</t>
        </is>
      </c>
      <c r="B328" s="386" t="inlineStr">
        <is>
          <t>PD_PAYMENT_DUE</t>
        </is>
      </c>
      <c r="C328" s="386" t="inlineStr">
        <is>
          <t>SNQH_CHUYENDOI</t>
        </is>
      </c>
      <c r="D328" s="385" t="inlineStr">
        <is>
          <t>1:1</t>
        </is>
      </c>
      <c r="E328" s="412" t="inlineStr">
        <is>
          <t>Arrangement Delinquency Summary</t>
        </is>
      </c>
      <c r="F328" s="412" t="inlineStr">
        <is>
          <t>Snqh Chuyendoi</t>
        </is>
      </c>
      <c r="G328" s="385" t="inlineStr">
        <is>
          <t>PG_BRONZE</t>
        </is>
      </c>
      <c r="H328" s="386" t="inlineStr">
        <is>
          <t>T24CORE_PD_PAYMENT_DUE</t>
        </is>
      </c>
      <c r="I328" s="386" t="inlineStr">
        <is>
          <t>SNQH_CHUYENDOI</t>
        </is>
      </c>
      <c r="J328" s="410" t="inlineStr">
        <is>
          <t>NUMBER</t>
        </is>
      </c>
      <c r="K328" s="408" t="n">
        <v>10</v>
      </c>
      <c r="L328" s="412" t="inlineStr">
        <is>
          <t>Số ngày quá hạn chuyển đổi</t>
        </is>
      </c>
      <c r="M328" s="412">
        <f>"COMMENT ON COLUMN "&amp;G328&amp;"."&amp;H328&amp;"."&amp;I328&amp;" IS '"&amp;L328&amp;"';"</f>
        <v/>
      </c>
      <c r="N328" s="414" t="inlineStr">
        <is>
          <t>Map 1:1 nguyên bản từ T24CORE.PD_PAYMENT_DUE.SNQH_CHUYENDOI sang PG_BRONZE.T24CORE_PD_PAYMENT_DUE.SNQH_CHUYENDOI</t>
        </is>
      </c>
    </row>
    <row r="329" ht="41.25" customHeight="1" s="335">
      <c r="A329" s="386" t="inlineStr">
        <is>
          <t>T24CORE</t>
        </is>
      </c>
      <c r="B329" s="386" t="inlineStr">
        <is>
          <t>PD_PAYMENT_DUE</t>
        </is>
      </c>
      <c r="C329" s="386" t="inlineStr">
        <is>
          <t>STATUS</t>
        </is>
      </c>
      <c r="D329" s="385" t="inlineStr">
        <is>
          <t>1:1</t>
        </is>
      </c>
      <c r="E329" s="412" t="inlineStr">
        <is>
          <t>Loan Arrangement Profile</t>
        </is>
      </c>
      <c r="F329" s="412" t="inlineStr">
        <is>
          <t>Arrangement Life Cycle Status Type Code</t>
        </is>
      </c>
      <c r="G329" s="385" t="inlineStr">
        <is>
          <t>PG_BRONZE</t>
        </is>
      </c>
      <c r="H329" s="386" t="inlineStr">
        <is>
          <t>T24CORE_PD_PAYMENT_DUE</t>
        </is>
      </c>
      <c r="I329" s="386" t="inlineStr">
        <is>
          <t>STATUS</t>
        </is>
      </c>
      <c r="J329" s="410" t="inlineStr">
        <is>
          <t>VARCHAR2</t>
        </is>
      </c>
      <c r="K329" s="408" t="n">
        <v>100</v>
      </c>
      <c r="L329" s="412" t="inlineStr">
        <is>
          <t>Mã trạng thái vòng đời khoản vay quá hạn (PD Status)</t>
        </is>
      </c>
      <c r="M329" s="412">
        <f>"COMMENT ON COLUMN "&amp;G329&amp;"."&amp;H329&amp;"."&amp;I329&amp;" IS '"&amp;L329&amp;"';"</f>
        <v/>
      </c>
      <c r="N329" s="414" t="inlineStr">
        <is>
          <t>Map 1:1 nguyên bản từ T24CORE.PD_PAYMENT_DUE.STATUS sang PG_BRONZE.T24CORE_PD_PAYMENT_DUE.STATUS</t>
        </is>
      </c>
    </row>
    <row r="330" ht="41.25" customHeight="1" s="335">
      <c r="A330" s="386" t="inlineStr">
        <is>
          <t>T24CORE</t>
        </is>
      </c>
      <c r="B330" s="386" t="inlineStr">
        <is>
          <t>PD_PAYMENT_DUE</t>
        </is>
      </c>
      <c r="C330" s="386" t="inlineStr">
        <is>
          <t>USE_OF_LOAN</t>
        </is>
      </c>
      <c r="D330" s="385" t="inlineStr">
        <is>
          <t>1:1</t>
        </is>
      </c>
      <c r="E330" s="412" t="inlineStr">
        <is>
          <t>Loan Arrangement</t>
        </is>
      </c>
      <c r="F330" s="412" t="inlineStr">
        <is>
          <t>Arrangement Purpose Type Code</t>
        </is>
      </c>
      <c r="G330" s="385" t="inlineStr">
        <is>
          <t>PG_BRONZE</t>
        </is>
      </c>
      <c r="H330" s="386" t="inlineStr">
        <is>
          <t>T24CORE_PD_PAYMENT_DUE</t>
        </is>
      </c>
      <c r="I330" s="386" t="inlineStr">
        <is>
          <t>USE_OF_LOAN</t>
        </is>
      </c>
      <c r="J330" s="410" t="inlineStr">
        <is>
          <t>VARCHAR2</t>
        </is>
      </c>
      <c r="K330" s="408" t="n">
        <v>100</v>
      </c>
      <c r="L330" s="412" t="inlineStr">
        <is>
          <t>Mã mục đích vay</t>
        </is>
      </c>
      <c r="M330" s="412">
        <f>"COMMENT ON COLUMN "&amp;G330&amp;"."&amp;H330&amp;"."&amp;I330&amp;" IS '"&amp;L330&amp;"';"</f>
        <v/>
      </c>
      <c r="N330" s="414" t="inlineStr">
        <is>
          <t>Map 1:1 nguyên bản từ T24CORE.PD_PAYMENT_DUE.USE_OF_LOAN sang PG_BRONZE.T24CORE_PD_PAYMENT_DUE.USE_OF_LOAN</t>
        </is>
      </c>
    </row>
    <row r="331" ht="41.25" customHeight="1" s="335">
      <c r="A331" s="386" t="inlineStr">
        <is>
          <t>T24CORE</t>
        </is>
      </c>
      <c r="B331" s="386" t="inlineStr">
        <is>
          <t>PD_PAYMENT_DUE</t>
        </is>
      </c>
      <c r="C331" s="386" t="inlineStr">
        <is>
          <t>USE_OF_LOAN_CHA</t>
        </is>
      </c>
      <c r="D331" s="385" t="inlineStr">
        <is>
          <t>1:1</t>
        </is>
      </c>
      <c r="E331" s="412" t="inlineStr">
        <is>
          <t>Loan Arrangement</t>
        </is>
      </c>
      <c r="F331" s="412" t="inlineStr">
        <is>
          <t>Arrangement Purpose Group Code</t>
        </is>
      </c>
      <c r="G331" s="385" t="inlineStr">
        <is>
          <t>PG_BRONZE</t>
        </is>
      </c>
      <c r="H331" s="386" t="inlineStr">
        <is>
          <t>T24CORE_PD_PAYMENT_DUE</t>
        </is>
      </c>
      <c r="I331" s="386" t="inlineStr">
        <is>
          <t>USE_OF_LOAN_CHA</t>
        </is>
      </c>
      <c r="J331" s="410" t="inlineStr">
        <is>
          <t>VARCHAR2</t>
        </is>
      </c>
      <c r="K331" s="408" t="n">
        <v>100</v>
      </c>
      <c r="L331" s="412" t="inlineStr">
        <is>
          <t>Mã nhóm mục đích vay</t>
        </is>
      </c>
      <c r="M331" s="412">
        <f>"COMMENT ON COLUMN "&amp;G331&amp;"."&amp;H331&amp;"."&amp;I331&amp;" IS '"&amp;L331&amp;"';"</f>
        <v/>
      </c>
      <c r="N331" s="414" t="inlineStr">
        <is>
          <t>Map 1:1 nguyên bản từ T24CORE.PD_PAYMENT_DUE.USE_OF_LOAN_CHA sang PG_BRONZE.T24CORE_PD_PAYMENT_DUE.USE_OF_LOAN_CHA</t>
        </is>
      </c>
    </row>
    <row r="332" ht="41.25" customHeight="1" s="335">
      <c r="A332" s="386" t="inlineStr">
        <is>
          <t>T24CORE</t>
        </is>
      </c>
      <c r="B332" s="386" t="inlineStr">
        <is>
          <t>PD_PAYMENT_DUE_HIS</t>
        </is>
      </c>
      <c r="C332" s="386" t="inlineStr">
        <is>
          <t>CURR_NO</t>
        </is>
      </c>
      <c r="D332" s="385" t="inlineStr">
        <is>
          <t>1:1</t>
        </is>
      </c>
      <c r="E332" s="412" t="inlineStr">
        <is>
          <t>sk_lich_tra_no</t>
        </is>
      </c>
      <c r="F332" s="412" t="inlineStr">
        <is>
          <t>Curr No</t>
        </is>
      </c>
      <c r="G332" s="385" t="inlineStr">
        <is>
          <t>PG_BRONZE</t>
        </is>
      </c>
      <c r="H332" s="386" t="inlineStr">
        <is>
          <t>T24CORE_PD_PAYMENT_DUE_HIS</t>
        </is>
      </c>
      <c r="I332" s="386" t="inlineStr">
        <is>
          <t>CURR_NO</t>
        </is>
      </c>
      <c r="J332" s="410" t="inlineStr">
        <is>
          <t>NUMBER</t>
        </is>
      </c>
      <c r="K332" s="408" t="n">
        <v>10</v>
      </c>
      <c r="L332" s="412" t="inlineStr">
        <is>
          <t>Trường CURR_NO của bảng nguồn T24CORE.PD_PAYMENT_DUE_HIS</t>
        </is>
      </c>
      <c r="M332" s="412">
        <f>"COMMENT ON COLUMN "&amp;G332&amp;"."&amp;H332&amp;"."&amp;I332&amp;" IS '"&amp;L332&amp;"';"</f>
        <v/>
      </c>
      <c r="N332" s="414" t="inlineStr">
        <is>
          <t>Map 1:1 nguyên bản từ T24CORE.PD_PAYMENT_DUE_HIS.CURR_NO sang PG_BRONZE.T24CORE_PD_PAYMENT_DUE_HIS.CURR_NO</t>
        </is>
      </c>
    </row>
    <row r="333" ht="41.25" customHeight="1" s="335">
      <c r="A333" s="386" t="inlineStr">
        <is>
          <t>T24CORE</t>
        </is>
      </c>
      <c r="B333" s="386" t="inlineStr">
        <is>
          <t>PD_PAYMENT_DUE_HIS</t>
        </is>
      </c>
      <c r="C333" s="386" t="inlineStr">
        <is>
          <t>PD_TYPE</t>
        </is>
      </c>
      <c r="D333" s="385" t="inlineStr">
        <is>
          <t>1:1</t>
        </is>
      </c>
      <c r="E333" s="412" t="inlineStr">
        <is>
          <t>sk_lich_tra_no</t>
        </is>
      </c>
      <c r="F333" s="412" t="inlineStr">
        <is>
          <t>Pd Type</t>
        </is>
      </c>
      <c r="G333" s="385" t="inlineStr">
        <is>
          <t>PG_BRONZE</t>
        </is>
      </c>
      <c r="H333" s="386" t="inlineStr">
        <is>
          <t>T24CORE_PD_PAYMENT_DUE_HIS</t>
        </is>
      </c>
      <c r="I333" s="386" t="inlineStr">
        <is>
          <t>PD_TYPE</t>
        </is>
      </c>
      <c r="J333" s="410" t="inlineStr">
        <is>
          <t>VARCHAR2</t>
        </is>
      </c>
      <c r="K333" s="408" t="n">
        <v>100</v>
      </c>
      <c r="L333" s="412" t="inlineStr">
        <is>
          <t>Loại sản phẩm</t>
        </is>
      </c>
      <c r="M333" s="412">
        <f>"COMMENT ON COLUMN "&amp;G333&amp;"."&amp;H333&amp;"."&amp;I333&amp;" IS '"&amp;L333&amp;"';"</f>
        <v/>
      </c>
      <c r="N333" s="414" t="inlineStr">
        <is>
          <t>Map 1:1 nguyên bản từ T24CORE.PD_PAYMENT_DUE_HIS.PD_TYPE sang PG_BRONZE.T24CORE_PD_PAYMENT_DUE_HIS.PD_TYPE</t>
        </is>
      </c>
    </row>
    <row r="334" ht="27" customHeight="1" s="335">
      <c r="A334" s="386" t="inlineStr">
        <is>
          <t>T24CORE</t>
        </is>
      </c>
      <c r="B334" s="386" t="inlineStr">
        <is>
          <t>PD_PAYMENT_DUE_HIS</t>
        </is>
      </c>
      <c r="C334" s="386" t="inlineStr">
        <is>
          <t>RECID</t>
        </is>
      </c>
      <c r="D334" s="385" t="inlineStr">
        <is>
          <t>1:1</t>
        </is>
      </c>
      <c r="E334" s="412" t="inlineStr">
        <is>
          <t>sk_lich_tra_no</t>
        </is>
      </c>
      <c r="F334" s="412" t="inlineStr">
        <is>
          <t>Recid</t>
        </is>
      </c>
      <c r="G334" s="385" t="inlineStr">
        <is>
          <t>PG_BRONZE</t>
        </is>
      </c>
      <c r="H334" s="386" t="inlineStr">
        <is>
          <t>T24CORE_PD_PAYMENT_DUE_HIS</t>
        </is>
      </c>
      <c r="I334" s="386" t="inlineStr">
        <is>
          <t>RECID</t>
        </is>
      </c>
      <c r="J334" s="410" t="inlineStr">
        <is>
          <t>VARCHAR2</t>
        </is>
      </c>
      <c r="K334" s="408" t="n">
        <v>100</v>
      </c>
      <c r="L334" s="412" t="inlineStr">
        <is>
          <t>Số hồ sơ</t>
        </is>
      </c>
      <c r="M334" s="412">
        <f>"COMMENT ON COLUMN "&amp;G334&amp;"."&amp;H334&amp;"."&amp;I334&amp;" IS '"&amp;L334&amp;"';"</f>
        <v/>
      </c>
      <c r="N334" s="414" t="inlineStr">
        <is>
          <t>Map 1:1 nguyên bản từ T24CORE.PD_PAYMENT_DUE_HIS.RECID sang PG_BRONZE.T24CORE_PD_PAYMENT_DUE_HIS.RECID</t>
        </is>
      </c>
    </row>
    <row r="335" ht="41.25" customHeight="1" s="335">
      <c r="A335" s="386" t="inlineStr">
        <is>
          <t>T24CORE</t>
        </is>
      </c>
      <c r="B335" s="386" t="inlineStr">
        <is>
          <t>PD_PAYMENT_DUE_HIS_MV</t>
        </is>
      </c>
      <c r="C335" s="386" t="inlineStr">
        <is>
          <t>ACC_FCC</t>
        </is>
      </c>
      <c r="D335" s="385" t="inlineStr">
        <is>
          <t>1:1</t>
        </is>
      </c>
      <c r="E335" s="412" t="inlineStr">
        <is>
          <t>Arrangement Delinquency Summary / sk_lich_tra_no</t>
        </is>
      </c>
      <c r="F335" s="412" t="inlineStr">
        <is>
          <t>Acc Fcc</t>
        </is>
      </c>
      <c r="G335" s="385" t="inlineStr">
        <is>
          <t>PG_BRONZE</t>
        </is>
      </c>
      <c r="H335" s="386" t="inlineStr">
        <is>
          <t>T24CORE_PD_PAYMENT_DUE_HIS_MV</t>
        </is>
      </c>
      <c r="I335" s="386" t="inlineStr">
        <is>
          <t>ACC_FCC</t>
        </is>
      </c>
      <c r="J335" s="410" t="inlineStr">
        <is>
          <t>VARCHAR2</t>
        </is>
      </c>
      <c r="K335" s="408" t="n">
        <v>100</v>
      </c>
      <c r="L335" s="412" t="inlineStr">
        <is>
          <t>Mã hợp đồng FlexCube</t>
        </is>
      </c>
      <c r="M335" s="412">
        <f>"COMMENT ON COLUMN "&amp;G335&amp;"."&amp;H335&amp;"."&amp;I335&amp;" IS '"&amp;L335&amp;"';"</f>
        <v/>
      </c>
      <c r="N335" s="414" t="inlineStr">
        <is>
          <t>Map 1:1 nguyên bản từ T24CORE.PD_PAYMENT_DUE_HIS_MV.ACC_FCC sang PG_BRONZE.T24CORE_PD_PAYMENT_DUE_HIS_MV.ACC_FCC</t>
        </is>
      </c>
    </row>
    <row r="336" ht="54.75" customHeight="1" s="335">
      <c r="A336" s="386" t="inlineStr">
        <is>
          <t>T24CORE</t>
        </is>
      </c>
      <c r="B336" s="386" t="inlineStr">
        <is>
          <t>PD_PAYMENT_DUE_HIS_MV</t>
        </is>
      </c>
      <c r="C336" s="386" t="inlineStr">
        <is>
          <t>APPROVE_AMOUNT</t>
        </is>
      </c>
      <c r="D336" s="385" t="inlineStr">
        <is>
          <t>1:1</t>
        </is>
      </c>
      <c r="E336" s="412" t="inlineStr">
        <is>
          <t>Arrangement Delinquency Summary / sk_lich_tra_no</t>
        </is>
      </c>
      <c r="F336" s="412" t="inlineStr">
        <is>
          <t>Approve Amount</t>
        </is>
      </c>
      <c r="G336" s="385" t="inlineStr">
        <is>
          <t>PG_BRONZE</t>
        </is>
      </c>
      <c r="H336" s="386" t="inlineStr">
        <is>
          <t>T24CORE_PD_PAYMENT_DUE_HIS_MV</t>
        </is>
      </c>
      <c r="I336" s="386" t="inlineStr">
        <is>
          <t>APPROVE_AMOUNT</t>
        </is>
      </c>
      <c r="J336" s="410" t="inlineStr">
        <is>
          <t>NUMBER</t>
        </is>
      </c>
      <c r="K336" s="408" t="n">
        <v>25.5</v>
      </c>
      <c r="L336" s="412" t="inlineStr">
        <is>
          <t>Giá trị giải ngân</t>
        </is>
      </c>
      <c r="M336" s="412">
        <f>"COMMENT ON COLUMN "&amp;G336&amp;"."&amp;H336&amp;"."&amp;I336&amp;" IS '"&amp;L336&amp;"';"</f>
        <v/>
      </c>
      <c r="N336" s="414" t="inlineStr">
        <is>
          <t>Map 1:1 nguyên bản từ T24CORE.PD_PAYMENT_DUE_HIS_MV.APPROVE_AMOUNT sang PG_BRONZE.T24CORE_PD_PAYMENT_DUE_HIS_MV.APPROVE_AMOUNT</t>
        </is>
      </c>
    </row>
    <row r="337" ht="41.25" customHeight="1" s="335">
      <c r="A337" s="386" t="inlineStr">
        <is>
          <t>T24CORE</t>
        </is>
      </c>
      <c r="B337" s="386" t="inlineStr">
        <is>
          <t>PD_PAYMENT_DUE_HIS_MV</t>
        </is>
      </c>
      <c r="C337" s="386" t="inlineStr">
        <is>
          <t>CATEGORY</t>
        </is>
      </c>
      <c r="D337" s="385" t="inlineStr">
        <is>
          <t>1:1</t>
        </is>
      </c>
      <c r="E337" s="412" t="inlineStr">
        <is>
          <t>Arrangement Delinquency Summary / sk_lich_tra_no</t>
        </is>
      </c>
      <c r="F337" s="412" t="inlineStr">
        <is>
          <t>Category</t>
        </is>
      </c>
      <c r="G337" s="385" t="inlineStr">
        <is>
          <t>PG_BRONZE</t>
        </is>
      </c>
      <c r="H337" s="386" t="inlineStr">
        <is>
          <t>T24CORE_PD_PAYMENT_DUE_HIS_MV</t>
        </is>
      </c>
      <c r="I337" s="386" t="inlineStr">
        <is>
          <t>CATEGORY</t>
        </is>
      </c>
      <c r="J337" s="410" t="inlineStr">
        <is>
          <t>VARCHAR2</t>
        </is>
      </c>
      <c r="K337" s="408" t="n">
        <v>100</v>
      </c>
      <c r="L337" s="412" t="inlineStr">
        <is>
          <t>Mã phân loại sản phẩm vay</t>
        </is>
      </c>
      <c r="M337" s="412">
        <f>"COMMENT ON COLUMN "&amp;G337&amp;"."&amp;H337&amp;"."&amp;I337&amp;" IS '"&amp;L337&amp;"';"</f>
        <v/>
      </c>
      <c r="N337" s="414" t="inlineStr">
        <is>
          <t>Map 1:1 nguyên bản từ T24CORE.PD_PAYMENT_DUE_HIS_MV.CATEGORY sang PG_BRONZE.T24CORE_PD_PAYMENT_DUE_HIS_MV.CATEGORY</t>
        </is>
      </c>
    </row>
    <row r="338" ht="41.25" customHeight="1" s="335">
      <c r="A338" s="386" t="inlineStr">
        <is>
          <t>T24CORE</t>
        </is>
      </c>
      <c r="B338" s="386" t="inlineStr">
        <is>
          <t>PD_PAYMENT_DUE_HIS_MV</t>
        </is>
      </c>
      <c r="C338" s="386" t="inlineStr">
        <is>
          <t>CO_CODE</t>
        </is>
      </c>
      <c r="D338" s="385" t="inlineStr">
        <is>
          <t>1:1</t>
        </is>
      </c>
      <c r="E338" s="412" t="inlineStr">
        <is>
          <t>Arrangement Delinquency Summary / sk_lich_tra_no</t>
        </is>
      </c>
      <c r="F338" s="412" t="inlineStr">
        <is>
          <t>Co Code</t>
        </is>
      </c>
      <c r="G338" s="385" t="inlineStr">
        <is>
          <t>PG_BRONZE</t>
        </is>
      </c>
      <c r="H338" s="386" t="inlineStr">
        <is>
          <t>T24CORE_PD_PAYMENT_DUE_HIS_MV</t>
        </is>
      </c>
      <c r="I338" s="386" t="inlineStr">
        <is>
          <t>CO_CODE</t>
        </is>
      </c>
      <c r="J338" s="410" t="inlineStr">
        <is>
          <t>VARCHAR2</t>
        </is>
      </c>
      <c r="K338" s="408" t="n">
        <v>100</v>
      </c>
      <c r="L338" s="412" t="inlineStr">
        <is>
          <t>Mã chi nhánh</t>
        </is>
      </c>
      <c r="M338" s="412">
        <f>"COMMENT ON COLUMN "&amp;G338&amp;"."&amp;H338&amp;"."&amp;I338&amp;" IS '"&amp;L338&amp;"';"</f>
        <v/>
      </c>
      <c r="N338" s="414" t="inlineStr">
        <is>
          <t>Map 1:1 nguyên bản từ T24CORE.PD_PAYMENT_DUE_HIS_MV.CO_CODE sang PG_BRONZE.T24CORE_PD_PAYMENT_DUE_HIS_MV.CO_CODE</t>
        </is>
      </c>
    </row>
    <row r="339" ht="54.75" customHeight="1" s="335">
      <c r="A339" s="386" t="inlineStr">
        <is>
          <t>T24CORE</t>
        </is>
      </c>
      <c r="B339" s="386" t="inlineStr">
        <is>
          <t>PD_PAYMENT_DUE_HIS_MV</t>
        </is>
      </c>
      <c r="C339" s="386" t="inlineStr">
        <is>
          <t>CREDIT_STATUS</t>
        </is>
      </c>
      <c r="D339" s="385" t="inlineStr">
        <is>
          <t>1:1</t>
        </is>
      </c>
      <c r="E339" s="412" t="inlineStr">
        <is>
          <t>Arrangement Delinquency Summary / sk_lich_tra_no</t>
        </is>
      </c>
      <c r="F339" s="412" t="inlineStr">
        <is>
          <t>Credit Status</t>
        </is>
      </c>
      <c r="G339" s="385" t="inlineStr">
        <is>
          <t>PG_BRONZE</t>
        </is>
      </c>
      <c r="H339" s="386" t="inlineStr">
        <is>
          <t>T24CORE_PD_PAYMENT_DUE_HIS_MV</t>
        </is>
      </c>
      <c r="I339" s="386" t="inlineStr">
        <is>
          <t>CREDIT_STATUS</t>
        </is>
      </c>
      <c r="J339" s="410" t="inlineStr">
        <is>
          <t>VARCHAR2</t>
        </is>
      </c>
      <c r="K339" s="408" t="n">
        <v>100</v>
      </c>
      <c r="L339" s="412" t="inlineStr">
        <is>
          <t>Nhóm nợ hợp đồng</t>
        </is>
      </c>
      <c r="M339" s="412">
        <f>"COMMENT ON COLUMN "&amp;G339&amp;"."&amp;H339&amp;"."&amp;I339&amp;" IS '"&amp;L339&amp;"';"</f>
        <v/>
      </c>
      <c r="N339" s="414" t="inlineStr">
        <is>
          <t>Map 1:1 nguyên bản từ T24CORE.PD_PAYMENT_DUE_HIS_MV.CREDIT_STATUS sang PG_BRONZE.T24CORE_PD_PAYMENT_DUE_HIS_MV.CREDIT_STATUS</t>
        </is>
      </c>
    </row>
    <row r="340" ht="41.25" customHeight="1" s="335">
      <c r="A340" s="386" t="inlineStr">
        <is>
          <t>T24CORE</t>
        </is>
      </c>
      <c r="B340" s="386" t="inlineStr">
        <is>
          <t>PD_PAYMENT_DUE_HIS_MV</t>
        </is>
      </c>
      <c r="C340" s="386" t="inlineStr">
        <is>
          <t>CURR_NO</t>
        </is>
      </c>
      <c r="D340" s="385" t="inlineStr">
        <is>
          <t>1:1</t>
        </is>
      </c>
      <c r="E340" s="412" t="inlineStr">
        <is>
          <t>Arrangement Delinquency Summary / sk_lich_tra_no</t>
        </is>
      </c>
      <c r="F340" s="412" t="inlineStr">
        <is>
          <t>Curr No</t>
        </is>
      </c>
      <c r="G340" s="385" t="inlineStr">
        <is>
          <t>PG_BRONZE</t>
        </is>
      </c>
      <c r="H340" s="386" t="inlineStr">
        <is>
          <t>T24CORE_PD_PAYMENT_DUE_HIS_MV</t>
        </is>
      </c>
      <c r="I340" s="386" t="inlineStr">
        <is>
          <t>CURR_NO</t>
        </is>
      </c>
      <c r="J340" s="410" t="inlineStr">
        <is>
          <t>NUMBER</t>
        </is>
      </c>
      <c r="K340" s="408" t="n">
        <v>10</v>
      </c>
      <c r="L340" s="412" t="inlineStr">
        <is>
          <t>Version hiện tại của bản ghi</t>
        </is>
      </c>
      <c r="M340" s="412">
        <f>"COMMENT ON COLUMN "&amp;G340&amp;"."&amp;H340&amp;"."&amp;I340&amp;" IS '"&amp;L340&amp;"';"</f>
        <v/>
      </c>
      <c r="N340" s="414" t="inlineStr">
        <is>
          <t>Map 1:1 nguyên bản từ T24CORE.PD_PAYMENT_DUE_HIS_MV.CURR_NO sang PG_BRONZE.T24CORE_PD_PAYMENT_DUE_HIS_MV.CURR_NO</t>
        </is>
      </c>
    </row>
    <row r="341" ht="41.25" customHeight="1" s="335">
      <c r="A341" s="386" t="inlineStr">
        <is>
          <t>T24CORE</t>
        </is>
      </c>
      <c r="B341" s="386" t="inlineStr">
        <is>
          <t>PD_PAYMENT_DUE_HIS_MV</t>
        </is>
      </c>
      <c r="C341" s="386" t="inlineStr">
        <is>
          <t>CUSTOMER</t>
        </is>
      </c>
      <c r="D341" s="385" t="inlineStr">
        <is>
          <t>1:1</t>
        </is>
      </c>
      <c r="E341" s="412" t="inlineStr">
        <is>
          <t>Arrangement Delinquency Summary / sk_lich_tra_no</t>
        </is>
      </c>
      <c r="F341" s="412" t="inlineStr">
        <is>
          <t>Customer</t>
        </is>
      </c>
      <c r="G341" s="385" t="inlineStr">
        <is>
          <t>PG_BRONZE</t>
        </is>
      </c>
      <c r="H341" s="386" t="inlineStr">
        <is>
          <t>T24CORE_PD_PAYMENT_DUE_HIS_MV</t>
        </is>
      </c>
      <c r="I341" s="386" t="inlineStr">
        <is>
          <t>CUSTOMER</t>
        </is>
      </c>
      <c r="J341" s="410" t="inlineStr">
        <is>
          <t>VARCHAR2</t>
        </is>
      </c>
      <c r="K341" s="408" t="n">
        <v>100</v>
      </c>
      <c r="L341" s="412" t="inlineStr">
        <is>
          <t>Mã khách hàng</t>
        </is>
      </c>
      <c r="M341" s="412">
        <f>"COMMENT ON COLUMN "&amp;G341&amp;"."&amp;H341&amp;"."&amp;I341&amp;" IS '"&amp;L341&amp;"';"</f>
        <v/>
      </c>
      <c r="N341" s="414" t="inlineStr">
        <is>
          <t>Map 1:1 nguyên bản từ T24CORE.PD_PAYMENT_DUE_HIS_MV.CUSTOMER sang PG_BRONZE.T24CORE_PD_PAYMENT_DUE_HIS_MV.CUSTOMER</t>
        </is>
      </c>
    </row>
    <row r="342" ht="54.75" customHeight="1" s="335">
      <c r="A342" s="386" t="inlineStr">
        <is>
          <t>T24CORE</t>
        </is>
      </c>
      <c r="B342" s="386" t="inlineStr">
        <is>
          <t>PD_PAYMENT_DUE_HIS_MV</t>
        </is>
      </c>
      <c r="C342" s="386" t="inlineStr">
        <is>
          <t>DATE_TIME</t>
        </is>
      </c>
      <c r="D342" s="385" t="inlineStr">
        <is>
          <t>1:1</t>
        </is>
      </c>
      <c r="E342" s="412" t="inlineStr">
        <is>
          <t>Arrangement Delinquency Summary / sk_lich_tra_no</t>
        </is>
      </c>
      <c r="F342" s="412" t="inlineStr">
        <is>
          <t>Date Time</t>
        </is>
      </c>
      <c r="G342" s="385" t="inlineStr">
        <is>
          <t>PG_BRONZE</t>
        </is>
      </c>
      <c r="H342" s="386" t="inlineStr">
        <is>
          <t>T24CORE_PD_PAYMENT_DUE_HIS_MV</t>
        </is>
      </c>
      <c r="I342" s="386" t="inlineStr">
        <is>
          <t>DATE_TIME</t>
        </is>
      </c>
      <c r="J342" s="410" t="inlineStr">
        <is>
          <t>DATE</t>
        </is>
      </c>
      <c r="K342" s="408" t="n">
        <v>8</v>
      </c>
      <c r="L342" s="412" t="inlineStr">
        <is>
          <t>Trường DATE_TIME của bảng nguồn T24CORE.PD_PAYMENT_DUE_HIS_MV</t>
        </is>
      </c>
      <c r="M342" s="412">
        <f>"COMMENT ON COLUMN "&amp;G342&amp;"."&amp;H342&amp;"."&amp;I342&amp;" IS '"&amp;L342&amp;"';"</f>
        <v/>
      </c>
      <c r="N342" s="414" t="inlineStr">
        <is>
          <t>Map 1:1 nguyên bản từ T24CORE.PD_PAYMENT_DUE_HIS_MV.DATE_TIME sang PG_BRONZE.T24CORE_PD_PAYMENT_DUE_HIS_MV.DATE_TIME</t>
        </is>
      </c>
    </row>
    <row r="343" ht="54.75" customHeight="1" s="335">
      <c r="A343" s="386" t="inlineStr">
        <is>
          <t>T24CORE</t>
        </is>
      </c>
      <c r="B343" s="386" t="inlineStr">
        <is>
          <t>PD_PAYMENT_DUE_HIS_MV</t>
        </is>
      </c>
      <c r="C343" s="386" t="inlineStr">
        <is>
          <t>FINAL_DUE_DATE</t>
        </is>
      </c>
      <c r="D343" s="385" t="inlineStr">
        <is>
          <t>1:1</t>
        </is>
      </c>
      <c r="E343" s="412" t="inlineStr">
        <is>
          <t>Arrangement Delinquency Summary / sk_lich_tra_no</t>
        </is>
      </c>
      <c r="F343" s="412" t="inlineStr">
        <is>
          <t>Final Due Date</t>
        </is>
      </c>
      <c r="G343" s="385" t="inlineStr">
        <is>
          <t>PG_BRONZE</t>
        </is>
      </c>
      <c r="H343" s="386" t="inlineStr">
        <is>
          <t>T24CORE_PD_PAYMENT_DUE_HIS_MV</t>
        </is>
      </c>
      <c r="I343" s="386" t="inlineStr">
        <is>
          <t>FINAL_DUE_DATE</t>
        </is>
      </c>
      <c r="J343" s="410" t="inlineStr">
        <is>
          <t>DATE</t>
        </is>
      </c>
      <c r="K343" s="408" t="n">
        <v>8</v>
      </c>
      <c r="L343" s="412" t="inlineStr">
        <is>
          <t>Ngày trả nơ cuối khi quá hạn</t>
        </is>
      </c>
      <c r="M343" s="412">
        <f>"COMMENT ON COLUMN "&amp;G343&amp;"."&amp;H343&amp;"."&amp;I343&amp;" IS '"&amp;L343&amp;"';"</f>
        <v/>
      </c>
      <c r="N343" s="414" t="inlineStr">
        <is>
          <t>Map 1:1 nguyên bản từ T24CORE.PD_PAYMENT_DUE_HIS_MV.FINAL_DUE_DATE sang PG_BRONZE.T24CORE_PD_PAYMENT_DUE_HIS_MV.FINAL_DUE_DATE</t>
        </is>
      </c>
    </row>
    <row r="344" ht="41.25" customHeight="1" s="335">
      <c r="A344" s="386" t="inlineStr">
        <is>
          <t>T24CORE</t>
        </is>
      </c>
      <c r="B344" s="386" t="inlineStr">
        <is>
          <t>PD_PAYMENT_DUE_HIS_MV</t>
        </is>
      </c>
      <c r="C344" s="386" t="inlineStr">
        <is>
          <t>FLAG_STATUS</t>
        </is>
      </c>
      <c r="D344" s="385" t="inlineStr">
        <is>
          <t>1:1</t>
        </is>
      </c>
      <c r="E344" s="412" t="inlineStr">
        <is>
          <t>Arrangement Delinquency Summary / sk_lich_tra_no</t>
        </is>
      </c>
      <c r="F344" s="412" t="inlineStr">
        <is>
          <t>Flag Status</t>
        </is>
      </c>
      <c r="G344" s="385" t="inlineStr">
        <is>
          <t>PG_BRONZE</t>
        </is>
      </c>
      <c r="H344" s="386" t="inlineStr">
        <is>
          <t>T24CORE_PD_PAYMENT_DUE_HIS_MV</t>
        </is>
      </c>
      <c r="I344" s="386" t="inlineStr">
        <is>
          <t>FLAG_STATUS</t>
        </is>
      </c>
      <c r="J344" s="410" t="inlineStr">
        <is>
          <t>VARCHAR2</t>
        </is>
      </c>
      <c r="K344" s="408" t="n">
        <v>100</v>
      </c>
      <c r="L344" s="412" t="inlineStr">
        <is>
          <t>Cờ đánh dấu trạng thái bản ghi</t>
        </is>
      </c>
      <c r="M344" s="412">
        <f>"COMMENT ON COLUMN "&amp;G344&amp;"."&amp;H344&amp;"."&amp;I344&amp;" IS '"&amp;L344&amp;"';"</f>
        <v/>
      </c>
      <c r="N344" s="414" t="inlineStr">
        <is>
          <t>Map 1:1 nguyên bản từ T24CORE.PD_PAYMENT_DUE_HIS_MV.FLAG_STATUS sang PG_BRONZE.T24CORE_PD_PAYMENT_DUE_HIS_MV.FLAG_STATUS</t>
        </is>
      </c>
    </row>
    <row r="345" ht="54.75" customHeight="1" s="335">
      <c r="A345" s="386" t="inlineStr">
        <is>
          <t>T24CORE</t>
        </is>
      </c>
      <c r="B345" s="386" t="inlineStr">
        <is>
          <t>PD_PAYMENT_DUE_HIS_MV</t>
        </is>
      </c>
      <c r="C345" s="386" t="inlineStr">
        <is>
          <t>ORIGINAL_MAT</t>
        </is>
      </c>
      <c r="D345" s="385" t="inlineStr">
        <is>
          <t>1:1</t>
        </is>
      </c>
      <c r="E345" s="412" t="inlineStr">
        <is>
          <t>Arrangement Delinquency Summary / sk_lich_tra_no</t>
        </is>
      </c>
      <c r="F345" s="412" t="inlineStr">
        <is>
          <t>Original Mat</t>
        </is>
      </c>
      <c r="G345" s="385" t="inlineStr">
        <is>
          <t>PG_BRONZE</t>
        </is>
      </c>
      <c r="H345" s="386" t="inlineStr">
        <is>
          <t>T24CORE_PD_PAYMENT_DUE_HIS_MV</t>
        </is>
      </c>
      <c r="I345" s="386" t="inlineStr">
        <is>
          <t>ORIGINAL_MAT</t>
        </is>
      </c>
      <c r="J345" s="410" t="inlineStr">
        <is>
          <t>DATE</t>
        </is>
      </c>
      <c r="K345" s="408" t="n">
        <v>8</v>
      </c>
      <c r="L345" s="412" t="inlineStr">
        <is>
          <t>Ngày đáo hạn gốc</t>
        </is>
      </c>
      <c r="M345" s="412">
        <f>"COMMENT ON COLUMN "&amp;G345&amp;"."&amp;H345&amp;"."&amp;I345&amp;" IS '"&amp;L345&amp;"';"</f>
        <v/>
      </c>
      <c r="N345" s="414" t="inlineStr">
        <is>
          <t>Map 1:1 nguyên bản từ T24CORE.PD_PAYMENT_DUE_HIS_MV.ORIGINAL_MAT sang PG_BRONZE.T24CORE_PD_PAYMENT_DUE_HIS_MV.ORIGINAL_MAT</t>
        </is>
      </c>
    </row>
    <row r="346" ht="41.25" customHeight="1" s="335">
      <c r="A346" s="386" t="inlineStr">
        <is>
          <t>T24CORE</t>
        </is>
      </c>
      <c r="B346" s="386" t="inlineStr">
        <is>
          <t>PD_PAYMENT_DUE_HIS_MV</t>
        </is>
      </c>
      <c r="C346" s="386" t="inlineStr">
        <is>
          <t>PAY_TYPE</t>
        </is>
      </c>
      <c r="D346" s="385" t="inlineStr">
        <is>
          <t>1:1</t>
        </is>
      </c>
      <c r="E346" s="412" t="inlineStr">
        <is>
          <t>Arrangement Delinquency Summary / sk_lich_tra_no</t>
        </is>
      </c>
      <c r="F346" s="412" t="inlineStr">
        <is>
          <t>Pay Type</t>
        </is>
      </c>
      <c r="G346" s="385" t="inlineStr">
        <is>
          <t>PG_BRONZE</t>
        </is>
      </c>
      <c r="H346" s="386" t="inlineStr">
        <is>
          <t>T24CORE_PD_PAYMENT_DUE_HIS_MV</t>
        </is>
      </c>
      <c r="I346" s="386" t="inlineStr">
        <is>
          <t>PAY_TYPE</t>
        </is>
      </c>
      <c r="J346" s="410" t="inlineStr">
        <is>
          <t>VARCHAR2</t>
        </is>
      </c>
      <c r="K346" s="408" t="n">
        <v>100</v>
      </c>
      <c r="L346" s="412" t="inlineStr">
        <is>
          <t>Loại hình thanh toán</t>
        </is>
      </c>
      <c r="M346" s="412">
        <f>"COMMENT ON COLUMN "&amp;G346&amp;"."&amp;H346&amp;"."&amp;I346&amp;" IS '"&amp;L346&amp;"';"</f>
        <v/>
      </c>
      <c r="N346" s="414" t="inlineStr">
        <is>
          <t>Map 1:1 nguyên bản từ T24CORE.PD_PAYMENT_DUE_HIS_MV.PAY_TYPE sang PG_BRONZE.T24CORE_PD_PAYMENT_DUE_HIS_MV.PAY_TYPE</t>
        </is>
      </c>
    </row>
    <row r="347" ht="41.25" customHeight="1" s="335">
      <c r="A347" s="386" t="inlineStr">
        <is>
          <t>T24CORE</t>
        </is>
      </c>
      <c r="B347" s="386" t="inlineStr">
        <is>
          <t>PD_PAYMENT_DUE_HIS_MV</t>
        </is>
      </c>
      <c r="C347" s="386" t="inlineStr">
        <is>
          <t>PD_TYPE</t>
        </is>
      </c>
      <c r="D347" s="385" t="inlineStr">
        <is>
          <t>1:1</t>
        </is>
      </c>
      <c r="E347" s="412" t="inlineStr">
        <is>
          <t>Arrangement Delinquency Summary / sk_lich_tra_no</t>
        </is>
      </c>
      <c r="F347" s="412" t="inlineStr">
        <is>
          <t>Pd Type</t>
        </is>
      </c>
      <c r="G347" s="385" t="inlineStr">
        <is>
          <t>PG_BRONZE</t>
        </is>
      </c>
      <c r="H347" s="386" t="inlineStr">
        <is>
          <t>T24CORE_PD_PAYMENT_DUE_HIS_MV</t>
        </is>
      </c>
      <c r="I347" s="386" t="inlineStr">
        <is>
          <t>PD_TYPE</t>
        </is>
      </c>
      <c r="J347" s="410" t="inlineStr">
        <is>
          <t>VARCHAR2</t>
        </is>
      </c>
      <c r="K347" s="408" t="n">
        <v>100</v>
      </c>
      <c r="L347" s="412" t="inlineStr">
        <is>
          <t>Loại sản phẩm</t>
        </is>
      </c>
      <c r="M347" s="412">
        <f>"COMMENT ON COLUMN "&amp;G347&amp;"."&amp;H347&amp;"."&amp;I347&amp;" IS '"&amp;L347&amp;"';"</f>
        <v/>
      </c>
      <c r="N347" s="414" t="inlineStr">
        <is>
          <t>Map 1:1 nguyên bản từ T24CORE.PD_PAYMENT_DUE_HIS_MV.PD_TYPE sang PG_BRONZE.T24CORE_PD_PAYMENT_DUE_HIS_MV.PD_TYPE</t>
        </is>
      </c>
    </row>
    <row r="348" ht="54.75" customHeight="1" s="335">
      <c r="A348" s="386" t="inlineStr">
        <is>
          <t>T24CORE</t>
        </is>
      </c>
      <c r="B348" s="386" t="inlineStr">
        <is>
          <t>PD_PAYMENT_DUE_HIS_MV</t>
        </is>
      </c>
      <c r="C348" s="386" t="inlineStr">
        <is>
          <t>PENALTY_RATE</t>
        </is>
      </c>
      <c r="D348" s="385" t="inlineStr">
        <is>
          <t>1:1</t>
        </is>
      </c>
      <c r="E348" s="412" t="inlineStr">
        <is>
          <t>Arrangement Delinquency Summary / sk_lich_tra_no</t>
        </is>
      </c>
      <c r="F348" s="412" t="inlineStr">
        <is>
          <t>Penalty Rate</t>
        </is>
      </c>
      <c r="G348" s="385" t="inlineStr">
        <is>
          <t>PG_BRONZE</t>
        </is>
      </c>
      <c r="H348" s="386" t="inlineStr">
        <is>
          <t>T24CORE_PD_PAYMENT_DUE_HIS_MV</t>
        </is>
      </c>
      <c r="I348" s="386" t="inlineStr">
        <is>
          <t>PENALTY_RATE</t>
        </is>
      </c>
      <c r="J348" s="410" t="inlineStr">
        <is>
          <t>NUMBER</t>
        </is>
      </c>
      <c r="K348" s="408" t="n">
        <v>13.7</v>
      </c>
      <c r="L348" s="412" t="inlineStr">
        <is>
          <t>Lãi suất phạt quá hạn danh nghĩa lịch sử</t>
        </is>
      </c>
      <c r="M348" s="412">
        <f>"COMMENT ON COLUMN "&amp;G348&amp;"."&amp;H348&amp;"."&amp;I348&amp;" IS '"&amp;L348&amp;"';"</f>
        <v/>
      </c>
      <c r="N348" s="414" t="inlineStr">
        <is>
          <t>Map 1:1 nguyên bản từ T24CORE.PD_PAYMENT_DUE_HIS_MV.PENALTY_RATE sang PG_BRONZE.T24CORE_PD_PAYMENT_DUE_HIS_MV.PENALTY_RATE</t>
        </is>
      </c>
    </row>
    <row r="349" ht="41.25" customHeight="1" s="335">
      <c r="A349" s="386" t="inlineStr">
        <is>
          <t>T24CORE</t>
        </is>
      </c>
      <c r="B349" s="386" t="inlineStr">
        <is>
          <t>PD_PAYMENT_DUE_HIS_MV</t>
        </is>
      </c>
      <c r="C349" s="386" t="inlineStr">
        <is>
          <t>PE_RATE</t>
        </is>
      </c>
      <c r="D349" s="385" t="inlineStr">
        <is>
          <t>1:1</t>
        </is>
      </c>
      <c r="E349" s="412" t="inlineStr">
        <is>
          <t>Arrangement Delinquency Summary / sk_lich_tra_no</t>
        </is>
      </c>
      <c r="F349" s="412" t="inlineStr">
        <is>
          <t>Pe Rate</t>
        </is>
      </c>
      <c r="G349" s="385" t="inlineStr">
        <is>
          <t>PG_BRONZE</t>
        </is>
      </c>
      <c r="H349" s="386" t="inlineStr">
        <is>
          <t>T24CORE_PD_PAYMENT_DUE_HIS_MV</t>
        </is>
      </c>
      <c r="I349" s="386" t="inlineStr">
        <is>
          <t>PE_RATE</t>
        </is>
      </c>
      <c r="J349" s="410" t="inlineStr">
        <is>
          <t>NUMBER</t>
        </is>
      </c>
      <c r="K349" s="408" t="n">
        <v>13.7</v>
      </c>
      <c r="L349" s="412" t="inlineStr">
        <is>
          <t>Lãi phạt penalty rate</t>
        </is>
      </c>
      <c r="M349" s="412">
        <f>"COMMENT ON COLUMN "&amp;G349&amp;"."&amp;H349&amp;"."&amp;I349&amp;" IS '"&amp;L349&amp;"';"</f>
        <v/>
      </c>
      <c r="N349" s="414" t="inlineStr">
        <is>
          <t>Map 1:1 nguyên bản từ T24CORE.PD_PAYMENT_DUE_HIS_MV.PE_RATE sang PG_BRONZE.T24CORE_PD_PAYMENT_DUE_HIS_MV.PE_RATE</t>
        </is>
      </c>
    </row>
    <row r="350" ht="41.25" customHeight="1" s="335">
      <c r="A350" s="386" t="inlineStr">
        <is>
          <t>T24CORE</t>
        </is>
      </c>
      <c r="B350" s="386" t="inlineStr">
        <is>
          <t>PD_PAYMENT_DUE_HIS_MV</t>
        </is>
      </c>
      <c r="C350" s="386" t="inlineStr">
        <is>
          <t>RECID</t>
        </is>
      </c>
      <c r="D350" s="385" t="inlineStr">
        <is>
          <t>1:1</t>
        </is>
      </c>
      <c r="E350" s="412" t="inlineStr">
        <is>
          <t>Arrangement Delinquency Summary / sk_lich_tra_no</t>
        </is>
      </c>
      <c r="F350" s="412" t="inlineStr">
        <is>
          <t>Recid</t>
        </is>
      </c>
      <c r="G350" s="385" t="inlineStr">
        <is>
          <t>PG_BRONZE</t>
        </is>
      </c>
      <c r="H350" s="386" t="inlineStr">
        <is>
          <t>T24CORE_PD_PAYMENT_DUE_HIS_MV</t>
        </is>
      </c>
      <c r="I350" s="386" t="inlineStr">
        <is>
          <t>RECID</t>
        </is>
      </c>
      <c r="J350" s="410" t="inlineStr">
        <is>
          <t>VARCHAR2</t>
        </is>
      </c>
      <c r="K350" s="408" t="n">
        <v>100</v>
      </c>
      <c r="L350" s="412" t="inlineStr">
        <is>
          <t>Key bản ghi</t>
        </is>
      </c>
      <c r="M350" s="412">
        <f>"COMMENT ON COLUMN "&amp;G350&amp;"."&amp;H350&amp;"."&amp;I350&amp;" IS '"&amp;L350&amp;"';"</f>
        <v/>
      </c>
      <c r="N350" s="414" t="inlineStr">
        <is>
          <t>Map 1:1 nguyên bản từ T24CORE.PD_PAYMENT_DUE_HIS_MV.RECID sang PG_BRONZE.T24CORE_PD_PAYMENT_DUE_HIS_MV.RECID</t>
        </is>
      </c>
    </row>
    <row r="351" ht="54.75" customHeight="1" s="335">
      <c r="A351" s="386" t="inlineStr">
        <is>
          <t>T24CORE</t>
        </is>
      </c>
      <c r="B351" s="386" t="inlineStr">
        <is>
          <t>PD_PAYMENT_DUE_HIS_MV</t>
        </is>
      </c>
      <c r="C351" s="386" t="inlineStr">
        <is>
          <t>RECORD_STATUS</t>
        </is>
      </c>
      <c r="D351" s="385" t="inlineStr">
        <is>
          <t>1:1</t>
        </is>
      </c>
      <c r="E351" s="412" t="inlineStr">
        <is>
          <t>Arrangement Delinquency Summary / sk_lich_tra_no</t>
        </is>
      </c>
      <c r="F351" s="412" t="inlineStr">
        <is>
          <t>Record Status</t>
        </is>
      </c>
      <c r="G351" s="385" t="inlineStr">
        <is>
          <t>PG_BRONZE</t>
        </is>
      </c>
      <c r="H351" s="386" t="inlineStr">
        <is>
          <t>T24CORE_PD_PAYMENT_DUE_HIS_MV</t>
        </is>
      </c>
      <c r="I351" s="386" t="inlineStr">
        <is>
          <t>RECORD_STATUS</t>
        </is>
      </c>
      <c r="J351" s="410" t="inlineStr">
        <is>
          <t>VARCHAR2</t>
        </is>
      </c>
      <c r="K351" s="408" t="n">
        <v>100</v>
      </c>
      <c r="L351" s="412" t="inlineStr">
        <is>
          <t>Trạng thái bản ghi</t>
        </is>
      </c>
      <c r="M351" s="412">
        <f>"COMMENT ON COLUMN "&amp;G351&amp;"."&amp;H351&amp;"."&amp;I351&amp;" IS '"&amp;L351&amp;"';"</f>
        <v/>
      </c>
      <c r="N351" s="414" t="inlineStr">
        <is>
          <t>Map 1:1 nguyên bản từ T24CORE.PD_PAYMENT_DUE_HIS_MV.RECORD_STATUS sang PG_BRONZE.T24CORE_PD_PAYMENT_DUE_HIS_MV.RECORD_STATUS</t>
        </is>
      </c>
    </row>
    <row r="352" ht="54.75" customHeight="1" s="335">
      <c r="A352" s="386" t="inlineStr">
        <is>
          <t>T24CORE</t>
        </is>
      </c>
      <c r="B352" s="386" t="inlineStr">
        <is>
          <t>PD_PAYMENT_DUE_HIS_MV</t>
        </is>
      </c>
      <c r="C352" s="386" t="inlineStr">
        <is>
          <t>REPAYMENT_ACCT</t>
        </is>
      </c>
      <c r="D352" s="385" t="inlineStr">
        <is>
          <t>1:1</t>
        </is>
      </c>
      <c r="E352" s="412" t="inlineStr">
        <is>
          <t>Arrangement Delinquency Summary / sk_lich_tra_no</t>
        </is>
      </c>
      <c r="F352" s="412" t="inlineStr">
        <is>
          <t>Repayment Acct</t>
        </is>
      </c>
      <c r="G352" s="385" t="inlineStr">
        <is>
          <t>PG_BRONZE</t>
        </is>
      </c>
      <c r="H352" s="386" t="inlineStr">
        <is>
          <t>T24CORE_PD_PAYMENT_DUE_HIS_MV</t>
        </is>
      </c>
      <c r="I352" s="386" t="inlineStr">
        <is>
          <t>REPAYMENT_ACCT</t>
        </is>
      </c>
      <c r="J352" s="410" t="inlineStr">
        <is>
          <t>VARCHAR2</t>
        </is>
      </c>
      <c r="K352" s="408" t="n">
        <v>100</v>
      </c>
      <c r="L352" s="412" t="inlineStr">
        <is>
          <t>Số tài khoản thanh toán</t>
        </is>
      </c>
      <c r="M352" s="412">
        <f>"COMMENT ON COLUMN "&amp;G352&amp;"."&amp;H352&amp;"."&amp;I352&amp;" IS '"&amp;L352&amp;"';"</f>
        <v/>
      </c>
      <c r="N352" s="414" t="inlineStr">
        <is>
          <t>Map 1:1 nguyên bản từ T24CORE.PD_PAYMENT_DUE_HIS_MV.REPAYMENT_ACCT sang PG_BRONZE.T24CORE_PD_PAYMENT_DUE_HIS_MV.REPAYMENT_ACCT</t>
        </is>
      </c>
    </row>
    <row r="353" ht="41.25" customHeight="1" s="335">
      <c r="A353" s="386" t="inlineStr">
        <is>
          <t>T24CORE</t>
        </is>
      </c>
      <c r="B353" s="386" t="inlineStr">
        <is>
          <t>PD_PAYMENT_DUE_MV</t>
        </is>
      </c>
      <c r="C353" s="386" t="inlineStr">
        <is>
          <t>ACC_FCC</t>
        </is>
      </c>
      <c r="D353" s="385" t="inlineStr">
        <is>
          <t>1:1</t>
        </is>
      </c>
      <c r="E353" s="412" t="inlineStr">
        <is>
          <t>Loan Arrangement</t>
        </is>
      </c>
      <c r="F353" s="412" t="inlineStr">
        <is>
          <t>FCC Arrangement Code</t>
        </is>
      </c>
      <c r="G353" s="385" t="inlineStr">
        <is>
          <t>PG_BRONZE</t>
        </is>
      </c>
      <c r="H353" s="386" t="inlineStr">
        <is>
          <t>T24CORE_PD_PAYMENT_DUE_MV</t>
        </is>
      </c>
      <c r="I353" s="386" t="inlineStr">
        <is>
          <t>ACC_FCC</t>
        </is>
      </c>
      <c r="J353" s="410" t="inlineStr">
        <is>
          <t>VARCHAR2</t>
        </is>
      </c>
      <c r="K353" s="408" t="n">
        <v>100</v>
      </c>
      <c r="L353" s="412" t="inlineStr">
        <is>
          <t>Mã hợp đồng FlexCube</t>
        </is>
      </c>
      <c r="M353" s="412">
        <f>"COMMENT ON COLUMN "&amp;G353&amp;"."&amp;H353&amp;"."&amp;I353&amp;" IS '"&amp;L353&amp;"';"</f>
        <v/>
      </c>
      <c r="N353" s="414" t="inlineStr">
        <is>
          <t>Map 1:1 nguyên bản từ T24CORE.PD_PAYMENT_DUE_MV.ACC_FCC sang PG_BRONZE.T24CORE_PD_PAYMENT_DUE_MV.ACC_FCC</t>
        </is>
      </c>
    </row>
    <row r="354" ht="54.75" customHeight="1" s="335">
      <c r="A354" s="386" t="inlineStr">
        <is>
          <t>T24CORE</t>
        </is>
      </c>
      <c r="B354" s="386" t="inlineStr">
        <is>
          <t>PD_PAYMENT_DUE_MV</t>
        </is>
      </c>
      <c r="C354" s="386" t="inlineStr">
        <is>
          <t>APPROVE_AMOUNT</t>
        </is>
      </c>
      <c r="D354" s="385" t="inlineStr">
        <is>
          <t>1:1</t>
        </is>
      </c>
      <c r="E354" s="412" t="inlineStr">
        <is>
          <t>Loan Arrangement</t>
        </is>
      </c>
      <c r="F354" s="412" t="inlineStr">
        <is>
          <t>Original Amount FCY</t>
        </is>
      </c>
      <c r="G354" s="385" t="inlineStr">
        <is>
          <t>PG_BRONZE</t>
        </is>
      </c>
      <c r="H354" s="386" t="inlineStr">
        <is>
          <t>T24CORE_PD_PAYMENT_DUE_MV</t>
        </is>
      </c>
      <c r="I354" s="386" t="inlineStr">
        <is>
          <t>APPROVE_AMOUNT</t>
        </is>
      </c>
      <c r="J354" s="410" t="inlineStr">
        <is>
          <t>NUMBER</t>
        </is>
      </c>
      <c r="K354" s="408" t="n">
        <v>25.5</v>
      </c>
      <c r="L354" s="412" t="inlineStr">
        <is>
          <t>Giá trị giải ngân</t>
        </is>
      </c>
      <c r="M354" s="412">
        <f>"COMMENT ON COLUMN "&amp;G354&amp;"."&amp;H354&amp;"."&amp;I354&amp;" IS '"&amp;L354&amp;"';"</f>
        <v/>
      </c>
      <c r="N354" s="414" t="inlineStr">
        <is>
          <t>Map 1:1 nguyên bản từ T24CORE.PD_PAYMENT_DUE_MV.APPROVE_AMOUNT sang PG_BRONZE.T24CORE_PD_PAYMENT_DUE_MV.APPROVE_AMOUNT</t>
        </is>
      </c>
    </row>
    <row r="355" ht="41.25" customHeight="1" s="335">
      <c r="A355" s="386" t="inlineStr">
        <is>
          <t>T24CORE</t>
        </is>
      </c>
      <c r="B355" s="386" t="inlineStr">
        <is>
          <t>PD_PAYMENT_DUE_MV</t>
        </is>
      </c>
      <c r="C355" s="386" t="inlineStr">
        <is>
          <t>CATEGORY</t>
        </is>
      </c>
      <c r="D355" s="385" t="inlineStr">
        <is>
          <t>1:1</t>
        </is>
      </c>
      <c r="E355" s="412" t="inlineStr">
        <is>
          <t>Loan Arrangement</t>
        </is>
      </c>
      <c r="F355" s="412" t="inlineStr">
        <is>
          <t>Product Category Code</t>
        </is>
      </c>
      <c r="G355" s="385" t="inlineStr">
        <is>
          <t>PG_BRONZE</t>
        </is>
      </c>
      <c r="H355" s="386" t="inlineStr">
        <is>
          <t>T24CORE_PD_PAYMENT_DUE_MV</t>
        </is>
      </c>
      <c r="I355" s="386" t="inlineStr">
        <is>
          <t>CATEGORY</t>
        </is>
      </c>
      <c r="J355" s="410" t="inlineStr">
        <is>
          <t>VARCHAR2</t>
        </is>
      </c>
      <c r="K355" s="408" t="n">
        <v>100</v>
      </c>
      <c r="L355" s="412" t="inlineStr">
        <is>
          <t>Mã phân loại sản phẩm vay</t>
        </is>
      </c>
      <c r="M355" s="412">
        <f>"COMMENT ON COLUMN "&amp;G355&amp;"."&amp;H355&amp;"."&amp;I355&amp;" IS '"&amp;L355&amp;"';"</f>
        <v/>
      </c>
      <c r="N355" s="414" t="inlineStr">
        <is>
          <t>Map 1:1 nguyên bản từ T24CORE.PD_PAYMENT_DUE_MV.CATEGORY sang PG_BRONZE.T24CORE_PD_PAYMENT_DUE_MV.CATEGORY</t>
        </is>
      </c>
    </row>
    <row r="356" ht="54.75" customHeight="1" s="335">
      <c r="A356" s="386" t="inlineStr">
        <is>
          <t>T24CORE</t>
        </is>
      </c>
      <c r="B356" s="386" t="inlineStr">
        <is>
          <t>PD_PAYMENT_DUE_MV</t>
        </is>
      </c>
      <c r="C356" s="386" t="inlineStr">
        <is>
          <t>COMMIT_ACTION</t>
        </is>
      </c>
      <c r="D356" s="385" t="inlineStr">
        <is>
          <t>1:1</t>
        </is>
      </c>
      <c r="E356" s="412" t="inlineStr">
        <is>
          <t>Arrangement Activity Schedule Item / sk_lich_tra_no</t>
        </is>
      </c>
      <c r="F356" s="412" t="inlineStr">
        <is>
          <t>Commit Action</t>
        </is>
      </c>
      <c r="G356" s="385" t="inlineStr">
        <is>
          <t>PG_BRONZE</t>
        </is>
      </c>
      <c r="H356" s="386" t="inlineStr">
        <is>
          <t>T24CORE_PD_PAYMENT_DUE_MV</t>
        </is>
      </c>
      <c r="I356" s="386" t="inlineStr">
        <is>
          <t>COMMIT_ACTION</t>
        </is>
      </c>
      <c r="J356" s="410" t="inlineStr">
        <is>
          <t>VARCHAR2</t>
        </is>
      </c>
      <c r="K356" s="408" t="n">
        <v>100</v>
      </c>
      <c r="L356" s="412" t="inlineStr">
        <is>
          <t>Trường COMMIT_ACTION của bảng nguồn T24CORE.PD_PAYMENT_DUE_MV</t>
        </is>
      </c>
      <c r="M356" s="412">
        <f>"COMMENT ON COLUMN "&amp;G356&amp;"."&amp;H356&amp;"."&amp;I356&amp;" IS '"&amp;L356&amp;"';"</f>
        <v/>
      </c>
      <c r="N356" s="414" t="inlineStr">
        <is>
          <t>Map 1:1 nguyên bản từ T24CORE.PD_PAYMENT_DUE_MV.COMMIT_ACTION sang PG_BRONZE.T24CORE_PD_PAYMENT_DUE_MV.COMMIT_ACTION</t>
        </is>
      </c>
    </row>
    <row r="357" ht="41.25" customHeight="1" s="335">
      <c r="A357" s="386" t="inlineStr">
        <is>
          <t>T24CORE</t>
        </is>
      </c>
      <c r="B357" s="386" t="inlineStr">
        <is>
          <t>PD_PAYMENT_DUE_MV</t>
        </is>
      </c>
      <c r="C357" s="386" t="inlineStr">
        <is>
          <t>CO_CODE</t>
        </is>
      </c>
      <c r="D357" s="385" t="inlineStr">
        <is>
          <t>1:1</t>
        </is>
      </c>
      <c r="E357" s="412" t="inlineStr">
        <is>
          <t>Loan Arrangement, Loan Arrangement Profile</t>
        </is>
      </c>
      <c r="F357" s="412" t="inlineStr">
        <is>
          <t>First Organization Unit Code , Organization Unit Code</t>
        </is>
      </c>
      <c r="G357" s="385" t="inlineStr">
        <is>
          <t>PG_BRONZE</t>
        </is>
      </c>
      <c r="H357" s="386" t="inlineStr">
        <is>
          <t>T24CORE_PD_PAYMENT_DUE_MV</t>
        </is>
      </c>
      <c r="I357" s="386" t="inlineStr">
        <is>
          <t>CO_CODE</t>
        </is>
      </c>
      <c r="J357" s="410" t="inlineStr">
        <is>
          <t>VARCHAR2</t>
        </is>
      </c>
      <c r="K357" s="408" t="n">
        <v>100</v>
      </c>
      <c r="L357" s="412" t="inlineStr">
        <is>
          <t>Mã chi nhánh</t>
        </is>
      </c>
      <c r="M357" s="412">
        <f>"COMMENT ON COLUMN "&amp;G357&amp;"."&amp;H357&amp;"."&amp;I357&amp;" IS '"&amp;L357&amp;"';"</f>
        <v/>
      </c>
      <c r="N357" s="414" t="inlineStr">
        <is>
          <t>Map 1:1 nguyên bản từ T24CORE.PD_PAYMENT_DUE_MV.CO_CODE sang PG_BRONZE.T24CORE_PD_PAYMENT_DUE_MV.CO_CODE</t>
        </is>
      </c>
    </row>
    <row r="358" ht="41.25" customHeight="1" s="335">
      <c r="A358" s="386" t="inlineStr">
        <is>
          <t>T24CORE</t>
        </is>
      </c>
      <c r="B358" s="386" t="inlineStr">
        <is>
          <t>PD_PAYMENT_DUE_MV</t>
        </is>
      </c>
      <c r="C358" s="386" t="inlineStr">
        <is>
          <t>CREDIT_STATUS</t>
        </is>
      </c>
      <c r="D358" s="385" t="inlineStr">
        <is>
          <t>1:1</t>
        </is>
      </c>
      <c r="E358" s="412" t="inlineStr">
        <is>
          <t>Arrangement Activity Schedule Item / sk_lich_tra_no</t>
        </is>
      </c>
      <c r="F358" s="412" t="inlineStr">
        <is>
          <t>Credit Status</t>
        </is>
      </c>
      <c r="G358" s="385" t="inlineStr">
        <is>
          <t>PG_BRONZE</t>
        </is>
      </c>
      <c r="H358" s="386" t="inlineStr">
        <is>
          <t>T24CORE_PD_PAYMENT_DUE_MV</t>
        </is>
      </c>
      <c r="I358" s="386" t="inlineStr">
        <is>
          <t>CREDIT_STATUS</t>
        </is>
      </c>
      <c r="J358" s="410" t="inlineStr">
        <is>
          <t>VARCHAR2</t>
        </is>
      </c>
      <c r="K358" s="408" t="n">
        <v>100</v>
      </c>
      <c r="L358" s="412" t="inlineStr">
        <is>
          <t>Nhóm nợ hợp đồng</t>
        </is>
      </c>
      <c r="M358" s="412">
        <f>"COMMENT ON COLUMN "&amp;G358&amp;"."&amp;H358&amp;"."&amp;I358&amp;" IS '"&amp;L358&amp;"';"</f>
        <v/>
      </c>
      <c r="N358" s="414" t="inlineStr">
        <is>
          <t>Map 1:1 nguyên bản từ T24CORE.PD_PAYMENT_DUE_MV.CREDIT_STATUS sang PG_BRONZE.T24CORE_PD_PAYMENT_DUE_MV.CREDIT_STATUS</t>
        </is>
      </c>
    </row>
    <row r="359" ht="41.25" customHeight="1" s="335">
      <c r="A359" s="386" t="inlineStr">
        <is>
          <t>T24CORE</t>
        </is>
      </c>
      <c r="B359" s="386" t="inlineStr">
        <is>
          <t>PD_PAYMENT_DUE_MV</t>
        </is>
      </c>
      <c r="C359" s="386" t="inlineStr">
        <is>
          <t>CURR_NO</t>
        </is>
      </c>
      <c r="D359" s="385" t="inlineStr">
        <is>
          <t>1:1</t>
        </is>
      </c>
      <c r="E359" s="412" t="inlineStr">
        <is>
          <t>Arrangement Activity Schedule Item / sk_lich_tra_no</t>
        </is>
      </c>
      <c r="F359" s="412" t="inlineStr">
        <is>
          <t>Curr No</t>
        </is>
      </c>
      <c r="G359" s="385" t="inlineStr">
        <is>
          <t>PG_BRONZE</t>
        </is>
      </c>
      <c r="H359" s="386" t="inlineStr">
        <is>
          <t>T24CORE_PD_PAYMENT_DUE_MV</t>
        </is>
      </c>
      <c r="I359" s="386" t="inlineStr">
        <is>
          <t>CURR_NO</t>
        </is>
      </c>
      <c r="J359" s="410" t="inlineStr">
        <is>
          <t>NUMBER</t>
        </is>
      </c>
      <c r="K359" s="408" t="n">
        <v>10</v>
      </c>
      <c r="L359" s="412" t="inlineStr">
        <is>
          <t>Version hiện tại của bản ghi</t>
        </is>
      </c>
      <c r="M359" s="412">
        <f>"COMMENT ON COLUMN "&amp;G359&amp;"."&amp;H359&amp;"."&amp;I359&amp;" IS '"&amp;L359&amp;"';"</f>
        <v/>
      </c>
      <c r="N359" s="414" t="inlineStr">
        <is>
          <t>Map 1:1 nguyên bản từ T24CORE.PD_PAYMENT_DUE_MV.CURR_NO sang PG_BRONZE.T24CORE_PD_PAYMENT_DUE_MV.CURR_NO</t>
        </is>
      </c>
    </row>
    <row r="360" ht="41.25" customHeight="1" s="335">
      <c r="A360" s="386" t="inlineStr">
        <is>
          <t>T24CORE</t>
        </is>
      </c>
      <c r="B360" s="386" t="inlineStr">
        <is>
          <t>PD_PAYMENT_DUE_MV</t>
        </is>
      </c>
      <c r="C360" s="386" t="inlineStr">
        <is>
          <t>CUSTOMER</t>
        </is>
      </c>
      <c r="D360" s="385" t="inlineStr">
        <is>
          <t>1:1</t>
        </is>
      </c>
      <c r="E360" s="412" t="inlineStr">
        <is>
          <t>Loan Arrangement</t>
        </is>
      </c>
      <c r="F360" s="412" t="inlineStr">
        <is>
          <t>Customer Code/ Customer ID</t>
        </is>
      </c>
      <c r="G360" s="385" t="inlineStr">
        <is>
          <t>PG_BRONZE</t>
        </is>
      </c>
      <c r="H360" s="386" t="inlineStr">
        <is>
          <t>T24CORE_PD_PAYMENT_DUE_MV</t>
        </is>
      </c>
      <c r="I360" s="386" t="inlineStr">
        <is>
          <t>CUSTOMER</t>
        </is>
      </c>
      <c r="J360" s="410" t="inlineStr">
        <is>
          <t>VARCHAR2</t>
        </is>
      </c>
      <c r="K360" s="408" t="n">
        <v>100</v>
      </c>
      <c r="L360" s="412" t="inlineStr">
        <is>
          <t>Mã khách hàng</t>
        </is>
      </c>
      <c r="M360" s="412">
        <f>"COMMENT ON COLUMN "&amp;G360&amp;"."&amp;H360&amp;"."&amp;I360&amp;" IS '"&amp;L360&amp;"';"</f>
        <v/>
      </c>
      <c r="N360" s="414" t="inlineStr">
        <is>
          <t>Map 1:1 nguyên bản từ T24CORE.PD_PAYMENT_DUE_MV.CUSTOMER sang PG_BRONZE.T24CORE_PD_PAYMENT_DUE_MV.CUSTOMER</t>
        </is>
      </c>
    </row>
    <row r="361" ht="54.75" customHeight="1" s="335">
      <c r="A361" s="386" t="inlineStr">
        <is>
          <t>T24CORE</t>
        </is>
      </c>
      <c r="B361" s="386" t="inlineStr">
        <is>
          <t>PD_PAYMENT_DUE_MV</t>
        </is>
      </c>
      <c r="C361" s="386" t="inlineStr">
        <is>
          <t>DATE_TIME</t>
        </is>
      </c>
      <c r="D361" s="385" t="inlineStr">
        <is>
          <t>1:1</t>
        </is>
      </c>
      <c r="E361" s="412" t="inlineStr">
        <is>
          <t>Arrangement Activity Schedule Item / sk_lich_tra_no</t>
        </is>
      </c>
      <c r="F361" s="412" t="inlineStr">
        <is>
          <t>Date Time</t>
        </is>
      </c>
      <c r="G361" s="385" t="inlineStr">
        <is>
          <t>PG_BRONZE</t>
        </is>
      </c>
      <c r="H361" s="386" t="inlineStr">
        <is>
          <t>T24CORE_PD_PAYMENT_DUE_MV</t>
        </is>
      </c>
      <c r="I361" s="386" t="inlineStr">
        <is>
          <t>DATE_TIME</t>
        </is>
      </c>
      <c r="J361" s="410" t="inlineStr">
        <is>
          <t>DATE</t>
        </is>
      </c>
      <c r="K361" s="408" t="n">
        <v>8</v>
      </c>
      <c r="L361" s="412" t="inlineStr">
        <is>
          <t>Trường DATE_TIME của bảng nguồn T24CORE.PD_PAYMENT_DUE_MV</t>
        </is>
      </c>
      <c r="M361" s="412">
        <f>"COMMENT ON COLUMN "&amp;G361&amp;"."&amp;H361&amp;"."&amp;I361&amp;" IS '"&amp;L361&amp;"';"</f>
        <v/>
      </c>
      <c r="N361" s="414" t="inlineStr">
        <is>
          <t>Map 1:1 nguyên bản từ T24CORE.PD_PAYMENT_DUE_MV.DATE_TIME sang PG_BRONZE.T24CORE_PD_PAYMENT_DUE_MV.DATE_TIME</t>
        </is>
      </c>
    </row>
    <row r="362" ht="41.25" customHeight="1" s="335">
      <c r="A362" s="386" t="inlineStr">
        <is>
          <t>T24CORE</t>
        </is>
      </c>
      <c r="B362" s="386" t="inlineStr">
        <is>
          <t>PD_PAYMENT_DUE_MV</t>
        </is>
      </c>
      <c r="C362" s="386" t="inlineStr">
        <is>
          <t>FINAL_DUE_DATE</t>
        </is>
      </c>
      <c r="D362" s="385" t="inlineStr">
        <is>
          <t>1:1</t>
        </is>
      </c>
      <c r="E362" s="412" t="inlineStr">
        <is>
          <t>Arrangement Activity Schedule Item / sk_lich_tra_no</t>
        </is>
      </c>
      <c r="F362" s="412" t="inlineStr">
        <is>
          <t>Final Due Date</t>
        </is>
      </c>
      <c r="G362" s="385" t="inlineStr">
        <is>
          <t>PG_BRONZE</t>
        </is>
      </c>
      <c r="H362" s="386" t="inlineStr">
        <is>
          <t>T24CORE_PD_PAYMENT_DUE_MV</t>
        </is>
      </c>
      <c r="I362" s="386" t="inlineStr">
        <is>
          <t>FINAL_DUE_DATE</t>
        </is>
      </c>
      <c r="J362" s="410" t="inlineStr">
        <is>
          <t>DATE</t>
        </is>
      </c>
      <c r="K362" s="408" t="n">
        <v>8</v>
      </c>
      <c r="L362" s="412" t="inlineStr">
        <is>
          <t>Ngày trả nơ cuối khi quá hạn</t>
        </is>
      </c>
      <c r="M362" s="412">
        <f>"COMMENT ON COLUMN "&amp;G362&amp;"."&amp;H362&amp;"."&amp;I362&amp;" IS '"&amp;L362&amp;"';"</f>
        <v/>
      </c>
      <c r="N362" s="414" t="inlineStr">
        <is>
          <t>Map 1:1 nguyên bản từ T24CORE.PD_PAYMENT_DUE_MV.FINAL_DUE_DATE sang PG_BRONZE.T24CORE_PD_PAYMENT_DUE_MV.FINAL_DUE_DATE</t>
        </is>
      </c>
    </row>
    <row r="363" ht="41.25" customHeight="1" s="335">
      <c r="A363" s="386" t="inlineStr">
        <is>
          <t>T24CORE</t>
        </is>
      </c>
      <c r="B363" s="386" t="inlineStr">
        <is>
          <t>PD_PAYMENT_DUE_MV</t>
        </is>
      </c>
      <c r="C363" s="386" t="inlineStr">
        <is>
          <t>FLAG_STATUS</t>
        </is>
      </c>
      <c r="D363" s="385" t="inlineStr">
        <is>
          <t>1:1</t>
        </is>
      </c>
      <c r="E363" s="412" t="inlineStr">
        <is>
          <t>Arrangement Activity Schedule Item / sk_lich_tra_no</t>
        </is>
      </c>
      <c r="F363" s="412" t="inlineStr">
        <is>
          <t>Flag Status</t>
        </is>
      </c>
      <c r="G363" s="385" t="inlineStr">
        <is>
          <t>PG_BRONZE</t>
        </is>
      </c>
      <c r="H363" s="386" t="inlineStr">
        <is>
          <t>T24CORE_PD_PAYMENT_DUE_MV</t>
        </is>
      </c>
      <c r="I363" s="386" t="inlineStr">
        <is>
          <t>FLAG_STATUS</t>
        </is>
      </c>
      <c r="J363" s="410" t="inlineStr">
        <is>
          <t>VARCHAR2</t>
        </is>
      </c>
      <c r="K363" s="408" t="n">
        <v>100</v>
      </c>
      <c r="L363" s="412" t="inlineStr">
        <is>
          <t>Cờ đánh dấu trạng thái bản ghi</t>
        </is>
      </c>
      <c r="M363" s="412">
        <f>"COMMENT ON COLUMN "&amp;G363&amp;"."&amp;H363&amp;"."&amp;I363&amp;" IS '"&amp;L363&amp;"';"</f>
        <v/>
      </c>
      <c r="N363" s="414" t="inlineStr">
        <is>
          <t>Map 1:1 nguyên bản từ T24CORE.PD_PAYMENT_DUE_MV.FLAG_STATUS sang PG_BRONZE.T24CORE_PD_PAYMENT_DUE_MV.FLAG_STATUS</t>
        </is>
      </c>
    </row>
    <row r="364" ht="27" customHeight="1" s="335">
      <c r="A364" s="386" t="inlineStr">
        <is>
          <t>T24CORE</t>
        </is>
      </c>
      <c r="B364" s="386" t="inlineStr">
        <is>
          <t>PD_PAYMENT_DUE_MV</t>
        </is>
      </c>
      <c r="C364" s="386" t="inlineStr">
        <is>
          <t>ID</t>
        </is>
      </c>
      <c r="D364" s="385" t="inlineStr">
        <is>
          <t>1:1</t>
        </is>
      </c>
      <c r="E364" s="412" t="inlineStr">
        <is>
          <t>Arrangement Activity Schedule Item / sk_lich_tra_no</t>
        </is>
      </c>
      <c r="F364" s="412" t="inlineStr">
        <is>
          <t>Id</t>
        </is>
      </c>
      <c r="G364" s="385" t="inlineStr">
        <is>
          <t>PG_BRONZE</t>
        </is>
      </c>
      <c r="H364" s="386" t="inlineStr">
        <is>
          <t>T24CORE_PD_PAYMENT_DUE_MV</t>
        </is>
      </c>
      <c r="I364" s="386" t="inlineStr">
        <is>
          <t>ID</t>
        </is>
      </c>
      <c r="J364" s="410" t="inlineStr">
        <is>
          <t>VARCHAR2</t>
        </is>
      </c>
      <c r="K364" s="408" t="n">
        <v>100</v>
      </c>
      <c r="L364" s="412" t="inlineStr">
        <is>
          <t>Mã hợp đồng</t>
        </is>
      </c>
      <c r="M364" s="412">
        <f>"COMMENT ON COLUMN "&amp;G364&amp;"."&amp;H364&amp;"."&amp;I364&amp;" IS '"&amp;L364&amp;"';"</f>
        <v/>
      </c>
      <c r="N364" s="414" t="inlineStr">
        <is>
          <t>Map 1:1 nguyên bản từ T24CORE.PD_PAYMENT_DUE_MV.ID sang PG_BRONZE.T24CORE_PD_PAYMENT_DUE_MV.ID</t>
        </is>
      </c>
    </row>
    <row r="365" ht="41.25" customHeight="1" s="335">
      <c r="A365" s="386" t="inlineStr">
        <is>
          <t>T24CORE</t>
        </is>
      </c>
      <c r="B365" s="386" t="inlineStr">
        <is>
          <t>PD_PAYMENT_DUE_MV</t>
        </is>
      </c>
      <c r="C365" s="386" t="inlineStr">
        <is>
          <t>ORIGINAL_MAT</t>
        </is>
      </c>
      <c r="D365" s="385" t="inlineStr">
        <is>
          <t>1:1</t>
        </is>
      </c>
      <c r="E365" s="412" t="inlineStr">
        <is>
          <t>Loan Arrangement</t>
        </is>
      </c>
      <c r="F365" s="412" t="inlineStr">
        <is>
          <t>Maturity Date</t>
        </is>
      </c>
      <c r="G365" s="385" t="inlineStr">
        <is>
          <t>PG_BRONZE</t>
        </is>
      </c>
      <c r="H365" s="386" t="inlineStr">
        <is>
          <t>T24CORE_PD_PAYMENT_DUE_MV</t>
        </is>
      </c>
      <c r="I365" s="386" t="inlineStr">
        <is>
          <t>ORIGINAL_MAT</t>
        </is>
      </c>
      <c r="J365" s="410" t="inlineStr">
        <is>
          <t>DATE</t>
        </is>
      </c>
      <c r="K365" s="408" t="n">
        <v>8</v>
      </c>
      <c r="L365" s="412" t="inlineStr">
        <is>
          <t>Ngày đáo hạn gốc</t>
        </is>
      </c>
      <c r="M365" s="412">
        <f>"COMMENT ON COLUMN "&amp;G365&amp;"."&amp;H365&amp;"."&amp;I365&amp;" IS '"&amp;L365&amp;"';"</f>
        <v/>
      </c>
      <c r="N365" s="414" t="inlineStr">
        <is>
          <t>Map 1:1 nguyên bản từ T24CORE.PD_PAYMENT_DUE_MV.ORIGINAL_MAT sang PG_BRONZE.T24CORE_PD_PAYMENT_DUE_MV.ORIGINAL_MAT</t>
        </is>
      </c>
    </row>
    <row r="366" ht="54.75" customHeight="1" s="335">
      <c r="A366" s="386" t="inlineStr">
        <is>
          <t>T24CORE</t>
        </is>
      </c>
      <c r="B366" s="386" t="inlineStr">
        <is>
          <t>PD_PAYMENT_DUE_MV</t>
        </is>
      </c>
      <c r="C366" s="386" t="inlineStr">
        <is>
          <t>PAYMENT_DTE_DUE</t>
        </is>
      </c>
      <c r="D366" s="385" t="inlineStr">
        <is>
          <t>1:1</t>
        </is>
      </c>
      <c r="E366" s="412" t="inlineStr">
        <is>
          <t>Loan Arrangement</t>
        </is>
      </c>
      <c r="F366" s="412" t="inlineStr">
        <is>
          <t>Effective Date</t>
        </is>
      </c>
      <c r="G366" s="385" t="inlineStr">
        <is>
          <t>PG_BRONZE</t>
        </is>
      </c>
      <c r="H366" s="386" t="inlineStr">
        <is>
          <t>T24CORE_PD_PAYMENT_DUE_MV</t>
        </is>
      </c>
      <c r="I366" s="386" t="inlineStr">
        <is>
          <t>PAYMENT_DTE_DUE</t>
        </is>
      </c>
      <c r="J366" s="410" t="inlineStr">
        <is>
          <t>DATE</t>
        </is>
      </c>
      <c r="K366" s="408" t="n">
        <v>8</v>
      </c>
      <c r="L366" s="412" t="inlineStr">
        <is>
          <t>Hạn thanh toán</t>
        </is>
      </c>
      <c r="M366" s="412">
        <f>"COMMENT ON COLUMN "&amp;G366&amp;"."&amp;H366&amp;"."&amp;I366&amp;" IS '"&amp;L366&amp;"';"</f>
        <v/>
      </c>
      <c r="N366" s="414" t="inlineStr">
        <is>
          <t>Map 1:1 nguyên bản từ T24CORE.PD_PAYMENT_DUE_MV.PAYMENT_DTE_DUE sang PG_BRONZE.T24CORE_PD_PAYMENT_DUE_MV.PAYMENT_DTE_DUE</t>
        </is>
      </c>
    </row>
    <row r="367" ht="41.25" customHeight="1" s="335">
      <c r="A367" s="386" t="inlineStr">
        <is>
          <t>T24CORE</t>
        </is>
      </c>
      <c r="B367" s="386" t="inlineStr">
        <is>
          <t>PD_PAYMENT_DUE_MV</t>
        </is>
      </c>
      <c r="C367" s="386" t="inlineStr">
        <is>
          <t>PAY_AMT_OUTS</t>
        </is>
      </c>
      <c r="D367" s="385" t="inlineStr">
        <is>
          <t>1:1</t>
        </is>
      </c>
      <c r="E367" s="412" t="inlineStr">
        <is>
          <t>Arrangement Activity Schedule Item / sk_lich_tra_no</t>
        </is>
      </c>
      <c r="F367" s="412" t="inlineStr">
        <is>
          <t>Pay Amt Outs</t>
        </is>
      </c>
      <c r="G367" s="385" t="inlineStr">
        <is>
          <t>PG_BRONZE</t>
        </is>
      </c>
      <c r="H367" s="386" t="inlineStr">
        <is>
          <t>T24CORE_PD_PAYMENT_DUE_MV</t>
        </is>
      </c>
      <c r="I367" s="386" t="inlineStr">
        <is>
          <t>PAY_AMT_OUTS</t>
        </is>
      </c>
      <c r="J367" s="410" t="inlineStr">
        <is>
          <t>NUMBER</t>
        </is>
      </c>
      <c r="K367" s="408" t="n">
        <v>25.5</v>
      </c>
      <c r="L367" s="412" t="inlineStr">
        <is>
          <t>Số tiền còn lại chưa thanh toán</t>
        </is>
      </c>
      <c r="M367" s="412">
        <f>"COMMENT ON COLUMN "&amp;G367&amp;"."&amp;H367&amp;"."&amp;I367&amp;" IS '"&amp;L367&amp;"';"</f>
        <v/>
      </c>
      <c r="N367" s="414" t="inlineStr">
        <is>
          <t>Map 1:1 nguyên bản từ T24CORE.PD_PAYMENT_DUE_MV.PAY_AMT_OUTS sang PG_BRONZE.T24CORE_PD_PAYMENT_DUE_MV.PAY_AMT_OUTS</t>
        </is>
      </c>
    </row>
    <row r="368" ht="41.25" customHeight="1" s="335">
      <c r="A368" s="386" t="inlineStr">
        <is>
          <t>T24CORE</t>
        </is>
      </c>
      <c r="B368" s="386" t="inlineStr">
        <is>
          <t>PD_PAYMENT_DUE_MV</t>
        </is>
      </c>
      <c r="C368" s="386" t="inlineStr">
        <is>
          <t>PAY_TYPE</t>
        </is>
      </c>
      <c r="D368" s="385" t="inlineStr">
        <is>
          <t>1:1</t>
        </is>
      </c>
      <c r="E368" s="412" t="inlineStr">
        <is>
          <t>Arrangement Activity Schedule Item / sk_lich_tra_no</t>
        </is>
      </c>
      <c r="F368" s="412" t="inlineStr">
        <is>
          <t>Pay Type</t>
        </is>
      </c>
      <c r="G368" s="385" t="inlineStr">
        <is>
          <t>PG_BRONZE</t>
        </is>
      </c>
      <c r="H368" s="386" t="inlineStr">
        <is>
          <t>T24CORE_PD_PAYMENT_DUE_MV</t>
        </is>
      </c>
      <c r="I368" s="386" t="inlineStr">
        <is>
          <t>PAY_TYPE</t>
        </is>
      </c>
      <c r="J368" s="410" t="inlineStr">
        <is>
          <t>VARCHAR2</t>
        </is>
      </c>
      <c r="K368" s="408" t="n">
        <v>100</v>
      </c>
      <c r="L368" s="412" t="inlineStr">
        <is>
          <t>Loại hình thanh toán</t>
        </is>
      </c>
      <c r="M368" s="412">
        <f>"COMMENT ON COLUMN "&amp;G368&amp;"."&amp;H368&amp;"."&amp;I368&amp;" IS '"&amp;L368&amp;"';"</f>
        <v/>
      </c>
      <c r="N368" s="414" t="inlineStr">
        <is>
          <t>Map 1:1 nguyên bản từ T24CORE.PD_PAYMENT_DUE_MV.PAY_TYPE sang PG_BRONZE.T24CORE_PD_PAYMENT_DUE_MV.PAY_TYPE</t>
        </is>
      </c>
    </row>
    <row r="369" ht="41.25" customHeight="1" s="335">
      <c r="A369" s="386" t="inlineStr">
        <is>
          <t>T24CORE</t>
        </is>
      </c>
      <c r="B369" s="386" t="inlineStr">
        <is>
          <t>PD_PAYMENT_DUE_MV</t>
        </is>
      </c>
      <c r="C369" s="386" t="inlineStr">
        <is>
          <t>PD_TYPE</t>
        </is>
      </c>
      <c r="D369" s="385" t="inlineStr">
        <is>
          <t>1:1</t>
        </is>
      </c>
      <c r="E369" s="412" t="inlineStr">
        <is>
          <t>Arrangement Activity Schedule Item / sk_lich_tra_no</t>
        </is>
      </c>
      <c r="F369" s="412" t="inlineStr">
        <is>
          <t>Pd Type</t>
        </is>
      </c>
      <c r="G369" s="385" t="inlineStr">
        <is>
          <t>PG_BRONZE</t>
        </is>
      </c>
      <c r="H369" s="386" t="inlineStr">
        <is>
          <t>T24CORE_PD_PAYMENT_DUE_MV</t>
        </is>
      </c>
      <c r="I369" s="386" t="inlineStr">
        <is>
          <t>PD_TYPE</t>
        </is>
      </c>
      <c r="J369" s="410" t="inlineStr">
        <is>
          <t>VARCHAR2</t>
        </is>
      </c>
      <c r="K369" s="408" t="n">
        <v>100</v>
      </c>
      <c r="L369" s="412" t="inlineStr">
        <is>
          <t>Loại sản phẩm</t>
        </is>
      </c>
      <c r="M369" s="412">
        <f>"COMMENT ON COLUMN "&amp;G369&amp;"."&amp;H369&amp;"."&amp;I369&amp;" IS '"&amp;L369&amp;"';"</f>
        <v/>
      </c>
      <c r="N369" s="414" t="inlineStr">
        <is>
          <t>Map 1:1 nguyên bản từ T24CORE.PD_PAYMENT_DUE_MV.PD_TYPE sang PG_BRONZE.T24CORE_PD_PAYMENT_DUE_MV.PD_TYPE</t>
        </is>
      </c>
    </row>
    <row r="370" ht="41.25" customHeight="1" s="335">
      <c r="A370" s="386" t="inlineStr">
        <is>
          <t>T24CORE</t>
        </is>
      </c>
      <c r="B370" s="386" t="inlineStr">
        <is>
          <t>PD_PAYMENT_DUE_MV</t>
        </is>
      </c>
      <c r="C370" s="386" t="inlineStr">
        <is>
          <t>PENALTY_RATE</t>
        </is>
      </c>
      <c r="D370" s="385" t="inlineStr">
        <is>
          <t>1:1</t>
        </is>
      </c>
      <c r="E370" s="412" t="inlineStr">
        <is>
          <t>Arrangement Activity Schedule Item / sk_lich_tra_no</t>
        </is>
      </c>
      <c r="F370" s="412" t="inlineStr">
        <is>
          <t>Penalty Rate</t>
        </is>
      </c>
      <c r="G370" s="385" t="inlineStr">
        <is>
          <t>PG_BRONZE</t>
        </is>
      </c>
      <c r="H370" s="386" t="inlineStr">
        <is>
          <t>T24CORE_PD_PAYMENT_DUE_MV</t>
        </is>
      </c>
      <c r="I370" s="386" t="inlineStr">
        <is>
          <t>PENALTY_RATE</t>
        </is>
      </c>
      <c r="J370" s="410" t="inlineStr">
        <is>
          <t>NUMBER</t>
        </is>
      </c>
      <c r="K370" s="408" t="n">
        <v>13.7</v>
      </c>
      <c r="L370" s="412" t="inlineStr">
        <is>
          <t>Lãi suất phạt quá hạn danh nghĩa (Multi-value)</t>
        </is>
      </c>
      <c r="M370" s="412">
        <f>"COMMENT ON COLUMN "&amp;G370&amp;"."&amp;H370&amp;"."&amp;I370&amp;" IS '"&amp;L370&amp;"';"</f>
        <v/>
      </c>
      <c r="N370" s="414" t="inlineStr">
        <is>
          <t>Map 1:1 nguyên bản từ T24CORE.PD_PAYMENT_DUE_MV.PENALTY_RATE sang PG_BRONZE.T24CORE_PD_PAYMENT_DUE_MV.PENALTY_RATE</t>
        </is>
      </c>
    </row>
    <row r="371" ht="41.25" customHeight="1" s="335">
      <c r="A371" s="386" t="inlineStr">
        <is>
          <t>T24CORE</t>
        </is>
      </c>
      <c r="B371" s="386" t="inlineStr">
        <is>
          <t>PD_PAYMENT_DUE_MV</t>
        </is>
      </c>
      <c r="C371" s="386" t="inlineStr">
        <is>
          <t>PE_RATE</t>
        </is>
      </c>
      <c r="D371" s="385" t="inlineStr">
        <is>
          <t>1:1</t>
        </is>
      </c>
      <c r="E371" s="412" t="inlineStr">
        <is>
          <t>Arrangement Rate History</t>
        </is>
      </c>
      <c r="F371" s="412" t="inlineStr">
        <is>
          <t>Penalty Rate</t>
        </is>
      </c>
      <c r="G371" s="385" t="inlineStr">
        <is>
          <t>PG_BRONZE</t>
        </is>
      </c>
      <c r="H371" s="386" t="inlineStr">
        <is>
          <t>T24CORE_PD_PAYMENT_DUE_MV</t>
        </is>
      </c>
      <c r="I371" s="386" t="inlineStr">
        <is>
          <t>PE_RATE</t>
        </is>
      </c>
      <c r="J371" s="410" t="inlineStr">
        <is>
          <t>NUMBER</t>
        </is>
      </c>
      <c r="K371" s="408" t="n">
        <v>13.7</v>
      </c>
      <c r="L371" s="412" t="inlineStr">
        <is>
          <t>Lãi phạt penalty rate</t>
        </is>
      </c>
      <c r="M371" s="412">
        <f>"COMMENT ON COLUMN "&amp;G371&amp;"."&amp;H371&amp;"."&amp;I371&amp;" IS '"&amp;L371&amp;"';"</f>
        <v/>
      </c>
      <c r="N371" s="414" t="inlineStr">
        <is>
          <t>Map 1:1 nguyên bản từ T24CORE.PD_PAYMENT_DUE_MV.PE_RATE sang PG_BRONZE.T24CORE_PD_PAYMENT_DUE_MV.PE_RATE</t>
        </is>
      </c>
    </row>
    <row r="372" ht="41.25" customHeight="1" s="335">
      <c r="A372" s="386" t="inlineStr">
        <is>
          <t>T24CORE</t>
        </is>
      </c>
      <c r="B372" s="386" t="inlineStr">
        <is>
          <t>PD_PAYMENT_DUE_MV</t>
        </is>
      </c>
      <c r="C372" s="386" t="inlineStr">
        <is>
          <t>RECID</t>
        </is>
      </c>
      <c r="D372" s="385" t="inlineStr">
        <is>
          <t>1:1</t>
        </is>
      </c>
      <c r="E372" s="412" t="inlineStr">
        <is>
          <t>Loan Arrangement</t>
        </is>
      </c>
      <c r="F372" s="412" t="inlineStr">
        <is>
          <t>Arrangement Code/Arrangement ID</t>
        </is>
      </c>
      <c r="G372" s="385" t="inlineStr">
        <is>
          <t>PG_BRONZE</t>
        </is>
      </c>
      <c r="H372" s="386" t="inlineStr">
        <is>
          <t>T24CORE_PD_PAYMENT_DUE_MV</t>
        </is>
      </c>
      <c r="I372" s="386" t="inlineStr">
        <is>
          <t>RECID</t>
        </is>
      </c>
      <c r="J372" s="410" t="inlineStr">
        <is>
          <t>VARCHAR2</t>
        </is>
      </c>
      <c r="K372" s="408" t="n">
        <v>100</v>
      </c>
      <c r="L372" s="412" t="inlineStr">
        <is>
          <t>Key bản ghi</t>
        </is>
      </c>
      <c r="M372" s="412">
        <f>"COMMENT ON COLUMN "&amp;G372&amp;"."&amp;H372&amp;"."&amp;I372&amp;" IS '"&amp;L372&amp;"';"</f>
        <v/>
      </c>
      <c r="N372" s="414" t="inlineStr">
        <is>
          <t>Map 1:1 nguyên bản từ T24CORE.PD_PAYMENT_DUE_MV.RECID sang PG_BRONZE.T24CORE_PD_PAYMENT_DUE_MV.RECID</t>
        </is>
      </c>
    </row>
    <row r="373" ht="41.25" customHeight="1" s="335">
      <c r="A373" s="386" t="inlineStr">
        <is>
          <t>T24CORE</t>
        </is>
      </c>
      <c r="B373" s="386" t="inlineStr">
        <is>
          <t>PD_PAYMENT_DUE_MV</t>
        </is>
      </c>
      <c r="C373" s="386" t="inlineStr">
        <is>
          <t>RECORD_STATUS</t>
        </is>
      </c>
      <c r="D373" s="385" t="inlineStr">
        <is>
          <t>1:1</t>
        </is>
      </c>
      <c r="E373" s="412" t="inlineStr">
        <is>
          <t>Arrangement Activity Schedule Item / sk_lich_tra_no</t>
        </is>
      </c>
      <c r="F373" s="412" t="inlineStr">
        <is>
          <t>Record Status</t>
        </is>
      </c>
      <c r="G373" s="385" t="inlineStr">
        <is>
          <t>PG_BRONZE</t>
        </is>
      </c>
      <c r="H373" s="386" t="inlineStr">
        <is>
          <t>T24CORE_PD_PAYMENT_DUE_MV</t>
        </is>
      </c>
      <c r="I373" s="386" t="inlineStr">
        <is>
          <t>RECORD_STATUS</t>
        </is>
      </c>
      <c r="J373" s="410" t="inlineStr">
        <is>
          <t>VARCHAR2</t>
        </is>
      </c>
      <c r="K373" s="408" t="n">
        <v>100</v>
      </c>
      <c r="L373" s="412" t="inlineStr">
        <is>
          <t>Trạng thái bản ghi</t>
        </is>
      </c>
      <c r="M373" s="412">
        <f>"COMMENT ON COLUMN "&amp;G373&amp;"."&amp;H373&amp;"."&amp;I373&amp;" IS '"&amp;L373&amp;"';"</f>
        <v/>
      </c>
      <c r="N373" s="414" t="inlineStr">
        <is>
          <t>Map 1:1 nguyên bản từ T24CORE.PD_PAYMENT_DUE_MV.RECORD_STATUS sang PG_BRONZE.T24CORE_PD_PAYMENT_DUE_MV.RECORD_STATUS</t>
        </is>
      </c>
    </row>
    <row r="374" ht="41.25" customHeight="1" s="335">
      <c r="A374" s="386" t="inlineStr">
        <is>
          <t>T24CORE</t>
        </is>
      </c>
      <c r="B374" s="386" t="inlineStr">
        <is>
          <t>PD_PAYMENT_DUE_MV</t>
        </is>
      </c>
      <c r="C374" s="386" t="inlineStr">
        <is>
          <t>REPAID_AMT</t>
        </is>
      </c>
      <c r="D374" s="385" t="inlineStr">
        <is>
          <t>1:1</t>
        </is>
      </c>
      <c r="E374" s="412" t="inlineStr">
        <is>
          <t>Arrangement Activity Schedule Item / sk_lich_tra_no</t>
        </is>
      </c>
      <c r="F374" s="412" t="inlineStr">
        <is>
          <t>Repaid Amt</t>
        </is>
      </c>
      <c r="G374" s="385" t="inlineStr">
        <is>
          <t>PG_BRONZE</t>
        </is>
      </c>
      <c r="H374" s="386" t="inlineStr">
        <is>
          <t>T24CORE_PD_PAYMENT_DUE_MV</t>
        </is>
      </c>
      <c r="I374" s="386" t="inlineStr">
        <is>
          <t>REPAID_AMT</t>
        </is>
      </c>
      <c r="J374" s="410" t="inlineStr">
        <is>
          <t>NUMBER</t>
        </is>
      </c>
      <c r="K374" s="408" t="n">
        <v>25.5</v>
      </c>
      <c r="L374" s="412" t="inlineStr">
        <is>
          <t>Số tiền đã trả</t>
        </is>
      </c>
      <c r="M374" s="412">
        <f>"COMMENT ON COLUMN "&amp;G374&amp;"."&amp;H374&amp;"."&amp;I374&amp;" IS '"&amp;L374&amp;"';"</f>
        <v/>
      </c>
      <c r="N374" s="414" t="inlineStr">
        <is>
          <t>Map 1:1 nguyên bản từ T24CORE.PD_PAYMENT_DUE_MV.REPAID_AMT sang PG_BRONZE.T24CORE_PD_PAYMENT_DUE_MV.REPAID_AMT</t>
        </is>
      </c>
    </row>
    <row r="375" ht="41.25" customHeight="1" s="335">
      <c r="A375" s="386" t="inlineStr">
        <is>
          <t>T24CORE</t>
        </is>
      </c>
      <c r="B375" s="386" t="inlineStr">
        <is>
          <t>PD_PAYMENT_DUE_MV</t>
        </is>
      </c>
      <c r="C375" s="386" t="inlineStr">
        <is>
          <t>REPAYMENT_ACCT</t>
        </is>
      </c>
      <c r="D375" s="385" t="inlineStr">
        <is>
          <t>1:1</t>
        </is>
      </c>
      <c r="E375" s="412" t="inlineStr">
        <is>
          <t>Loan Arrangement Profile</t>
        </is>
      </c>
      <c r="F375" s="412" t="inlineStr">
        <is>
          <t>Interest Liquid Arrangement Code /Interest Liquid Arrangement Id</t>
        </is>
      </c>
      <c r="G375" s="385" t="inlineStr">
        <is>
          <t>PG_BRONZE</t>
        </is>
      </c>
      <c r="H375" s="386" t="inlineStr">
        <is>
          <t>T24CORE_PD_PAYMENT_DUE_MV</t>
        </is>
      </c>
      <c r="I375" s="386" t="inlineStr">
        <is>
          <t>REPAYMENT_ACCT</t>
        </is>
      </c>
      <c r="J375" s="410" t="inlineStr">
        <is>
          <t>VARCHAR2</t>
        </is>
      </c>
      <c r="K375" s="408" t="n">
        <v>100</v>
      </c>
      <c r="L375" s="412" t="inlineStr">
        <is>
          <t>Số tài khoản thanh toán</t>
        </is>
      </c>
      <c r="M375" s="412">
        <f>"COMMENT ON COLUMN "&amp;G375&amp;"."&amp;H375&amp;"."&amp;I375&amp;" IS '"&amp;L375&amp;"';"</f>
        <v/>
      </c>
      <c r="N375" s="414" t="inlineStr">
        <is>
          <t>Map 1:1 nguyên bản từ T24CORE.PD_PAYMENT_DUE_MV.REPAYMENT_ACCT sang PG_BRONZE.T24CORE_PD_PAYMENT_DUE_MV.REPAYMENT_ACCT</t>
        </is>
      </c>
    </row>
    <row r="376" ht="27" customHeight="1" s="335">
      <c r="A376" s="386" t="inlineStr">
        <is>
          <t>T24CORE</t>
        </is>
      </c>
      <c r="B376" s="386" t="inlineStr">
        <is>
          <t>SECTOR</t>
        </is>
      </c>
      <c r="C376" s="386" t="inlineStr">
        <is>
          <t>CUSTOMER_TYPE</t>
        </is>
      </c>
      <c r="D376" s="385" t="inlineStr">
        <is>
          <t>1:1</t>
        </is>
      </c>
      <c r="E376" s="412" t="inlineStr">
        <is>
          <t>Customer / sk_lich_tra_no / sk_lich_tra_no</t>
        </is>
      </c>
      <c r="F376" s="412" t="inlineStr">
        <is>
          <t>Customer Type</t>
        </is>
      </c>
      <c r="G376" s="385" t="inlineStr">
        <is>
          <t>PG_BRONZE</t>
        </is>
      </c>
      <c r="H376" s="386" t="inlineStr">
        <is>
          <t>T24CORE_SECTOR</t>
        </is>
      </c>
      <c r="I376" s="386" t="inlineStr">
        <is>
          <t>CUSTOMER_TYPE</t>
        </is>
      </c>
      <c r="J376" s="410" t="inlineStr">
        <is>
          <t>VARCHAR2</t>
        </is>
      </c>
      <c r="K376" s="408" t="n">
        <v>100</v>
      </c>
      <c r="L376" s="412" t="inlineStr">
        <is>
          <t>Loại khách hàng</t>
        </is>
      </c>
      <c r="M376" s="412">
        <f>"COMMENT ON COLUMN "&amp;G376&amp;"."&amp;H376&amp;"."&amp;I376&amp;" IS '"&amp;L376&amp;"';"</f>
        <v/>
      </c>
      <c r="N376" s="414" t="inlineStr">
        <is>
          <t>Map 1:1 nguyên bản từ T24CORE.SECTOR.CUSTOMER_TYPE sang PG_BRONZE.T24CORE_SECTOR.CUSTOMER_TYPE</t>
        </is>
      </c>
    </row>
    <row r="377" ht="27" customHeight="1" s="335">
      <c r="A377" s="386" t="inlineStr">
        <is>
          <t>T24CORE</t>
        </is>
      </c>
      <c r="B377" s="386" t="inlineStr">
        <is>
          <t>SECTOR</t>
        </is>
      </c>
      <c r="C377" s="386" t="inlineStr">
        <is>
          <t>RECID</t>
        </is>
      </c>
      <c r="D377" s="385" t="inlineStr">
        <is>
          <t>1:1</t>
        </is>
      </c>
      <c r="E377" s="412" t="inlineStr">
        <is>
          <t>Customer / sk_lich_tra_no / sk_lich_tra_no</t>
        </is>
      </c>
      <c r="F377" s="412" t="inlineStr">
        <is>
          <t>Recid</t>
        </is>
      </c>
      <c r="G377" s="385" t="inlineStr">
        <is>
          <t>PG_BRONZE</t>
        </is>
      </c>
      <c r="H377" s="386" t="inlineStr">
        <is>
          <t>T24CORE_SECTOR</t>
        </is>
      </c>
      <c r="I377" s="386" t="inlineStr">
        <is>
          <t>RECID</t>
        </is>
      </c>
      <c r="J377" s="410" t="inlineStr">
        <is>
          <t>VARCHAR2</t>
        </is>
      </c>
      <c r="K377" s="408" t="n">
        <v>100</v>
      </c>
      <c r="L377" s="412" t="inlineStr">
        <is>
          <t>Mã định danh</t>
        </is>
      </c>
      <c r="M377" s="412">
        <f>"COMMENT ON COLUMN "&amp;G377&amp;"."&amp;H377&amp;"."&amp;I377&amp;" IS '"&amp;L377&amp;"';"</f>
        <v/>
      </c>
      <c r="N377" s="414" t="inlineStr">
        <is>
          <t>Map 1:1 nguyên bản từ T24CORE.SECTOR.RECID sang PG_BRONZE.T24CORE_SECTOR.RECID</t>
        </is>
      </c>
    </row>
    <row r="378" ht="41.25" customHeight="1" s="335">
      <c r="A378" s="386" t="inlineStr">
        <is>
          <t>T24CORE</t>
        </is>
      </c>
      <c r="B378" s="386" t="inlineStr">
        <is>
          <t>STMT_ENTRY</t>
        </is>
      </c>
      <c r="C378" s="386" t="inlineStr">
        <is>
          <t>ACCOUNTING_DATE</t>
        </is>
      </c>
      <c r="D378" s="385" t="inlineStr">
        <is>
          <t>1:1</t>
        </is>
      </c>
      <c r="E378" s="412" t="inlineStr">
        <is>
          <t>Posting Entry</t>
        </is>
      </c>
      <c r="F378" s="412" t="inlineStr">
        <is>
          <t>Accounting Date</t>
        </is>
      </c>
      <c r="G378" s="385" t="inlineStr">
        <is>
          <t>PG_BRONZE</t>
        </is>
      </c>
      <c r="H378" s="386" t="inlineStr">
        <is>
          <t>T24CORE_STMT_ENTRY</t>
        </is>
      </c>
      <c r="I378" s="386" t="inlineStr">
        <is>
          <t>ACCOUNTING_DATE</t>
        </is>
      </c>
      <c r="J378" s="410" t="inlineStr">
        <is>
          <t>DATE</t>
        </is>
      </c>
      <c r="K378" s="408" t="n">
        <v>8</v>
      </c>
      <c r="L378" s="412" t="inlineStr">
        <is>
          <t>Ngày hạch toán</t>
        </is>
      </c>
      <c r="M378" s="412">
        <f>"COMMENT ON COLUMN "&amp;G378&amp;"."&amp;H378&amp;"."&amp;I378&amp;" IS '"&amp;L378&amp;"';"</f>
        <v/>
      </c>
      <c r="N378" s="414" t="inlineStr">
        <is>
          <t>Map 1:1 nguyên bản từ T24CORE.STMT_ENTRY.ACCOUNTING_DATE sang PG_BRONZE.T24CORE_STMT_ENTRY.ACCOUNTING_DATE</t>
        </is>
      </c>
    </row>
    <row r="379" ht="41.25" customHeight="1" s="335">
      <c r="A379" s="386" t="inlineStr">
        <is>
          <t>T24CORE</t>
        </is>
      </c>
      <c r="B379" s="386" t="inlineStr">
        <is>
          <t>STMT_ENTRY</t>
        </is>
      </c>
      <c r="C379" s="386" t="inlineStr">
        <is>
          <t>ACCOUNT_NUMBER</t>
        </is>
      </c>
      <c r="D379" s="385" t="inlineStr">
        <is>
          <t>1:1</t>
        </is>
      </c>
      <c r="E379" s="412" t="inlineStr">
        <is>
          <t>Posting Entry</t>
        </is>
      </c>
      <c r="F379" s="412" t="inlineStr">
        <is>
          <t>Account Number</t>
        </is>
      </c>
      <c r="G379" s="385" t="inlineStr">
        <is>
          <t>PG_BRONZE</t>
        </is>
      </c>
      <c r="H379" s="386" t="inlineStr">
        <is>
          <t>T24CORE_STMT_ENTRY</t>
        </is>
      </c>
      <c r="I379" s="386" t="inlineStr">
        <is>
          <t>ACCOUNT_NUMBER</t>
        </is>
      </c>
      <c r="J379" s="410" t="inlineStr">
        <is>
          <t>VARCHAR2</t>
        </is>
      </c>
      <c r="K379" s="408" t="n">
        <v>100</v>
      </c>
      <c r="L379" s="412" t="inlineStr">
        <is>
          <t>Số tài khoản liên quan</t>
        </is>
      </c>
      <c r="M379" s="412">
        <f>"COMMENT ON COLUMN "&amp;G379&amp;"."&amp;H379&amp;"."&amp;I379&amp;" IS '"&amp;L379&amp;"';"</f>
        <v/>
      </c>
      <c r="N379" s="414" t="inlineStr">
        <is>
          <t>Map 1:1 nguyên bản từ T24CORE.STMT_ENTRY.ACCOUNT_NUMBER sang PG_BRONZE.T24CORE_STMT_ENTRY.ACCOUNT_NUMBER</t>
        </is>
      </c>
    </row>
    <row r="380" ht="41.25" customHeight="1" s="335">
      <c r="A380" s="386" t="inlineStr">
        <is>
          <t>T24CORE</t>
        </is>
      </c>
      <c r="B380" s="386" t="inlineStr">
        <is>
          <t>STMT_ENTRY</t>
        </is>
      </c>
      <c r="C380" s="386" t="inlineStr">
        <is>
          <t>ACCT_ID</t>
        </is>
      </c>
      <c r="D380" s="385" t="inlineStr">
        <is>
          <t>1:1</t>
        </is>
      </c>
      <c r="E380" s="412" t="inlineStr">
        <is>
          <t>Posting Entry</t>
        </is>
      </c>
      <c r="F380" s="412" t="inlineStr">
        <is>
          <t>Account Id</t>
        </is>
      </c>
      <c r="G380" s="385" t="inlineStr">
        <is>
          <t>PG_BRONZE</t>
        </is>
      </c>
      <c r="H380" s="386" t="inlineStr">
        <is>
          <t>T24CORE_STMT_ENTRY</t>
        </is>
      </c>
      <c r="I380" s="386" t="inlineStr">
        <is>
          <t>ACCT_ID</t>
        </is>
      </c>
      <c r="J380" s="410" t="inlineStr">
        <is>
          <t>VARCHAR2</t>
        </is>
      </c>
      <c r="K380" s="408" t="n">
        <v>100</v>
      </c>
      <c r="L380" s="412" t="inlineStr">
        <is>
          <t>Maã định danh tài khoản</t>
        </is>
      </c>
      <c r="M380" s="412">
        <f>"COMMENT ON COLUMN "&amp;G380&amp;"."&amp;H380&amp;"."&amp;I380&amp;" IS '"&amp;L380&amp;"';"</f>
        <v/>
      </c>
      <c r="N380" s="414" t="inlineStr">
        <is>
          <t>Map 1:1 nguyên bản từ T24CORE.STMT_ENTRY.ACCT_ID sang PG_BRONZE.T24CORE_STMT_ENTRY.ACCT_ID</t>
        </is>
      </c>
    </row>
    <row r="381" ht="41.25" customHeight="1" s="335">
      <c r="A381" s="386" t="inlineStr">
        <is>
          <t>T24CORE</t>
        </is>
      </c>
      <c r="B381" s="386" t="inlineStr">
        <is>
          <t>STMT_ENTRY</t>
        </is>
      </c>
      <c r="C381" s="386" t="inlineStr">
        <is>
          <t>AMOUNT_FCY</t>
        </is>
      </c>
      <c r="D381" s="385" t="inlineStr">
        <is>
          <t>1:1</t>
        </is>
      </c>
      <c r="E381" s="412" t="inlineStr">
        <is>
          <t>Posting Entry</t>
        </is>
      </c>
      <c r="F381" s="412" t="inlineStr">
        <is>
          <t>Posting Entry Amount FCY</t>
        </is>
      </c>
      <c r="G381" s="385" t="inlineStr">
        <is>
          <t>PG_BRONZE</t>
        </is>
      </c>
      <c r="H381" s="386" t="inlineStr">
        <is>
          <t>T24CORE_STMT_ENTRY</t>
        </is>
      </c>
      <c r="I381" s="386" t="inlineStr">
        <is>
          <t>AMOUNT_FCY</t>
        </is>
      </c>
      <c r="J381" s="410" t="inlineStr">
        <is>
          <t>NUMBER</t>
        </is>
      </c>
      <c r="K381" s="408" t="n">
        <v>25.5</v>
      </c>
      <c r="L381" s="412" t="inlineStr">
        <is>
          <t>Dư nợ nguyên tệ</t>
        </is>
      </c>
      <c r="M381" s="412">
        <f>"COMMENT ON COLUMN "&amp;G381&amp;"."&amp;H381&amp;"."&amp;I381&amp;" IS '"&amp;L381&amp;"';"</f>
        <v/>
      </c>
      <c r="N381" s="414" t="inlineStr">
        <is>
          <t>Map 1:1 nguyên bản từ T24CORE.STMT_ENTRY.AMOUNT_FCY sang PG_BRONZE.T24CORE_STMT_ENTRY.AMOUNT_FCY</t>
        </is>
      </c>
    </row>
    <row r="382" ht="41.25" customHeight="1" s="335">
      <c r="A382" s="386" t="inlineStr">
        <is>
          <t>T24CORE</t>
        </is>
      </c>
      <c r="B382" s="386" t="inlineStr">
        <is>
          <t>STMT_ENTRY</t>
        </is>
      </c>
      <c r="C382" s="386" t="inlineStr">
        <is>
          <t>AMOUNT_LCY</t>
        </is>
      </c>
      <c r="D382" s="385" t="inlineStr">
        <is>
          <t>1:1</t>
        </is>
      </c>
      <c r="E382" s="412" t="inlineStr">
        <is>
          <t>Posting Entry</t>
        </is>
      </c>
      <c r="F382" s="412" t="inlineStr">
        <is>
          <t>Posting Entry Amount LCY</t>
        </is>
      </c>
      <c r="G382" s="385" t="inlineStr">
        <is>
          <t>PG_BRONZE</t>
        </is>
      </c>
      <c r="H382" s="386" t="inlineStr">
        <is>
          <t>T24CORE_STMT_ENTRY</t>
        </is>
      </c>
      <c r="I382" s="386" t="inlineStr">
        <is>
          <t>AMOUNT_LCY</t>
        </is>
      </c>
      <c r="J382" s="410" t="inlineStr">
        <is>
          <t>NUMBER</t>
        </is>
      </c>
      <c r="K382" s="408" t="n">
        <v>25.5</v>
      </c>
      <c r="L382" s="412" t="inlineStr">
        <is>
          <t>Dư nợ quy đổi</t>
        </is>
      </c>
      <c r="M382" s="412">
        <f>"COMMENT ON COLUMN "&amp;G382&amp;"."&amp;H382&amp;"."&amp;I382&amp;" IS '"&amp;L382&amp;"';"</f>
        <v/>
      </c>
      <c r="N382" s="414" t="inlineStr">
        <is>
          <t>Map 1:1 nguyên bản từ T24CORE.STMT_ENTRY.AMOUNT_LCY sang PG_BRONZE.T24CORE_STMT_ENTRY.AMOUNT_LCY</t>
        </is>
      </c>
    </row>
    <row r="383" ht="41.25" customHeight="1" s="335">
      <c r="A383" s="386" t="inlineStr">
        <is>
          <t>T24CORE</t>
        </is>
      </c>
      <c r="B383" s="386" t="inlineStr">
        <is>
          <t>STMT_ENTRY</t>
        </is>
      </c>
      <c r="C383" s="386" t="inlineStr">
        <is>
          <t>BALANCE_TYPE</t>
        </is>
      </c>
      <c r="D383" s="385" t="inlineStr">
        <is>
          <t>1:1</t>
        </is>
      </c>
      <c r="E383" s="412" t="inlineStr">
        <is>
          <t>Posting Entry</t>
        </is>
      </c>
      <c r="F383" s="412" t="inlineStr">
        <is>
          <t>Balance Type</t>
        </is>
      </c>
      <c r="G383" s="385" t="inlineStr">
        <is>
          <t>PG_BRONZE</t>
        </is>
      </c>
      <c r="H383" s="386" t="inlineStr">
        <is>
          <t>T24CORE_STMT_ENTRY</t>
        </is>
      </c>
      <c r="I383" s="386" t="inlineStr">
        <is>
          <t>BALANCE_TYPE</t>
        </is>
      </c>
      <c r="J383" s="410" t="inlineStr">
        <is>
          <t>VARCHAR2</t>
        </is>
      </c>
      <c r="K383" s="408" t="n">
        <v>20</v>
      </c>
      <c r="L383" s="412" t="inlineStr">
        <is>
          <t>Loại bút toán</t>
        </is>
      </c>
      <c r="M383" s="412">
        <f>"COMMENT ON COLUMN "&amp;G383&amp;"."&amp;H383&amp;"."&amp;I383&amp;" IS '"&amp;L383&amp;"';"</f>
        <v/>
      </c>
      <c r="N383" s="414" t="inlineStr">
        <is>
          <t>Map 1:1 nguyên bản từ T24CORE.STMT_ENTRY.BALANCE_TYPE sang PG_BRONZE.T24CORE_STMT_ENTRY.BALANCE_TYPE</t>
        </is>
      </c>
    </row>
    <row r="384" ht="41.25" customHeight="1" s="335">
      <c r="A384" s="386" t="inlineStr">
        <is>
          <t>T24CORE</t>
        </is>
      </c>
      <c r="B384" s="386" t="inlineStr">
        <is>
          <t>STMT_ENTRY</t>
        </is>
      </c>
      <c r="C384" s="386" t="inlineStr">
        <is>
          <t>BOOKING_DATE</t>
        </is>
      </c>
      <c r="D384" s="385" t="inlineStr">
        <is>
          <t>1:1</t>
        </is>
      </c>
      <c r="E384" s="412" t="inlineStr">
        <is>
          <t>Posting Entry</t>
        </is>
      </c>
      <c r="F384" s="412" t="inlineStr">
        <is>
          <t>Posting Date</t>
        </is>
      </c>
      <c r="G384" s="385" t="inlineStr">
        <is>
          <t>PG_BRONZE</t>
        </is>
      </c>
      <c r="H384" s="386" t="inlineStr">
        <is>
          <t>T24CORE_STMT_ENTRY</t>
        </is>
      </c>
      <c r="I384" s="386" t="inlineStr">
        <is>
          <t>BOOKING_DATE</t>
        </is>
      </c>
      <c r="J384" s="410" t="inlineStr">
        <is>
          <t>DATE</t>
        </is>
      </c>
      <c r="K384" s="408" t="n">
        <v>8</v>
      </c>
      <c r="L384" s="412" t="inlineStr">
        <is>
          <t>Ngay but toan ghi nhan vao he thong</t>
        </is>
      </c>
      <c r="M384" s="412">
        <f>"COMMENT ON COLUMN "&amp;G384&amp;"."&amp;H384&amp;"."&amp;I384&amp;" IS '"&amp;L384&amp;"';"</f>
        <v/>
      </c>
      <c r="N384" s="414" t="inlineStr">
        <is>
          <t>Map 1:1 nguyên bản từ T24CORE.STMT_ENTRY.BOOKING_DATE sang PG_BRONZE.T24CORE_STMT_ENTRY.BOOKING_DATE</t>
        </is>
      </c>
    </row>
    <row r="385" ht="27" customHeight="1" s="335">
      <c r="A385" s="386" t="inlineStr">
        <is>
          <t>T24CORE</t>
        </is>
      </c>
      <c r="B385" s="386" t="inlineStr">
        <is>
          <t>STMT_ENTRY</t>
        </is>
      </c>
      <c r="C385" s="386" t="inlineStr">
        <is>
          <t>CARD_NUMBER</t>
        </is>
      </c>
      <c r="D385" s="385" t="inlineStr">
        <is>
          <t>1:1</t>
        </is>
      </c>
      <c r="E385" s="412" t="inlineStr">
        <is>
          <t>Posting Entry</t>
        </is>
      </c>
      <c r="F385" s="412" t="inlineStr">
        <is>
          <t>Card Number</t>
        </is>
      </c>
      <c r="G385" s="385" t="inlineStr">
        <is>
          <t>PG_BRONZE</t>
        </is>
      </c>
      <c r="H385" s="386" t="inlineStr">
        <is>
          <t>T24CORE_STMT_ENTRY</t>
        </is>
      </c>
      <c r="I385" s="386" t="inlineStr">
        <is>
          <t>CARD_NUMBER</t>
        </is>
      </c>
      <c r="J385" s="410" t="inlineStr">
        <is>
          <t>VARCHAR2</t>
        </is>
      </c>
      <c r="K385" s="408" t="n">
        <v>100</v>
      </c>
      <c r="L385" s="412" t="inlineStr">
        <is>
          <t>Số thẻ</t>
        </is>
      </c>
      <c r="M385" s="412">
        <f>"COMMENT ON COLUMN "&amp;G385&amp;"."&amp;H385&amp;"."&amp;I385&amp;" IS '"&amp;L385&amp;"';"</f>
        <v/>
      </c>
      <c r="N385" s="414" t="inlineStr">
        <is>
          <t>Map 1:1 nguyên bản từ T24CORE.STMT_ENTRY.CARD_NUMBER sang PG_BRONZE.T24CORE_STMT_ENTRY.CARD_NUMBER</t>
        </is>
      </c>
    </row>
    <row r="386" ht="41.25" customHeight="1" s="335">
      <c r="A386" s="386" t="inlineStr">
        <is>
          <t>T24CORE</t>
        </is>
      </c>
      <c r="B386" s="386" t="inlineStr">
        <is>
          <t>STMT_ENTRY</t>
        </is>
      </c>
      <c r="C386" s="386" t="inlineStr">
        <is>
          <t>COMMIT_ACTION</t>
        </is>
      </c>
      <c r="D386" s="385" t="inlineStr">
        <is>
          <t>1:1</t>
        </is>
      </c>
      <c r="E386" s="412" t="inlineStr">
        <is>
          <t>Posting Entry</t>
        </is>
      </c>
      <c r="F386" s="412" t="inlineStr">
        <is>
          <t>Commit Action</t>
        </is>
      </c>
      <c r="G386" s="385" t="inlineStr">
        <is>
          <t>PG_BRONZE</t>
        </is>
      </c>
      <c r="H386" s="386" t="inlineStr">
        <is>
          <t>T24CORE_STMT_ENTRY</t>
        </is>
      </c>
      <c r="I386" s="386" t="inlineStr">
        <is>
          <t>COMMIT_ACTION</t>
        </is>
      </c>
      <c r="J386" s="410" t="inlineStr">
        <is>
          <t>VARCHAR2</t>
        </is>
      </c>
      <c r="K386" s="408" t="n">
        <v>100</v>
      </c>
      <c r="L386" s="412" t="inlineStr">
        <is>
          <t>Trường kỹ thuật đánh dấu bản ghi IUD</t>
        </is>
      </c>
      <c r="M386" s="412">
        <f>"COMMENT ON COLUMN "&amp;G386&amp;"."&amp;H386&amp;"."&amp;I386&amp;" IS '"&amp;L386&amp;"';"</f>
        <v/>
      </c>
      <c r="N386" s="414" t="inlineStr">
        <is>
          <t>Map 1:1 nguyên bản từ T24CORE.STMT_ENTRY.COMMIT_ACTION sang PG_BRONZE.T24CORE_STMT_ENTRY.COMMIT_ACTION</t>
        </is>
      </c>
    </row>
    <row r="387" ht="41.25" customHeight="1" s="335">
      <c r="A387" s="386" t="inlineStr">
        <is>
          <t>T24CORE</t>
        </is>
      </c>
      <c r="B387" s="386" t="inlineStr">
        <is>
          <t>STMT_ENTRY</t>
        </is>
      </c>
      <c r="C387" s="386" t="inlineStr">
        <is>
          <t>COMMIT_TS</t>
        </is>
      </c>
      <c r="D387" s="385" t="inlineStr">
        <is>
          <t>1:1</t>
        </is>
      </c>
      <c r="E387" s="412" t="inlineStr">
        <is>
          <t>Posting Entry</t>
        </is>
      </c>
      <c r="F387" s="412" t="inlineStr">
        <is>
          <t>Commit Timestamp</t>
        </is>
      </c>
      <c r="G387" s="385" t="inlineStr">
        <is>
          <t>PG_BRONZE</t>
        </is>
      </c>
      <c r="H387" s="386" t="inlineStr">
        <is>
          <t>T24CORE_STMT_ENTRY</t>
        </is>
      </c>
      <c r="I387" s="386" t="inlineStr">
        <is>
          <t>COMMIT_TS</t>
        </is>
      </c>
      <c r="J387" s="410" t="inlineStr">
        <is>
          <t>TIMESTAMP</t>
        </is>
      </c>
      <c r="K387" s="408" t="n">
        <v>11</v>
      </c>
      <c r="L387" s="412" t="inlineStr">
        <is>
          <t>Thời điểm ghi nhận commit giao dịch trên Core T24</t>
        </is>
      </c>
      <c r="M387" s="412">
        <f>"COMMENT ON COLUMN "&amp;G387&amp;"."&amp;H387&amp;"."&amp;I387&amp;" IS '"&amp;L387&amp;"';"</f>
        <v/>
      </c>
      <c r="N387" s="414" t="inlineStr">
        <is>
          <t>Map 1:1 nguyên bản từ T24CORE.STMT_ENTRY.COMMIT_TS sang PG_BRONZE.T24CORE_STMT_ENTRY.COMMIT_TS</t>
        </is>
      </c>
    </row>
    <row r="388" ht="41.25" customHeight="1" s="335">
      <c r="A388" s="386" t="inlineStr">
        <is>
          <t>T24CORE</t>
        </is>
      </c>
      <c r="B388" s="386" t="inlineStr">
        <is>
          <t>STMT_ENTRY</t>
        </is>
      </c>
      <c r="C388" s="386" t="inlineStr">
        <is>
          <t>COMPANY_CODE</t>
        </is>
      </c>
      <c r="D388" s="385" t="inlineStr">
        <is>
          <t>1:1</t>
        </is>
      </c>
      <c r="E388" s="412" t="inlineStr">
        <is>
          <t>Posting Entry</t>
        </is>
      </c>
      <c r="F388" s="412" t="inlineStr">
        <is>
          <t>Organization Unit Code</t>
        </is>
      </c>
      <c r="G388" s="385" t="inlineStr">
        <is>
          <t>PG_BRONZE</t>
        </is>
      </c>
      <c r="H388" s="386" t="inlineStr">
        <is>
          <t>T24CORE_STMT_ENTRY</t>
        </is>
      </c>
      <c r="I388" s="386" t="inlineStr">
        <is>
          <t>COMPANY_CODE</t>
        </is>
      </c>
      <c r="J388" s="410" t="inlineStr">
        <is>
          <t>VARCHAR2</t>
        </is>
      </c>
      <c r="K388" s="408" t="n">
        <v>100</v>
      </c>
      <c r="L388" s="412" t="inlineStr">
        <is>
          <t>Mã chi nhánh hạch toán</t>
        </is>
      </c>
      <c r="M388" s="412">
        <f>"COMMENT ON COLUMN "&amp;G388&amp;"."&amp;H388&amp;"."&amp;I388&amp;" IS '"&amp;L388&amp;"';"</f>
        <v/>
      </c>
      <c r="N388" s="414" t="inlineStr">
        <is>
          <t>Map 1:1 nguyên bản từ T24CORE.STMT_ENTRY.COMPANY_CODE sang PG_BRONZE.T24CORE_STMT_ENTRY.COMPANY_CODE</t>
        </is>
      </c>
    </row>
    <row r="389" ht="41.25" customHeight="1" s="335">
      <c r="A389" s="386" t="inlineStr">
        <is>
          <t>T24CORE</t>
        </is>
      </c>
      <c r="B389" s="386" t="inlineStr">
        <is>
          <t>STMT_ENTRY</t>
        </is>
      </c>
      <c r="C389" s="386" t="inlineStr">
        <is>
          <t>CONSOL_KEY</t>
        </is>
      </c>
      <c r="D389" s="385" t="inlineStr">
        <is>
          <t>1:1</t>
        </is>
      </c>
      <c r="E389" s="412" t="inlineStr">
        <is>
          <t>Posting Entry</t>
        </is>
      </c>
      <c r="F389" s="412" t="inlineStr">
        <is>
          <t>Consolidate Key</t>
        </is>
      </c>
      <c r="G389" s="385" t="inlineStr">
        <is>
          <t>PG_BRONZE</t>
        </is>
      </c>
      <c r="H389" s="386" t="inlineStr">
        <is>
          <t>T24CORE_STMT_ENTRY</t>
        </is>
      </c>
      <c r="I389" s="386" t="inlineStr">
        <is>
          <t>CONSOL_KEY</t>
        </is>
      </c>
      <c r="J389" s="410" t="inlineStr">
        <is>
          <t>VARCHAR2</t>
        </is>
      </c>
      <c r="K389" s="408" t="n">
        <v>100</v>
      </c>
      <c r="L389" s="412" t="inlineStr">
        <is>
          <t>Consol key của bút toán STMT</t>
        </is>
      </c>
      <c r="M389" s="412">
        <f>"COMMENT ON COLUMN "&amp;G389&amp;"."&amp;H389&amp;"."&amp;I389&amp;" IS '"&amp;L389&amp;"';"</f>
        <v/>
      </c>
      <c r="N389" s="414" t="inlineStr">
        <is>
          <t>Map 1:1 nguyên bản từ T24CORE.STMT_ENTRY.CONSOL_KEY sang PG_BRONZE.T24CORE_STMT_ENTRY.CONSOL_KEY</t>
        </is>
      </c>
    </row>
    <row r="390" ht="41.25" customHeight="1" s="335">
      <c r="A390" s="386" t="inlineStr">
        <is>
          <t>T24CORE</t>
        </is>
      </c>
      <c r="B390" s="386" t="inlineStr">
        <is>
          <t>STMT_ENTRY</t>
        </is>
      </c>
      <c r="C390" s="386" t="inlineStr">
        <is>
          <t>CRF_PROD_CAT</t>
        </is>
      </c>
      <c r="D390" s="385" t="inlineStr">
        <is>
          <t>1:1</t>
        </is>
      </c>
      <c r="E390" s="412" t="inlineStr">
        <is>
          <t>Posting Entry</t>
        </is>
      </c>
      <c r="F390" s="412" t="inlineStr">
        <is>
          <t>Category Product Code</t>
        </is>
      </c>
      <c r="G390" s="385" t="inlineStr">
        <is>
          <t>PG_BRONZE</t>
        </is>
      </c>
      <c r="H390" s="386" t="inlineStr">
        <is>
          <t>T24CORE_STMT_ENTRY</t>
        </is>
      </c>
      <c r="I390" s="386" t="inlineStr">
        <is>
          <t>CRF_PROD_CAT</t>
        </is>
      </c>
      <c r="J390" s="410" t="inlineStr">
        <is>
          <t>VARCHAR2</t>
        </is>
      </c>
      <c r="K390" s="408" t="n">
        <v>100</v>
      </c>
      <c r="L390" s="412" t="inlineStr">
        <is>
          <t>Mã Category phân loại bút toán</t>
        </is>
      </c>
      <c r="M390" s="412">
        <f>"COMMENT ON COLUMN "&amp;G390&amp;"."&amp;H390&amp;"."&amp;I390&amp;" IS '"&amp;L390&amp;"';"</f>
        <v/>
      </c>
      <c r="N390" s="414" t="inlineStr">
        <is>
          <t>Map 1:1 nguyên bản từ T24CORE.STMT_ENTRY.CRF_PROD_CAT sang PG_BRONZE.T24CORE_STMT_ENTRY.CRF_PROD_CAT</t>
        </is>
      </c>
    </row>
    <row r="391" ht="41.25" customHeight="1" s="335">
      <c r="A391" s="386" t="inlineStr">
        <is>
          <t>T24CORE</t>
        </is>
      </c>
      <c r="B391" s="386" t="inlineStr">
        <is>
          <t>STMT_ENTRY</t>
        </is>
      </c>
      <c r="C391" s="386" t="inlineStr">
        <is>
          <t>CRF_TYPE</t>
        </is>
      </c>
      <c r="D391" s="385" t="inlineStr">
        <is>
          <t>1:1</t>
        </is>
      </c>
      <c r="E391" s="412" t="inlineStr">
        <is>
          <t>Posting Entry</t>
        </is>
      </c>
      <c r="F391" s="412" t="inlineStr">
        <is>
          <t>Accounting Credit Debit Flag</t>
        </is>
      </c>
      <c r="G391" s="385" t="inlineStr">
        <is>
          <t>PG_BRONZE</t>
        </is>
      </c>
      <c r="H391" s="386" t="inlineStr">
        <is>
          <t>T24CORE_STMT_ENTRY</t>
        </is>
      </c>
      <c r="I391" s="386" t="inlineStr">
        <is>
          <t>CRF_TYPE</t>
        </is>
      </c>
      <c r="J391" s="410" t="inlineStr">
        <is>
          <t>VARCHAR2</t>
        </is>
      </c>
      <c r="K391" s="408" t="n">
        <v>100</v>
      </c>
      <c r="L391" s="412" t="inlineStr">
        <is>
          <t>Cờ đánh dấu ghi nợ/ghi có</t>
        </is>
      </c>
      <c r="M391" s="412">
        <f>"COMMENT ON COLUMN "&amp;G391&amp;"."&amp;H391&amp;"."&amp;I391&amp;" IS '"&amp;L391&amp;"';"</f>
        <v/>
      </c>
      <c r="N391" s="414" t="inlineStr">
        <is>
          <t>Map 1:1 nguyên bản từ T24CORE.STMT_ENTRY.CRF_TYPE sang PG_BRONZE.T24CORE_STMT_ENTRY.CRF_TYPE</t>
        </is>
      </c>
    </row>
    <row r="392" ht="41.25" customHeight="1" s="335">
      <c r="A392" s="386" t="inlineStr">
        <is>
          <t>T24CORE</t>
        </is>
      </c>
      <c r="B392" s="386" t="inlineStr">
        <is>
          <t>STMT_ENTRY</t>
        </is>
      </c>
      <c r="C392" s="386" t="inlineStr">
        <is>
          <t>CURRENCY</t>
        </is>
      </c>
      <c r="D392" s="385" t="inlineStr">
        <is>
          <t>1:1</t>
        </is>
      </c>
      <c r="E392" s="412" t="inlineStr">
        <is>
          <t>Posting Entry</t>
        </is>
      </c>
      <c r="F392" s="412" t="inlineStr">
        <is>
          <t>Currency Code</t>
        </is>
      </c>
      <c r="G392" s="385" t="inlineStr">
        <is>
          <t>PG_BRONZE</t>
        </is>
      </c>
      <c r="H392" s="386" t="inlineStr">
        <is>
          <t>T24CORE_STMT_ENTRY</t>
        </is>
      </c>
      <c r="I392" s="386" t="inlineStr">
        <is>
          <t>CURRENCY</t>
        </is>
      </c>
      <c r="J392" s="410" t="inlineStr">
        <is>
          <t>VARCHAR2</t>
        </is>
      </c>
      <c r="K392" s="408" t="n">
        <v>100</v>
      </c>
      <c r="L392" s="412" t="inlineStr">
        <is>
          <t>Loai tien but toan</t>
        </is>
      </c>
      <c r="M392" s="412">
        <f>"COMMENT ON COLUMN "&amp;G392&amp;"."&amp;H392&amp;"."&amp;I392&amp;" IS '"&amp;L392&amp;"';"</f>
        <v/>
      </c>
      <c r="N392" s="414" t="inlineStr">
        <is>
          <t>Map 1:1 nguyên bản từ T24CORE.STMT_ENTRY.CURRENCY sang PG_BRONZE.T24CORE_STMT_ENTRY.CURRENCY</t>
        </is>
      </c>
    </row>
    <row r="393" ht="41.25" customHeight="1" s="335">
      <c r="A393" s="386" t="inlineStr">
        <is>
          <t>T24CORE</t>
        </is>
      </c>
      <c r="B393" s="386" t="inlineStr">
        <is>
          <t>STMT_ENTRY</t>
        </is>
      </c>
      <c r="C393" s="386" t="inlineStr">
        <is>
          <t>CURR_NO</t>
        </is>
      </c>
      <c r="D393" s="385" t="inlineStr">
        <is>
          <t>1:1</t>
        </is>
      </c>
      <c r="E393" s="412" t="inlineStr">
        <is>
          <t>Posting Entry</t>
        </is>
      </c>
      <c r="F393" s="412" t="inlineStr">
        <is>
          <t>Current Number</t>
        </is>
      </c>
      <c r="G393" s="385" t="inlineStr">
        <is>
          <t>PG_BRONZE</t>
        </is>
      </c>
      <c r="H393" s="386" t="inlineStr">
        <is>
          <t>T24CORE_STMT_ENTRY</t>
        </is>
      </c>
      <c r="I393" s="386" t="inlineStr">
        <is>
          <t>CURR_NO</t>
        </is>
      </c>
      <c r="J393" s="410" t="inlineStr">
        <is>
          <t>NUMBER</t>
        </is>
      </c>
      <c r="K393" s="408" t="n">
        <v>10</v>
      </c>
      <c r="L393" s="412" t="inlineStr">
        <is>
          <t>Trường kỹ thuật, đánh dấu version thay đổi bút toán</t>
        </is>
      </c>
      <c r="M393" s="412">
        <f>"COMMENT ON COLUMN "&amp;G393&amp;"."&amp;H393&amp;"."&amp;I393&amp;" IS '"&amp;L393&amp;"';"</f>
        <v/>
      </c>
      <c r="N393" s="414" t="inlineStr">
        <is>
          <t>Map 1:1 nguyên bản từ T24CORE.STMT_ENTRY.CURR_NO sang PG_BRONZE.T24CORE_STMT_ENTRY.CURR_NO</t>
        </is>
      </c>
    </row>
    <row r="394" ht="41.25" customHeight="1" s="335">
      <c r="A394" s="386" t="inlineStr">
        <is>
          <t>T24CORE</t>
        </is>
      </c>
      <c r="B394" s="386" t="inlineStr">
        <is>
          <t>STMT_ENTRY</t>
        </is>
      </c>
      <c r="C394" s="386" t="inlineStr">
        <is>
          <t>CUSTOMER_ID</t>
        </is>
      </c>
      <c r="D394" s="385" t="inlineStr">
        <is>
          <t>1:1</t>
        </is>
      </c>
      <c r="E394" s="412" t="inlineStr">
        <is>
          <t>Posting Entry</t>
        </is>
      </c>
      <c r="F394" s="412" t="inlineStr">
        <is>
          <t>Customer Id/ Customer Code</t>
        </is>
      </c>
      <c r="G394" s="385" t="inlineStr">
        <is>
          <t>PG_BRONZE</t>
        </is>
      </c>
      <c r="H394" s="386" t="inlineStr">
        <is>
          <t>T24CORE_STMT_ENTRY</t>
        </is>
      </c>
      <c r="I394" s="386" t="inlineStr">
        <is>
          <t>CUSTOMER_ID</t>
        </is>
      </c>
      <c r="J394" s="410" t="inlineStr">
        <is>
          <t>VARCHAR2</t>
        </is>
      </c>
      <c r="K394" s="408" t="n">
        <v>100</v>
      </c>
      <c r="L394" s="412" t="inlineStr">
        <is>
          <t>Mã khách hàng ứng với Account_number</t>
        </is>
      </c>
      <c r="M394" s="412">
        <f>"COMMENT ON COLUMN "&amp;G394&amp;"."&amp;H394&amp;"."&amp;I394&amp;" IS '"&amp;L394&amp;"';"</f>
        <v/>
      </c>
      <c r="N394" s="414" t="inlineStr">
        <is>
          <t>Map 1:1 nguyên bản từ T24CORE.STMT_ENTRY.CUSTOMER_ID sang PG_BRONZE.T24CORE_STMT_ENTRY.CUSTOMER_ID</t>
        </is>
      </c>
    </row>
    <row r="395" ht="41.25" customHeight="1" s="335">
      <c r="A395" s="386" t="inlineStr">
        <is>
          <t>T24CORE</t>
        </is>
      </c>
      <c r="B395" s="386" t="inlineStr">
        <is>
          <t>STMT_ENTRY</t>
        </is>
      </c>
      <c r="C395" s="386" t="inlineStr">
        <is>
          <t>CYCLE_FORWARD</t>
        </is>
      </c>
      <c r="D395" s="385" t="inlineStr">
        <is>
          <t>1:1</t>
        </is>
      </c>
      <c r="E395" s="412" t="inlineStr">
        <is>
          <t>Posting Entry</t>
        </is>
      </c>
      <c r="F395" s="412" t="inlineStr">
        <is>
          <t>Cycle Forward</t>
        </is>
      </c>
      <c r="G395" s="385" t="inlineStr">
        <is>
          <t>PG_BRONZE</t>
        </is>
      </c>
      <c r="H395" s="386" t="inlineStr">
        <is>
          <t>T24CORE_STMT_ENTRY</t>
        </is>
      </c>
      <c r="I395" s="386" t="inlineStr">
        <is>
          <t>CYCLE_FORWARD</t>
        </is>
      </c>
      <c r="J395" s="410" t="inlineStr">
        <is>
          <t>DATE</t>
        </is>
      </c>
      <c r="K395" s="408" t="n"/>
      <c r="L395" s="412" t="inlineStr">
        <is>
          <t>Cờ kết chuyển chu kỳ hạch toán (Cycle Forward)</t>
        </is>
      </c>
      <c r="M395" s="412">
        <f>"COMMENT ON COLUMN "&amp;G395&amp;"."&amp;H395&amp;"."&amp;I395&amp;" IS '"&amp;L395&amp;"';"</f>
        <v/>
      </c>
      <c r="N395" s="414" t="inlineStr">
        <is>
          <t>Map 1:1 nguyên bản từ T24CORE.STMT_ENTRY.CYCLE_FORWARD sang PG_BRONZE.T24CORE_STMT_ENTRY.CYCLE_FORWARD</t>
        </is>
      </c>
    </row>
    <row r="396" ht="41.25" customHeight="1" s="335">
      <c r="A396" s="386" t="inlineStr">
        <is>
          <t>T24CORE</t>
        </is>
      </c>
      <c r="B396" s="386" t="inlineStr">
        <is>
          <t>STMT_ENTRY</t>
        </is>
      </c>
      <c r="C396" s="386" t="inlineStr">
        <is>
          <t>DATE_TIME</t>
        </is>
      </c>
      <c r="D396" s="385" t="inlineStr">
        <is>
          <t>1:1</t>
        </is>
      </c>
      <c r="E396" s="412" t="inlineStr">
        <is>
          <t>Posting Entry</t>
        </is>
      </c>
      <c r="F396" s="412" t="inlineStr">
        <is>
          <t>Date Time</t>
        </is>
      </c>
      <c r="G396" s="385" t="inlineStr">
        <is>
          <t>PG_BRONZE</t>
        </is>
      </c>
      <c r="H396" s="386" t="inlineStr">
        <is>
          <t>T24CORE_STMT_ENTRY</t>
        </is>
      </c>
      <c r="I396" s="386" t="inlineStr">
        <is>
          <t>DATE_TIME</t>
        </is>
      </c>
      <c r="J396" s="410" t="inlineStr">
        <is>
          <t>DATE</t>
        </is>
      </c>
      <c r="K396" s="408" t="n">
        <v>8</v>
      </c>
      <c r="L396" s="412" t="inlineStr">
        <is>
          <t>Trường kỹ thuật, ghi nhận thời gian sửa đổi</t>
        </is>
      </c>
      <c r="M396" s="412">
        <f>"COMMENT ON COLUMN "&amp;G396&amp;"."&amp;H396&amp;"."&amp;I396&amp;" IS '"&amp;L396&amp;"';"</f>
        <v/>
      </c>
      <c r="N396" s="414" t="inlineStr">
        <is>
          <t>Map 1:1 nguyên bản từ T24CORE.STMT_ENTRY.DATE_TIME sang PG_BRONZE.T24CORE_STMT_ENTRY.DATE_TIME</t>
        </is>
      </c>
    </row>
    <row r="397" ht="41.25" customHeight="1" s="335">
      <c r="A397" s="386" t="inlineStr">
        <is>
          <t>T24CORE</t>
        </is>
      </c>
      <c r="B397" s="386" t="inlineStr">
        <is>
          <t>STMT_ENTRY</t>
        </is>
      </c>
      <c r="C397" s="386" t="inlineStr">
        <is>
          <t>DEPARTMENT_CODE</t>
        </is>
      </c>
      <c r="D397" s="385" t="inlineStr">
        <is>
          <t>1:1</t>
        </is>
      </c>
      <c r="E397" s="412" t="inlineStr">
        <is>
          <t>Posting Entry</t>
        </is>
      </c>
      <c r="F397" s="412" t="inlineStr">
        <is>
          <t>Department Code</t>
        </is>
      </c>
      <c r="G397" s="385" t="inlineStr">
        <is>
          <t>PG_BRONZE</t>
        </is>
      </c>
      <c r="H397" s="386" t="inlineStr">
        <is>
          <t>T24CORE_STMT_ENTRY</t>
        </is>
      </c>
      <c r="I397" s="386" t="inlineStr">
        <is>
          <t>DEPARTMENT_CODE</t>
        </is>
      </c>
      <c r="J397" s="410" t="inlineStr">
        <is>
          <t>VARCHAR2</t>
        </is>
      </c>
      <c r="K397" s="408" t="n">
        <v>100</v>
      </c>
      <c r="L397" s="412" t="inlineStr">
        <is>
          <t>Mã đơn vị hạch toán</t>
        </is>
      </c>
      <c r="M397" s="412">
        <f>"COMMENT ON COLUMN "&amp;G397&amp;"."&amp;H397&amp;"."&amp;I397&amp;" IS '"&amp;L397&amp;"';"</f>
        <v/>
      </c>
      <c r="N397" s="414" t="inlineStr">
        <is>
          <t>Map 1:1 nguyên bản từ T24CORE.STMT_ENTRY.DEPARTMENT_CODE sang PG_BRONZE.T24CORE_STMT_ENTRY.DEPARTMENT_CODE</t>
        </is>
      </c>
    </row>
    <row r="398" ht="41.25" customHeight="1" s="335">
      <c r="A398" s="386" t="inlineStr">
        <is>
          <t>T24CORE</t>
        </is>
      </c>
      <c r="B398" s="386" t="inlineStr">
        <is>
          <t>STMT_ENTRY</t>
        </is>
      </c>
      <c r="C398" s="386" t="inlineStr">
        <is>
          <t>DRAWN_ACCOUNT</t>
        </is>
      </c>
      <c r="D398" s="385" t="inlineStr">
        <is>
          <t>1:1</t>
        </is>
      </c>
      <c r="E398" s="412" t="inlineStr">
        <is>
          <t>Posting Entry</t>
        </is>
      </c>
      <c r="F398" s="412" t="inlineStr">
        <is>
          <t>Drawn Account</t>
        </is>
      </c>
      <c r="G398" s="385" t="inlineStr">
        <is>
          <t>PG_BRONZE</t>
        </is>
      </c>
      <c r="H398" s="386" t="inlineStr">
        <is>
          <t>T24CORE_STMT_ENTRY</t>
        </is>
      </c>
      <c r="I398" s="386" t="inlineStr">
        <is>
          <t>DRAWN_ACCOUNT</t>
        </is>
      </c>
      <c r="J398" s="410" t="inlineStr">
        <is>
          <t>VARCHAR2</t>
        </is>
      </c>
      <c r="K398" s="408" t="n">
        <v>100</v>
      </c>
      <c r="L398" s="412" t="inlineStr">
        <is>
          <t>Tài khoản ghi nhận số tiền rút</t>
        </is>
      </c>
      <c r="M398" s="412">
        <f>"COMMENT ON COLUMN "&amp;G398&amp;"."&amp;H398&amp;"."&amp;I398&amp;" IS '"&amp;L398&amp;"';"</f>
        <v/>
      </c>
      <c r="N398" s="414" t="inlineStr">
        <is>
          <t>Map 1:1 nguyên bản từ T24CORE.STMT_ENTRY.DRAWN_ACCOUNT sang PG_BRONZE.T24CORE_STMT_ENTRY.DRAWN_ACCOUNT</t>
        </is>
      </c>
    </row>
    <row r="399" ht="41.25" customHeight="1" s="335">
      <c r="A399" s="386" t="inlineStr">
        <is>
          <t>T24CORE</t>
        </is>
      </c>
      <c r="B399" s="386" t="inlineStr">
        <is>
          <t>STMT_ENTRY</t>
        </is>
      </c>
      <c r="C399" s="386" t="inlineStr">
        <is>
          <t>EXCHANGE_RATE</t>
        </is>
      </c>
      <c r="D399" s="385" t="inlineStr">
        <is>
          <t>1:1</t>
        </is>
      </c>
      <c r="E399" s="412" t="inlineStr">
        <is>
          <t>Posting Entry</t>
        </is>
      </c>
      <c r="F399" s="412" t="inlineStr">
        <is>
          <t>Exchange Rate To Local Currency</t>
        </is>
      </c>
      <c r="G399" s="385" t="inlineStr">
        <is>
          <t>PG_BRONZE</t>
        </is>
      </c>
      <c r="H399" s="386" t="inlineStr">
        <is>
          <t>T24CORE_STMT_ENTRY</t>
        </is>
      </c>
      <c r="I399" s="386" t="inlineStr">
        <is>
          <t>EXCHANGE_RATE</t>
        </is>
      </c>
      <c r="J399" s="410" t="inlineStr">
        <is>
          <t>NUMBER</t>
        </is>
      </c>
      <c r="K399" s="408" t="n">
        <v>13.7</v>
      </c>
      <c r="L399" s="412" t="inlineStr">
        <is>
          <t>Tỷ giá quy đổi</t>
        </is>
      </c>
      <c r="M399" s="412">
        <f>"COMMENT ON COLUMN "&amp;G399&amp;"."&amp;H399&amp;"."&amp;I399&amp;" IS '"&amp;L399&amp;"';"</f>
        <v/>
      </c>
      <c r="N399" s="414" t="inlineStr">
        <is>
          <t>Map 1:1 nguyên bản từ T24CORE.STMT_ENTRY.EXCHANGE_RATE sang PG_BRONZE.T24CORE_STMT_ENTRY.EXCHANGE_RATE</t>
        </is>
      </c>
    </row>
    <row r="400" ht="41.25" customHeight="1" s="335">
      <c r="A400" s="386" t="inlineStr">
        <is>
          <t>T24CORE</t>
        </is>
      </c>
      <c r="B400" s="386" t="inlineStr">
        <is>
          <t>STMT_ENTRY</t>
        </is>
      </c>
      <c r="C400" s="386" t="inlineStr">
        <is>
          <t>INTERNAL_CATEGORY</t>
        </is>
      </c>
      <c r="D400" s="385" t="inlineStr">
        <is>
          <t>1:1</t>
        </is>
      </c>
      <c r="E400" s="412" t="inlineStr">
        <is>
          <t>Posting Entry</t>
        </is>
      </c>
      <c r="F400" s="412" t="inlineStr">
        <is>
          <t>Internal Category</t>
        </is>
      </c>
      <c r="G400" s="385" t="inlineStr">
        <is>
          <t>PG_BRONZE</t>
        </is>
      </c>
      <c r="H400" s="386" t="inlineStr">
        <is>
          <t>T24CORE_STMT_ENTRY</t>
        </is>
      </c>
      <c r="I400" s="386" t="inlineStr">
        <is>
          <t>INTERNAL_CATEGORY</t>
        </is>
      </c>
      <c r="J400" s="410" t="inlineStr">
        <is>
          <t>VARCHAR2</t>
        </is>
      </c>
      <c r="K400" s="408" t="n">
        <v>100</v>
      </c>
      <c r="L400" s="412" t="inlineStr">
        <is>
          <t>Mã Category nội bộ</t>
        </is>
      </c>
      <c r="M400" s="412">
        <f>"COMMENT ON COLUMN "&amp;G400&amp;"."&amp;H400&amp;"."&amp;I400&amp;" IS '"&amp;L400&amp;"';"</f>
        <v/>
      </c>
      <c r="N400" s="414" t="inlineStr">
        <is>
          <t>Map 1:1 nguyên bản từ T24CORE.STMT_ENTRY.INTERNAL_CATEGORY sang PG_BRONZE.T24CORE_STMT_ENTRY.INTERNAL_CATEGORY</t>
        </is>
      </c>
    </row>
    <row r="401" ht="41.25" customHeight="1" s="335">
      <c r="A401" s="386" t="inlineStr">
        <is>
          <t>T24CORE</t>
        </is>
      </c>
      <c r="B401" s="386" t="inlineStr">
        <is>
          <t>STMT_ENTRY</t>
        </is>
      </c>
      <c r="C401" s="386" t="inlineStr">
        <is>
          <t>LOCAL_REF</t>
        </is>
      </c>
      <c r="D401" s="385" t="inlineStr">
        <is>
          <t>1:1</t>
        </is>
      </c>
      <c r="E401" s="412" t="inlineStr">
        <is>
          <t>Posting Entry</t>
        </is>
      </c>
      <c r="F401" s="412" t="inlineStr">
        <is>
          <t>Local Reference</t>
        </is>
      </c>
      <c r="G401" s="385" t="inlineStr">
        <is>
          <t>PG_BRONZE</t>
        </is>
      </c>
      <c r="H401" s="386" t="inlineStr">
        <is>
          <t>T24CORE_STMT_ENTRY</t>
        </is>
      </c>
      <c r="I401" s="386" t="inlineStr">
        <is>
          <t>LOCAL_REF</t>
        </is>
      </c>
      <c r="J401" s="410" t="inlineStr">
        <is>
          <t>VARCHAR2</t>
        </is>
      </c>
      <c r="K401" s="408" t="n">
        <v>100</v>
      </c>
      <c r="L401" s="412" t="inlineStr">
        <is>
          <t>Trường multivalue - đa nghĩa của T24</t>
        </is>
      </c>
      <c r="M401" s="412">
        <f>"COMMENT ON COLUMN "&amp;G401&amp;"."&amp;H401&amp;"."&amp;I401&amp;" IS '"&amp;L401&amp;"';"</f>
        <v/>
      </c>
      <c r="N401" s="414" t="inlineStr">
        <is>
          <t>Map 1:1 nguyên bản từ T24CORE.STMT_ENTRY.LOCAL_REF sang PG_BRONZE.T24CORE_STMT_ENTRY.LOCAL_REF</t>
        </is>
      </c>
    </row>
    <row r="402" ht="27" customHeight="1" s="335">
      <c r="A402" s="386" t="inlineStr">
        <is>
          <t>T24CORE</t>
        </is>
      </c>
      <c r="B402" s="386" t="inlineStr">
        <is>
          <t>STMT_ENTRY</t>
        </is>
      </c>
      <c r="C402" s="386" t="inlineStr">
        <is>
          <t>NARRATIVE</t>
        </is>
      </c>
      <c r="D402" s="385" t="inlineStr">
        <is>
          <t>1:1</t>
        </is>
      </c>
      <c r="E402" s="412" t="inlineStr">
        <is>
          <t>Posting Entry</t>
        </is>
      </c>
      <c r="F402" s="412" t="inlineStr">
        <is>
          <t>Posting Entry Description</t>
        </is>
      </c>
      <c r="G402" s="385" t="inlineStr">
        <is>
          <t>PG_BRONZE</t>
        </is>
      </c>
      <c r="H402" s="386" t="inlineStr">
        <is>
          <t>T24CORE_STMT_ENTRY</t>
        </is>
      </c>
      <c r="I402" s="386" t="inlineStr">
        <is>
          <t>NARRATIVE</t>
        </is>
      </c>
      <c r="J402" s="410" t="inlineStr">
        <is>
          <t>VARCHAR2</t>
        </is>
      </c>
      <c r="K402" s="408" t="n">
        <v>255</v>
      </c>
      <c r="L402" s="412" t="inlineStr">
        <is>
          <t>Mô tả bút toán</t>
        </is>
      </c>
      <c r="M402" s="412">
        <f>"COMMENT ON COLUMN "&amp;G402&amp;"."&amp;H402&amp;"."&amp;I402&amp;" IS '"&amp;L402&amp;"';"</f>
        <v/>
      </c>
      <c r="N402" s="414" t="inlineStr">
        <is>
          <t>Map 1:1 nguyên bản từ T24CORE.STMT_ENTRY.NARRATIVE sang PG_BRONZE.T24CORE_STMT_ENTRY.NARRATIVE</t>
        </is>
      </c>
    </row>
    <row r="403" ht="41.25" customHeight="1" s="335">
      <c r="A403" s="386" t="inlineStr">
        <is>
          <t>T24CORE</t>
        </is>
      </c>
      <c r="B403" s="386" t="inlineStr">
        <is>
          <t>STMT_ENTRY</t>
        </is>
      </c>
      <c r="C403" s="386" t="inlineStr">
        <is>
          <t>ORIGINAL_ACCT</t>
        </is>
      </c>
      <c r="D403" s="385" t="inlineStr">
        <is>
          <t>1:1</t>
        </is>
      </c>
      <c r="E403" s="412" t="inlineStr">
        <is>
          <t>Posting Entry</t>
        </is>
      </c>
      <c r="F403" s="412" t="inlineStr">
        <is>
          <t>Original Account</t>
        </is>
      </c>
      <c r="G403" s="385" t="inlineStr">
        <is>
          <t>PG_BRONZE</t>
        </is>
      </c>
      <c r="H403" s="386" t="inlineStr">
        <is>
          <t>T24CORE_STMT_ENTRY</t>
        </is>
      </c>
      <c r="I403" s="386" t="inlineStr">
        <is>
          <t>ORIGINAL_ACCT</t>
        </is>
      </c>
      <c r="J403" s="410" t="inlineStr">
        <is>
          <t>VARCHAR2</t>
        </is>
      </c>
      <c r="K403" s="408" t="n">
        <v>100</v>
      </c>
      <c r="L403" s="412" t="inlineStr">
        <is>
          <t>Số tài khoản hạch toán ban đầu</t>
        </is>
      </c>
      <c r="M403" s="412">
        <f>"COMMENT ON COLUMN "&amp;G403&amp;"."&amp;H403&amp;"."&amp;I403&amp;" IS '"&amp;L403&amp;"';"</f>
        <v/>
      </c>
      <c r="N403" s="414" t="inlineStr">
        <is>
          <t>Map 1:1 nguyên bản từ T24CORE.STMT_ENTRY.ORIGINAL_ACCT sang PG_BRONZE.T24CORE_STMT_ENTRY.ORIGINAL_ACCT</t>
        </is>
      </c>
    </row>
    <row r="404" ht="41.25" customHeight="1" s="335">
      <c r="A404" s="386" t="inlineStr">
        <is>
          <t>T24CORE</t>
        </is>
      </c>
      <c r="B404" s="386" t="inlineStr">
        <is>
          <t>STMT_ENTRY</t>
        </is>
      </c>
      <c r="C404" s="386" t="inlineStr">
        <is>
          <t>ORIGINAL_AMOUNT</t>
        </is>
      </c>
      <c r="D404" s="385" t="inlineStr">
        <is>
          <t>1:1</t>
        </is>
      </c>
      <c r="E404" s="412" t="inlineStr">
        <is>
          <t>Posting Entry</t>
        </is>
      </c>
      <c r="F404" s="412" t="inlineStr">
        <is>
          <t>Original Amount</t>
        </is>
      </c>
      <c r="G404" s="385" t="inlineStr">
        <is>
          <t>PG_BRONZE</t>
        </is>
      </c>
      <c r="H404" s="386" t="inlineStr">
        <is>
          <t>T24CORE_STMT_ENTRY</t>
        </is>
      </c>
      <c r="I404" s="386" t="inlineStr">
        <is>
          <t>ORIGINAL_AMOUNT</t>
        </is>
      </c>
      <c r="J404" s="410" t="inlineStr">
        <is>
          <t>NUMBER</t>
        </is>
      </c>
      <c r="K404" s="408" t="n">
        <v>25.5</v>
      </c>
      <c r="L404" s="412" t="inlineStr">
        <is>
          <t>Giá trị hạch toán ban đầu nguyên tệ</t>
        </is>
      </c>
      <c r="M404" s="412">
        <f>"COMMENT ON COLUMN "&amp;G404&amp;"."&amp;H404&amp;"."&amp;I404&amp;" IS '"&amp;L404&amp;"';"</f>
        <v/>
      </c>
      <c r="N404" s="414" t="inlineStr">
        <is>
          <t>Map 1:1 nguyên bản từ T24CORE.STMT_ENTRY.ORIGINAL_AMOUNT sang PG_BRONZE.T24CORE_STMT_ENTRY.ORIGINAL_AMOUNT</t>
        </is>
      </c>
    </row>
    <row r="405" ht="41.25" customHeight="1" s="335">
      <c r="A405" s="386" t="inlineStr">
        <is>
          <t>T24CORE</t>
        </is>
      </c>
      <c r="B405" s="386" t="inlineStr">
        <is>
          <t>STMT_ENTRY</t>
        </is>
      </c>
      <c r="C405" s="386" t="inlineStr">
        <is>
          <t>ORIGINAL_CCY</t>
        </is>
      </c>
      <c r="D405" s="385" t="inlineStr">
        <is>
          <t>1:1</t>
        </is>
      </c>
      <c r="E405" s="412" t="inlineStr">
        <is>
          <t>Posting Entry</t>
        </is>
      </c>
      <c r="F405" s="412" t="inlineStr">
        <is>
          <t>Original Currency</t>
        </is>
      </c>
      <c r="G405" s="385" t="inlineStr">
        <is>
          <t>PG_BRONZE</t>
        </is>
      </c>
      <c r="H405" s="386" t="inlineStr">
        <is>
          <t>T24CORE_STMT_ENTRY</t>
        </is>
      </c>
      <c r="I405" s="386" t="inlineStr">
        <is>
          <t>ORIGINAL_CCY</t>
        </is>
      </c>
      <c r="J405" s="410" t="inlineStr">
        <is>
          <t>VARCHAR2</t>
        </is>
      </c>
      <c r="K405" s="408" t="n">
        <v>100</v>
      </c>
      <c r="L405" s="412" t="inlineStr">
        <is>
          <t>Loại tiền giao dịch ban đầu</t>
        </is>
      </c>
      <c r="M405" s="412">
        <f>"COMMENT ON COLUMN "&amp;G405&amp;"."&amp;H405&amp;"."&amp;I405&amp;" IS '"&amp;L405&amp;"';"</f>
        <v/>
      </c>
      <c r="N405" s="414" t="inlineStr">
        <is>
          <t>Map 1:1 nguyên bản từ T24CORE.STMT_ENTRY.ORIGINAL_CCY sang PG_BRONZE.T24CORE_STMT_ENTRY.ORIGINAL_CCY</t>
        </is>
      </c>
    </row>
    <row r="406" ht="41.25" customHeight="1" s="335">
      <c r="A406" s="386" t="inlineStr">
        <is>
          <t>T24CORE</t>
        </is>
      </c>
      <c r="B406" s="386" t="inlineStr">
        <is>
          <t>STMT_ENTRY</t>
        </is>
      </c>
      <c r="C406" s="386" t="inlineStr">
        <is>
          <t>ORIGINAL_EXCH_RATE</t>
        </is>
      </c>
      <c r="D406" s="385" t="inlineStr">
        <is>
          <t>1:1</t>
        </is>
      </c>
      <c r="E406" s="412" t="inlineStr">
        <is>
          <t>Posting Entry</t>
        </is>
      </c>
      <c r="F406" s="412" t="inlineStr">
        <is>
          <t>Original Exchange Rate</t>
        </is>
      </c>
      <c r="G406" s="385" t="inlineStr">
        <is>
          <t>PG_BRONZE</t>
        </is>
      </c>
      <c r="H406" s="386" t="inlineStr">
        <is>
          <t>T24CORE_STMT_ENTRY</t>
        </is>
      </c>
      <c r="I406" s="386" t="inlineStr">
        <is>
          <t>ORIGINAL_EXCH_RATE</t>
        </is>
      </c>
      <c r="J406" s="410" t="inlineStr">
        <is>
          <t>NUMBER</t>
        </is>
      </c>
      <c r="K406" s="408" t="n">
        <v>13.7</v>
      </c>
      <c r="L406" s="412" t="inlineStr">
        <is>
          <t>Tỷ giá quy đổi cho loại tiền ban đầu</t>
        </is>
      </c>
      <c r="M406" s="412">
        <f>"COMMENT ON COLUMN "&amp;G406&amp;"."&amp;H406&amp;"."&amp;I406&amp;" IS '"&amp;L406&amp;"';"</f>
        <v/>
      </c>
      <c r="N406" s="414" t="inlineStr">
        <is>
          <t>Map 1:1 nguyên bản từ T24CORE.STMT_ENTRY.ORIGINAL_EXCH_RATE sang PG_BRONZE.T24CORE_STMT_ENTRY.ORIGINAL_EXCH_RATE</t>
        </is>
      </c>
    </row>
    <row r="407" ht="41.25" customHeight="1" s="335">
      <c r="A407" s="386" t="inlineStr">
        <is>
          <t>T24CORE</t>
        </is>
      </c>
      <c r="B407" s="386" t="inlineStr">
        <is>
          <t>STMT_ENTRY</t>
        </is>
      </c>
      <c r="C407" s="386" t="inlineStr">
        <is>
          <t>ORIG_AMOUNT_LCY</t>
        </is>
      </c>
      <c r="D407" s="385" t="inlineStr">
        <is>
          <t>1:1</t>
        </is>
      </c>
      <c r="E407" s="412" t="inlineStr">
        <is>
          <t>Posting Entry</t>
        </is>
      </c>
      <c r="F407" s="412" t="inlineStr">
        <is>
          <t>Original Amount LCY</t>
        </is>
      </c>
      <c r="G407" s="385" t="inlineStr">
        <is>
          <t>PG_BRONZE</t>
        </is>
      </c>
      <c r="H407" s="386" t="inlineStr">
        <is>
          <t>T24CORE_STMT_ENTRY</t>
        </is>
      </c>
      <c r="I407" s="386" t="inlineStr">
        <is>
          <t>ORIG_AMOUNT_LCY</t>
        </is>
      </c>
      <c r="J407" s="410" t="inlineStr">
        <is>
          <t>NUMBER</t>
        </is>
      </c>
      <c r="K407" s="408" t="n">
        <v>25.5</v>
      </c>
      <c r="L407" s="412" t="inlineStr">
        <is>
          <t>Giá trị hạch toán ban đầu quy đổi</t>
        </is>
      </c>
      <c r="M407" s="412">
        <f>"COMMENT ON COLUMN "&amp;G407&amp;"."&amp;H407&amp;"."&amp;I407&amp;" IS '"&amp;L407&amp;"';"</f>
        <v/>
      </c>
      <c r="N407" s="414" t="inlineStr">
        <is>
          <t>Map 1:1 nguyên bản từ T24CORE.STMT_ENTRY.ORIG_AMOUNT_LCY sang PG_BRONZE.T24CORE_STMT_ENTRY.ORIG_AMOUNT_LCY</t>
        </is>
      </c>
    </row>
    <row r="408" ht="41.25" customHeight="1" s="335">
      <c r="A408" s="386" t="inlineStr">
        <is>
          <t>T24CORE</t>
        </is>
      </c>
      <c r="B408" s="386" t="inlineStr">
        <is>
          <t>STMT_ENTRY</t>
        </is>
      </c>
      <c r="C408" s="386" t="inlineStr">
        <is>
          <t>OUR_REFERENCE</t>
        </is>
      </c>
      <c r="D408" s="385" t="inlineStr">
        <is>
          <t>1:1</t>
        </is>
      </c>
      <c r="E408" s="412" t="inlineStr">
        <is>
          <t>Posting Entry</t>
        </is>
      </c>
      <c r="F408" s="412" t="inlineStr">
        <is>
          <t>Transaction Number</t>
        </is>
      </c>
      <c r="G408" s="385" t="inlineStr">
        <is>
          <t>PG_BRONZE</t>
        </is>
      </c>
      <c r="H408" s="386" t="inlineStr">
        <is>
          <t>T24CORE_STMT_ENTRY</t>
        </is>
      </c>
      <c r="I408" s="386" t="inlineStr">
        <is>
          <t>OUR_REFERENCE</t>
        </is>
      </c>
      <c r="J408" s="410" t="inlineStr">
        <is>
          <t>VARCHAR2</t>
        </is>
      </c>
      <c r="K408" s="408" t="n">
        <v>100</v>
      </c>
      <c r="L408" s="412" t="inlineStr">
        <is>
          <t>Ma tham chieu</t>
        </is>
      </c>
      <c r="M408" s="412">
        <f>"COMMENT ON COLUMN "&amp;G408&amp;"."&amp;H408&amp;"."&amp;I408&amp;" IS '"&amp;L408&amp;"';"</f>
        <v/>
      </c>
      <c r="N408" s="414" t="inlineStr">
        <is>
          <t>Map 1:1 nguyên bản từ T24CORE.STMT_ENTRY.OUR_REFERENCE sang PG_BRONZE.T24CORE_STMT_ENTRY.OUR_REFERENCE</t>
        </is>
      </c>
    </row>
    <row r="409" ht="41.25" customHeight="1" s="335">
      <c r="A409" s="386" t="inlineStr">
        <is>
          <t>T24CORE</t>
        </is>
      </c>
      <c r="B409" s="386" t="inlineStr">
        <is>
          <t>STMT_ENTRY</t>
        </is>
      </c>
      <c r="C409" s="386" t="inlineStr">
        <is>
          <t>OUTSTANDING_BAL</t>
        </is>
      </c>
      <c r="D409" s="385" t="inlineStr">
        <is>
          <t>1:1</t>
        </is>
      </c>
      <c r="E409" s="412" t="inlineStr">
        <is>
          <t>Posting Entry</t>
        </is>
      </c>
      <c r="F409" s="412" t="inlineStr">
        <is>
          <t>Outstanding Balance</t>
        </is>
      </c>
      <c r="G409" s="385" t="inlineStr">
        <is>
          <t>PG_BRONZE</t>
        </is>
      </c>
      <c r="H409" s="386" t="inlineStr">
        <is>
          <t>T24CORE_STMT_ENTRY</t>
        </is>
      </c>
      <c r="I409" s="386" t="inlineStr">
        <is>
          <t>OUTSTANDING_BAL</t>
        </is>
      </c>
      <c r="J409" s="410" t="inlineStr">
        <is>
          <t>NUMBER</t>
        </is>
      </c>
      <c r="K409" s="408" t="n">
        <v>25.5</v>
      </c>
      <c r="L409" s="412" t="inlineStr">
        <is>
          <t>Dư nợ tín dụng của hợp đồng ( OUR_REFERENCE)</t>
        </is>
      </c>
      <c r="M409" s="412">
        <f>"COMMENT ON COLUMN "&amp;G409&amp;"."&amp;H409&amp;"."&amp;I409&amp;" IS '"&amp;L409&amp;"';"</f>
        <v/>
      </c>
      <c r="N409" s="414" t="inlineStr">
        <is>
          <t>Map 1:1 nguyên bản từ T24CORE.STMT_ENTRY.OUTSTANDING_BAL sang PG_BRONZE.T24CORE_STMT_ENTRY.OUTSTANDING_BAL</t>
        </is>
      </c>
    </row>
    <row r="410" ht="27" customHeight="1" s="335">
      <c r="A410" s="386" t="inlineStr">
        <is>
          <t>T24CORE</t>
        </is>
      </c>
      <c r="B410" s="386" t="inlineStr">
        <is>
          <t>STMT_ENTRY</t>
        </is>
      </c>
      <c r="C410" s="386" t="inlineStr">
        <is>
          <t>OVERRIDE</t>
        </is>
      </c>
      <c r="D410" s="385" t="inlineStr">
        <is>
          <t>1:1</t>
        </is>
      </c>
      <c r="E410" s="412" t="inlineStr">
        <is>
          <t>Posting Entry</t>
        </is>
      </c>
      <c r="F410" s="412" t="inlineStr">
        <is>
          <t>Override Flag</t>
        </is>
      </c>
      <c r="G410" s="385" t="inlineStr">
        <is>
          <t>PG_BRONZE</t>
        </is>
      </c>
      <c r="H410" s="386" t="inlineStr">
        <is>
          <t>T24CORE_STMT_ENTRY</t>
        </is>
      </c>
      <c r="I410" s="386" t="inlineStr">
        <is>
          <t>OVERRIDE</t>
        </is>
      </c>
      <c r="J410" s="410" t="inlineStr">
        <is>
          <t>VARCHAR2</t>
        </is>
      </c>
      <c r="K410" s="408" t="n">
        <v>100</v>
      </c>
      <c r="L410" s="412" t="inlineStr">
        <is>
          <t>Cờ cảnh báo</t>
        </is>
      </c>
      <c r="M410" s="412">
        <f>"COMMENT ON COLUMN "&amp;G410&amp;"."&amp;H410&amp;"."&amp;I410&amp;" IS '"&amp;L410&amp;"';"</f>
        <v/>
      </c>
      <c r="N410" s="414" t="inlineStr">
        <is>
          <t>Map 1:1 nguyên bản từ T24CORE.STMT_ENTRY.OVERRIDE sang PG_BRONZE.T24CORE_STMT_ENTRY.OVERRIDE</t>
        </is>
      </c>
    </row>
    <row r="411" ht="41.25" customHeight="1" s="335">
      <c r="A411" s="386" t="inlineStr">
        <is>
          <t>T24CORE</t>
        </is>
      </c>
      <c r="B411" s="386" t="inlineStr">
        <is>
          <t>STMT_ENTRY</t>
        </is>
      </c>
      <c r="C411" s="386" t="inlineStr">
        <is>
          <t>PROCESS_FORWARD</t>
        </is>
      </c>
      <c r="D411" s="385" t="inlineStr">
        <is>
          <t>1:1</t>
        </is>
      </c>
      <c r="E411" s="412" t="inlineStr">
        <is>
          <t>Posting Entry</t>
        </is>
      </c>
      <c r="F411" s="412" t="inlineStr">
        <is>
          <t>Process Forward</t>
        </is>
      </c>
      <c r="G411" s="385" t="inlineStr">
        <is>
          <t>PG_BRONZE</t>
        </is>
      </c>
      <c r="H411" s="386" t="inlineStr">
        <is>
          <t>T24CORE_STMT_ENTRY</t>
        </is>
      </c>
      <c r="I411" s="386" t="inlineStr">
        <is>
          <t>PROCESS_FORWARD</t>
        </is>
      </c>
      <c r="J411" s="410" t="inlineStr">
        <is>
          <t>VARCHAR2</t>
        </is>
      </c>
      <c r="K411" s="408" t="n">
        <v>100</v>
      </c>
      <c r="L411" s="412" t="inlineStr">
        <is>
          <t>Cờ xử lý chuyển tiếp bút toán hạch toán (Process Forward)</t>
        </is>
      </c>
      <c r="M411" s="412">
        <f>"COMMENT ON COLUMN "&amp;G411&amp;"."&amp;H411&amp;"."&amp;I411&amp;" IS '"&amp;L411&amp;"';"</f>
        <v/>
      </c>
      <c r="N411" s="414" t="inlineStr">
        <is>
          <t>Map 1:1 nguyên bản từ T24CORE.STMT_ENTRY.PROCESS_FORWARD sang PG_BRONZE.T24CORE_STMT_ENTRY.PROCESS_FORWARD</t>
        </is>
      </c>
    </row>
    <row r="412" ht="41.25" customHeight="1" s="335">
      <c r="A412" s="386" t="inlineStr">
        <is>
          <t>T24CORE</t>
        </is>
      </c>
      <c r="B412" s="386" t="inlineStr">
        <is>
          <t>STMT_ENTRY</t>
        </is>
      </c>
      <c r="C412" s="386" t="inlineStr">
        <is>
          <t>PRODUCT_CATEGORY</t>
        </is>
      </c>
      <c r="D412" s="385" t="inlineStr">
        <is>
          <t>1:1</t>
        </is>
      </c>
      <c r="E412" s="412" t="inlineStr">
        <is>
          <t>Posting Entry</t>
        </is>
      </c>
      <c r="F412" s="412" t="inlineStr">
        <is>
          <t>Accounting Product Category Code</t>
        </is>
      </c>
      <c r="G412" s="385" t="inlineStr">
        <is>
          <t>PG_BRONZE</t>
        </is>
      </c>
      <c r="H412" s="386" t="inlineStr">
        <is>
          <t>T24CORE_STMT_ENTRY</t>
        </is>
      </c>
      <c r="I412" s="386" t="inlineStr">
        <is>
          <t>PRODUCT_CATEGORY</t>
        </is>
      </c>
      <c r="J412" s="410" t="inlineStr">
        <is>
          <t>VARCHAR2</t>
        </is>
      </c>
      <c r="K412" s="408" t="n">
        <v>100</v>
      </c>
      <c r="L412" s="412" t="inlineStr">
        <is>
          <t>Loại sản phẩm hạch toán</t>
        </is>
      </c>
      <c r="M412" s="412">
        <f>"COMMENT ON COLUMN "&amp;G412&amp;"."&amp;H412&amp;"."&amp;I412&amp;" IS '"&amp;L412&amp;"';"</f>
        <v/>
      </c>
      <c r="N412" s="414" t="inlineStr">
        <is>
          <t>Map 1:1 nguyên bản từ T24CORE.STMT_ENTRY.PRODUCT_CATEGORY sang PG_BRONZE.T24CORE_STMT_ENTRY.PRODUCT_CATEGORY</t>
        </is>
      </c>
    </row>
    <row r="413" ht="27" customHeight="1" s="335">
      <c r="A413" s="386" t="inlineStr">
        <is>
          <t>T24CORE</t>
        </is>
      </c>
      <c r="B413" s="386" t="inlineStr">
        <is>
          <t>STMT_ENTRY</t>
        </is>
      </c>
      <c r="C413" s="386" t="inlineStr">
        <is>
          <t>RECID</t>
        </is>
      </c>
      <c r="D413" s="385" t="inlineStr">
        <is>
          <t>1:1</t>
        </is>
      </c>
      <c r="E413" s="412" t="inlineStr">
        <is>
          <t>Posting Entry</t>
        </is>
      </c>
      <c r="F413" s="412" t="inlineStr">
        <is>
          <t>Posting Entry Number</t>
        </is>
      </c>
      <c r="G413" s="385" t="inlineStr">
        <is>
          <t>PG_BRONZE</t>
        </is>
      </c>
      <c r="H413" s="386" t="inlineStr">
        <is>
          <t>T24CORE_STMT_ENTRY</t>
        </is>
      </c>
      <c r="I413" s="386" t="inlineStr">
        <is>
          <t>RECID</t>
        </is>
      </c>
      <c r="J413" s="410" t="inlineStr">
        <is>
          <t>VARCHAR2</t>
        </is>
      </c>
      <c r="K413" s="408" t="n">
        <v>100</v>
      </c>
      <c r="L413" s="412" t="inlineStr">
        <is>
          <t>Mã giao dịch, Unique ID</t>
        </is>
      </c>
      <c r="M413" s="412">
        <f>"COMMENT ON COLUMN "&amp;G413&amp;"."&amp;H413&amp;"."&amp;I413&amp;" IS '"&amp;L413&amp;"';"</f>
        <v/>
      </c>
      <c r="N413" s="414" t="inlineStr">
        <is>
          <t>Map 1:1 nguyên bản từ T24CORE.STMT_ENTRY.RECID sang PG_BRONZE.T24CORE_STMT_ENTRY.RECID</t>
        </is>
      </c>
    </row>
    <row r="414" ht="41.25" customHeight="1" s="335">
      <c r="A414" s="386" t="inlineStr">
        <is>
          <t>T24CORE</t>
        </is>
      </c>
      <c r="B414" s="386" t="inlineStr">
        <is>
          <t>STMT_ENTRY</t>
        </is>
      </c>
      <c r="C414" s="386" t="inlineStr">
        <is>
          <t>RECORD_STATUS</t>
        </is>
      </c>
      <c r="D414" s="385" t="inlineStr">
        <is>
          <t>1:1</t>
        </is>
      </c>
      <c r="E414" s="412" t="inlineStr">
        <is>
          <t>Posting Entry</t>
        </is>
      </c>
      <c r="F414" s="412" t="inlineStr">
        <is>
          <t>Record Status</t>
        </is>
      </c>
      <c r="G414" s="385" t="inlineStr">
        <is>
          <t>PG_BRONZE</t>
        </is>
      </c>
      <c r="H414" s="386" t="inlineStr">
        <is>
          <t>T24CORE_STMT_ENTRY</t>
        </is>
      </c>
      <c r="I414" s="386" t="inlineStr">
        <is>
          <t>RECORD_STATUS</t>
        </is>
      </c>
      <c r="J414" s="410" t="inlineStr">
        <is>
          <t>VARCHAR2</t>
        </is>
      </c>
      <c r="K414" s="408" t="n">
        <v>100</v>
      </c>
      <c r="L414" s="412" t="inlineStr">
        <is>
          <t>Trạng Thái bản ghi</t>
        </is>
      </c>
      <c r="M414" s="412">
        <f>"COMMENT ON COLUMN "&amp;G414&amp;"."&amp;H414&amp;"."&amp;I414&amp;" IS '"&amp;L414&amp;"';"</f>
        <v/>
      </c>
      <c r="N414" s="414" t="inlineStr">
        <is>
          <t>Map 1:1 nguyên bản từ T24CORE.STMT_ENTRY.RECORD_STATUS sang PG_BRONZE.T24CORE_STMT_ENTRY.RECORD_STATUS</t>
        </is>
      </c>
    </row>
    <row r="415" ht="41.25" customHeight="1" s="335">
      <c r="A415" s="386" t="inlineStr">
        <is>
          <t>T24CORE</t>
        </is>
      </c>
      <c r="B415" s="386" t="inlineStr">
        <is>
          <t>STMT_ENTRY</t>
        </is>
      </c>
      <c r="C415" s="386" t="inlineStr">
        <is>
          <t>REPAYMENT_AMT</t>
        </is>
      </c>
      <c r="D415" s="385" t="inlineStr">
        <is>
          <t>1:1</t>
        </is>
      </c>
      <c r="E415" s="412" t="inlineStr">
        <is>
          <t>Posting Entry</t>
        </is>
      </c>
      <c r="F415" s="412" t="inlineStr">
        <is>
          <t>Repayment Amount</t>
        </is>
      </c>
      <c r="G415" s="385" t="inlineStr">
        <is>
          <t>PG_BRONZE</t>
        </is>
      </c>
      <c r="H415" s="386" t="inlineStr">
        <is>
          <t>T24CORE_STMT_ENTRY</t>
        </is>
      </c>
      <c r="I415" s="386" t="inlineStr">
        <is>
          <t>REPAYMENT_AMT</t>
        </is>
      </c>
      <c r="J415" s="410" t="inlineStr">
        <is>
          <t>NUMBER</t>
        </is>
      </c>
      <c r="K415" s="408" t="n">
        <v>25.5</v>
      </c>
      <c r="L415" s="412" t="inlineStr">
        <is>
          <t>Số tiền thu nợ</t>
        </is>
      </c>
      <c r="M415" s="412">
        <f>"COMMENT ON COLUMN "&amp;G415&amp;"."&amp;H415&amp;"."&amp;I415&amp;" IS '"&amp;L415&amp;"';"</f>
        <v/>
      </c>
      <c r="N415" s="414" t="inlineStr">
        <is>
          <t>Map 1:1 nguyên bản từ T24CORE.STMT_ENTRY.REPAYMENT_AMT sang PG_BRONZE.T24CORE_STMT_ENTRY.REPAYMENT_AMT</t>
        </is>
      </c>
    </row>
    <row r="416" ht="41.25" customHeight="1" s="335">
      <c r="A416" s="386" t="inlineStr">
        <is>
          <t>T24CORE</t>
        </is>
      </c>
      <c r="B416" s="386" t="inlineStr">
        <is>
          <t>STMT_ENTRY</t>
        </is>
      </c>
      <c r="C416" s="386" t="inlineStr">
        <is>
          <t>REPAYMENT_DATE</t>
        </is>
      </c>
      <c r="D416" s="385" t="inlineStr">
        <is>
          <t>1:1</t>
        </is>
      </c>
      <c r="E416" s="412" t="inlineStr">
        <is>
          <t>Posting Entry</t>
        </is>
      </c>
      <c r="F416" s="412" t="inlineStr">
        <is>
          <t>Repayment Date</t>
        </is>
      </c>
      <c r="G416" s="385" t="inlineStr">
        <is>
          <t>PG_BRONZE</t>
        </is>
      </c>
      <c r="H416" s="386" t="inlineStr">
        <is>
          <t>T24CORE_STMT_ENTRY</t>
        </is>
      </c>
      <c r="I416" s="386" t="inlineStr">
        <is>
          <t>REPAYMENT_DATE</t>
        </is>
      </c>
      <c r="J416" s="410" t="inlineStr">
        <is>
          <t>DATE</t>
        </is>
      </c>
      <c r="K416" s="408" t="n">
        <v>8</v>
      </c>
      <c r="L416" s="412" t="inlineStr">
        <is>
          <t>Ngày thu</t>
        </is>
      </c>
      <c r="M416" s="412">
        <f>"COMMENT ON COLUMN "&amp;G416&amp;"."&amp;H416&amp;"."&amp;I416&amp;" IS '"&amp;L416&amp;"';"</f>
        <v/>
      </c>
      <c r="N416" s="414" t="inlineStr">
        <is>
          <t>Map 1:1 nguyên bản từ T24CORE.STMT_ENTRY.REPAYMENT_DATE sang PG_BRONZE.T24CORE_STMT_ENTRY.REPAYMENT_DATE</t>
        </is>
      </c>
    </row>
    <row r="417" ht="41.25" customHeight="1" s="335">
      <c r="A417" s="386" t="inlineStr">
        <is>
          <t>T24CORE</t>
        </is>
      </c>
      <c r="B417" s="386" t="inlineStr">
        <is>
          <t>STMT_ENTRY</t>
        </is>
      </c>
      <c r="C417" s="386" t="inlineStr">
        <is>
          <t>REPAYMENT_TYPE</t>
        </is>
      </c>
      <c r="D417" s="385" t="inlineStr">
        <is>
          <t>1:1</t>
        </is>
      </c>
      <c r="E417" s="412" t="inlineStr">
        <is>
          <t>Posting Entry</t>
        </is>
      </c>
      <c r="F417" s="412" t="inlineStr">
        <is>
          <t>Repayment Type</t>
        </is>
      </c>
      <c r="G417" s="385" t="inlineStr">
        <is>
          <t>PG_BRONZE</t>
        </is>
      </c>
      <c r="H417" s="386" t="inlineStr">
        <is>
          <t>T24CORE_STMT_ENTRY</t>
        </is>
      </c>
      <c r="I417" s="386" t="inlineStr">
        <is>
          <t>REPAYMENT_TYPE</t>
        </is>
      </c>
      <c r="J417" s="410" t="inlineStr">
        <is>
          <t>VARCHAR2</t>
        </is>
      </c>
      <c r="K417" s="408" t="n">
        <v>100</v>
      </c>
      <c r="L417" s="412" t="inlineStr">
        <is>
          <t>Loại thu nợ</t>
        </is>
      </c>
      <c r="M417" s="412">
        <f>"COMMENT ON COLUMN "&amp;G417&amp;"."&amp;H417&amp;"."&amp;I417&amp;" IS '"&amp;L417&amp;"';"</f>
        <v/>
      </c>
      <c r="N417" s="414" t="inlineStr">
        <is>
          <t>Map 1:1 nguyên bản từ T24CORE.STMT_ENTRY.REPAYMENT_TYPE sang PG_BRONZE.T24CORE_STMT_ENTRY.REPAYMENT_TYPE</t>
        </is>
      </c>
    </row>
    <row r="418" ht="41.25" customHeight="1" s="335">
      <c r="A418" s="386" t="inlineStr">
        <is>
          <t>T24CORE</t>
        </is>
      </c>
      <c r="B418" s="386" t="inlineStr">
        <is>
          <t>STMT_ENTRY</t>
        </is>
      </c>
      <c r="C418" s="386" t="inlineStr">
        <is>
          <t>SUSPENSE_CATEGORY</t>
        </is>
      </c>
      <c r="D418" s="385" t="inlineStr">
        <is>
          <t>1:1</t>
        </is>
      </c>
      <c r="E418" s="412" t="inlineStr">
        <is>
          <t>Posting Entry</t>
        </is>
      </c>
      <c r="F418" s="412" t="inlineStr">
        <is>
          <t>Suspense Category</t>
        </is>
      </c>
      <c r="G418" s="385" t="inlineStr">
        <is>
          <t>PG_BRONZE</t>
        </is>
      </c>
      <c r="H418" s="386" t="inlineStr">
        <is>
          <t>T24CORE_STMT_ENTRY</t>
        </is>
      </c>
      <c r="I418" s="386" t="inlineStr">
        <is>
          <t>SUSPENSE_CATEGORY</t>
        </is>
      </c>
      <c r="J418" s="410" t="inlineStr">
        <is>
          <t>VARCHAR2</t>
        </is>
      </c>
      <c r="K418" s="408" t="n">
        <v>100</v>
      </c>
      <c r="L418" s="412" t="inlineStr">
        <is>
          <t>Mã Category phân loại bút toán bị treo</t>
        </is>
      </c>
      <c r="M418" s="412">
        <f>"COMMENT ON COLUMN "&amp;G418&amp;"."&amp;H418&amp;"."&amp;I418&amp;" IS '"&amp;L418&amp;"';"</f>
        <v/>
      </c>
      <c r="N418" s="414" t="inlineStr">
        <is>
          <t>Map 1:1 nguyên bản từ T24CORE.STMT_ENTRY.SUSPENSE_CATEGORY sang PG_BRONZE.T24CORE_STMT_ENTRY.SUSPENSE_CATEGORY</t>
        </is>
      </c>
    </row>
    <row r="419" ht="41.25" customHeight="1" s="335">
      <c r="A419" s="386" t="inlineStr">
        <is>
          <t>T24CORE</t>
        </is>
      </c>
      <c r="B419" s="386" t="inlineStr">
        <is>
          <t>STMT_ENTRY</t>
        </is>
      </c>
      <c r="C419" s="386" t="inlineStr">
        <is>
          <t>SUSPNSE_VALUE_DATE</t>
        </is>
      </c>
      <c r="D419" s="385" t="inlineStr">
        <is>
          <t>1:1</t>
        </is>
      </c>
      <c r="E419" s="412" t="inlineStr">
        <is>
          <t>Posting Entry</t>
        </is>
      </c>
      <c r="F419" s="412" t="inlineStr">
        <is>
          <t>Suspense Value Date</t>
        </is>
      </c>
      <c r="G419" s="385" t="inlineStr">
        <is>
          <t>PG_BRONZE</t>
        </is>
      </c>
      <c r="H419" s="386" t="inlineStr">
        <is>
          <t>T24CORE_STMT_ENTRY</t>
        </is>
      </c>
      <c r="I419" s="386" t="inlineStr">
        <is>
          <t>SUSPNSE_VALUE_DATE</t>
        </is>
      </c>
      <c r="J419" s="410" t="inlineStr">
        <is>
          <t>DATE</t>
        </is>
      </c>
      <c r="K419" s="408" t="n">
        <v>8</v>
      </c>
      <c r="L419" s="412" t="inlineStr">
        <is>
          <t>Ngày bút toán treo</t>
        </is>
      </c>
      <c r="M419" s="412">
        <f>"COMMENT ON COLUMN "&amp;G419&amp;"."&amp;H419&amp;"."&amp;I419&amp;" IS '"&amp;L419&amp;"';"</f>
        <v/>
      </c>
      <c r="N419" s="414" t="inlineStr">
        <is>
          <t>Map 1:1 nguyên bản từ T24CORE.STMT_ENTRY.SUSPNSE_VALUE_DATE sang PG_BRONZE.T24CORE_STMT_ENTRY.SUSPNSE_VALUE_DATE</t>
        </is>
      </c>
    </row>
    <row r="420" ht="27" customHeight="1" s="335">
      <c r="A420" s="386" t="inlineStr">
        <is>
          <t>T24CORE</t>
        </is>
      </c>
      <c r="B420" s="386" t="inlineStr">
        <is>
          <t>STMT_ENTRY</t>
        </is>
      </c>
      <c r="C420" s="386" t="inlineStr">
        <is>
          <t>SYSTEM_ID</t>
        </is>
      </c>
      <c r="D420" s="385" t="inlineStr">
        <is>
          <t>1:1</t>
        </is>
      </c>
      <c r="E420" s="412" t="inlineStr">
        <is>
          <t>Posting Entry</t>
        </is>
      </c>
      <c r="F420" s="412" t="inlineStr">
        <is>
          <t>Module Code</t>
        </is>
      </c>
      <c r="G420" s="385" t="inlineStr">
        <is>
          <t>PG_BRONZE</t>
        </is>
      </c>
      <c r="H420" s="386" t="inlineStr">
        <is>
          <t>T24CORE_STMT_ENTRY</t>
        </is>
      </c>
      <c r="I420" s="386" t="inlineStr">
        <is>
          <t>SYSTEM_ID</t>
        </is>
      </c>
      <c r="J420" s="410" t="inlineStr">
        <is>
          <t>VARCHAR2</t>
        </is>
      </c>
      <c r="K420" s="408" t="n">
        <v>100</v>
      </c>
      <c r="L420" s="412" t="inlineStr">
        <is>
          <t>Mã phân hệ</t>
        </is>
      </c>
      <c r="M420" s="412">
        <f>"COMMENT ON COLUMN "&amp;G420&amp;"."&amp;H420&amp;"."&amp;I420&amp;" IS '"&amp;L420&amp;"';"</f>
        <v/>
      </c>
      <c r="N420" s="414" t="inlineStr">
        <is>
          <t>Map 1:1 nguyên bản từ T24CORE.STMT_ENTRY.SYSTEM_ID sang PG_BRONZE.T24CORE_STMT_ENTRY.SYSTEM_ID</t>
        </is>
      </c>
    </row>
    <row r="421" ht="41.25" customHeight="1" s="335">
      <c r="A421" s="386" t="inlineStr">
        <is>
          <t>T24CORE</t>
        </is>
      </c>
      <c r="B421" s="386" t="inlineStr">
        <is>
          <t>STMT_ENTRY</t>
        </is>
      </c>
      <c r="C421" s="386" t="inlineStr">
        <is>
          <t>TRANSACTION_CODE</t>
        </is>
      </c>
      <c r="D421" s="385" t="inlineStr">
        <is>
          <t>1:1</t>
        </is>
      </c>
      <c r="E421" s="412" t="inlineStr">
        <is>
          <t>Posting Entry</t>
        </is>
      </c>
      <c r="F421" s="412" t="inlineStr">
        <is>
          <t>Transaction Type</t>
        </is>
      </c>
      <c r="G421" s="385" t="inlineStr">
        <is>
          <t>PG_BRONZE</t>
        </is>
      </c>
      <c r="H421" s="386" t="inlineStr">
        <is>
          <t>T24CORE_STMT_ENTRY</t>
        </is>
      </c>
      <c r="I421" s="386" t="inlineStr">
        <is>
          <t>TRANSACTION_CODE</t>
        </is>
      </c>
      <c r="J421" s="410" t="inlineStr">
        <is>
          <t>VARCHAR2</t>
        </is>
      </c>
      <c r="K421" s="408" t="n">
        <v>100</v>
      </c>
      <c r="L421" s="412" t="inlineStr">
        <is>
          <t>Mã giao dịch</t>
        </is>
      </c>
      <c r="M421" s="412">
        <f>"COMMENT ON COLUMN "&amp;G421&amp;"."&amp;H421&amp;"."&amp;I421&amp;" IS '"&amp;L421&amp;"';"</f>
        <v/>
      </c>
      <c r="N421" s="414" t="inlineStr">
        <is>
          <t>Map 1:1 nguyên bản từ T24CORE.STMT_ENTRY.TRANSACTION_CODE sang PG_BRONZE.T24CORE_STMT_ENTRY.TRANSACTION_CODE</t>
        </is>
      </c>
    </row>
    <row r="422" ht="41.25" customHeight="1" s="335">
      <c r="A422" s="386" t="inlineStr">
        <is>
          <t>T24CORE</t>
        </is>
      </c>
      <c r="B422" s="386" t="inlineStr">
        <is>
          <t>STMT_ENTRY</t>
        </is>
      </c>
      <c r="C422" s="386" t="inlineStr">
        <is>
          <t>VALUE_DATE</t>
        </is>
      </c>
      <c r="D422" s="385" t="inlineStr">
        <is>
          <t>1:1</t>
        </is>
      </c>
      <c r="E422" s="412" t="inlineStr">
        <is>
          <t>Posting Entry</t>
        </is>
      </c>
      <c r="F422" s="412" t="inlineStr">
        <is>
          <t>Value Date</t>
        </is>
      </c>
      <c r="G422" s="385" t="inlineStr">
        <is>
          <t>PG_BRONZE</t>
        </is>
      </c>
      <c r="H422" s="386" t="inlineStr">
        <is>
          <t>T24CORE_STMT_ENTRY</t>
        </is>
      </c>
      <c r="I422" s="386" t="inlineStr">
        <is>
          <t>VALUE_DATE</t>
        </is>
      </c>
      <c r="J422" s="410" t="inlineStr">
        <is>
          <t>DATE</t>
        </is>
      </c>
      <c r="K422" s="408" t="n">
        <v>8</v>
      </c>
      <c r="L422" s="412" t="inlineStr">
        <is>
          <t>Ngay Hieu luc but toan</t>
        </is>
      </c>
      <c r="M422" s="412">
        <f>"COMMENT ON COLUMN "&amp;G422&amp;"."&amp;H422&amp;"."&amp;I422&amp;" IS '"&amp;L422&amp;"';"</f>
        <v/>
      </c>
      <c r="N422" s="414" t="inlineStr">
        <is>
          <t>Map 1:1 nguyên bản từ T24CORE.STMT_ENTRY.VALUE_DATE sang PG_BRONZE.T24CORE_STMT_ENTRY.VALUE_DATE</t>
        </is>
      </c>
    </row>
    <row r="423" ht="41.25" customHeight="1" s="335">
      <c r="A423" s="386" t="inlineStr">
        <is>
          <t>T24CORE</t>
        </is>
      </c>
      <c r="B423" s="386" t="inlineStr">
        <is>
          <t>PD_PAYMENT_DUE_HIS_MV</t>
        </is>
      </c>
      <c r="C423" s="386" t="inlineStr">
        <is>
          <t>PAYMENT_DTE_DUE</t>
        </is>
      </c>
      <c r="D423" s="385" t="inlineStr">
        <is>
          <t>1:1</t>
        </is>
      </c>
      <c r="E423" s="412" t="inlineStr">
        <is>
          <t>Arrangement Delinquency Summary / sk_lich_tra_no</t>
        </is>
      </c>
      <c r="F423" s="412" t="inlineStr">
        <is>
          <t>Payment Date Due</t>
        </is>
      </c>
      <c r="G423" s="385" t="inlineStr">
        <is>
          <t>PG_BRONZE</t>
        </is>
      </c>
      <c r="H423" s="386" t="inlineStr">
        <is>
          <t>T24CORE_PD_PAYMENT_DUE_HIS_MV</t>
        </is>
      </c>
      <c r="I423" s="386" t="inlineStr">
        <is>
          <t>PAYMENT_DTE_DUE</t>
        </is>
      </c>
      <c r="J423" s="410" t="inlineStr">
        <is>
          <t>DATE</t>
        </is>
      </c>
      <c r="K423" s="408" t="n">
        <v>8</v>
      </c>
      <c r="L423" s="412" t="inlineStr">
        <is>
          <t>Hạn thanh toán lịch sử quá hạn</t>
        </is>
      </c>
      <c r="M423" s="412">
        <f>"COMMENT ON COLUMN "&amp;G423&amp;"."&amp;H423&amp;"."&amp;I423&amp;" IS '"&amp;L423&amp;"';"</f>
        <v/>
      </c>
      <c r="N423" s="414" t="inlineStr">
        <is>
          <t>Ingest 1:1 nguyên bản + bổ sung 3 cột Audit (ETL_DATE, INGEST_TMS, SRC_STM_CODE)</t>
        </is>
      </c>
    </row>
    <row r="424" ht="41.25" customHeight="1" s="335">
      <c r="A424" s="386" t="inlineStr">
        <is>
          <t>T24CORE</t>
        </is>
      </c>
      <c r="B424" s="386" t="inlineStr">
        <is>
          <t>PD_PAYMENT_DUE_HIS_MV</t>
        </is>
      </c>
      <c r="C424" s="386" t="inlineStr">
        <is>
          <t>PAY_AMT_OUTS</t>
        </is>
      </c>
      <c r="D424" s="385" t="inlineStr">
        <is>
          <t>1:1</t>
        </is>
      </c>
      <c r="E424" s="412" t="inlineStr">
        <is>
          <t>Arrangement Delinquency Summary / sk_lich_tra_no</t>
        </is>
      </c>
      <c r="F424" s="412" t="inlineStr">
        <is>
          <t>Pay Amount Outstanding</t>
        </is>
      </c>
      <c r="G424" s="385" t="inlineStr">
        <is>
          <t>PG_BRONZE</t>
        </is>
      </c>
      <c r="H424" s="386" t="inlineStr">
        <is>
          <t>T24CORE_PD_PAYMENT_DUE_HIS_MV</t>
        </is>
      </c>
      <c r="I424" s="386" t="inlineStr">
        <is>
          <t>PAY_AMT_OUTS</t>
        </is>
      </c>
      <c r="J424" s="410" t="inlineStr">
        <is>
          <t>NUMBER</t>
        </is>
      </c>
      <c r="K424" s="408" t="n">
        <v>25.5</v>
      </c>
      <c r="L424" s="412" t="inlineStr">
        <is>
          <t>Số tiền quá hạn còn lại chưa thanh toán</t>
        </is>
      </c>
      <c r="M424" s="412">
        <f>"COMMENT ON COLUMN "&amp;G424&amp;"."&amp;H424&amp;"."&amp;I424&amp;" IS '"&amp;L424&amp;"';"</f>
        <v/>
      </c>
      <c r="N424" s="414" t="inlineStr">
        <is>
          <t>Ingest 1:1 nguyên bản + bổ sung 3 cột Audit (ETL_DATE, INGEST_TMS, SRC_STM_CODE)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3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36" customWidth="1" style="334" min="1" max="1"/>
    <col width="22" customWidth="1" style="334" min="2" max="2"/>
    <col width="18" customWidth="1" style="415" min="3" max="3"/>
    <col width="30" customWidth="1" style="415" min="4" max="4"/>
    <col width="26" customWidth="1" style="415" min="5" max="5"/>
    <col width="16" customWidth="1" style="334" min="6" max="26"/>
  </cols>
  <sheetData>
    <row r="1" ht="14.25" customHeight="1" s="335">
      <c r="A1" s="384" t="inlineStr">
        <is>
          <t>Key_Lookup</t>
        </is>
      </c>
      <c r="B1" s="384" t="inlineStr">
        <is>
          <t>TRG (Bảng Đích Silver)</t>
        </is>
      </c>
      <c r="C1" s="384" t="inlineStr">
        <is>
          <t>Source (Schema Nguồn)</t>
        </is>
      </c>
      <c r="D1" s="384" t="inlineStr">
        <is>
          <t>Tables (Bảng Nguồn)</t>
        </is>
      </c>
      <c r="E1" s="384" t="inlineStr">
        <is>
          <t>Column (Cột Nguồn)</t>
        </is>
      </c>
      <c r="F1" s="384" t="inlineStr">
        <is>
          <t>Logic Ingest Bronze</t>
        </is>
      </c>
      <c r="G1" s="384" t="inlineStr">
        <is>
          <t>Schema Bronze</t>
        </is>
      </c>
      <c r="H1" s="384" t="inlineStr">
        <is>
          <t>Bảng Đích Bronze (1:1)</t>
        </is>
      </c>
      <c r="I1" s="384" t="inlineStr">
        <is>
          <t>Cột Đích Bronze (1:1)</t>
        </is>
      </c>
      <c r="J1" s="413" t="inlineStr">
        <is>
          <t>Schema Đích Silver</t>
        </is>
      </c>
      <c r="K1" s="413" t="inlineStr">
        <is>
          <t>Cột Đích Silver</t>
        </is>
      </c>
      <c r="L1" s="413" t="inlineStr">
        <is>
          <t>Kiểu Dữ Liệu</t>
        </is>
      </c>
      <c r="M1" s="413" t="inlineStr">
        <is>
          <t>Điều Kiện Join / Filter (Từ PG_BRONZE)</t>
        </is>
      </c>
      <c r="N1" s="413" t="inlineStr">
        <is>
          <t>Công Thức Transform (Bronze -&gt; Silver)</t>
        </is>
      </c>
      <c r="O1" s="413" t="inlineStr">
        <is>
          <t>Tầng Đích Medallion</t>
        </is>
      </c>
      <c r="P1" s="413" t="inlineStr">
        <is>
          <t>Diễn Giải &amp; Quy Tắc Ánh Xạ</t>
        </is>
      </c>
    </row>
    <row r="2" ht="14.25" customHeight="1" s="335">
      <c r="A2" s="416">
        <f>C2&amp;D2&amp;E2</f>
        <v/>
      </c>
      <c r="B2" s="416" t="inlineStr">
        <is>
          <t>CUST_INFO_DAILY</t>
        </is>
      </c>
      <c r="C2" s="416" t="inlineStr">
        <is>
          <t>EBANKING</t>
        </is>
      </c>
      <c r="D2" s="416" t="inlineStr">
        <is>
          <t>COL_UDF_VALUE@PGDB</t>
        </is>
      </c>
      <c r="E2" s="416" t="inlineStr">
        <is>
          <t>COL_REF</t>
        </is>
      </c>
      <c r="F2" s="417" t="inlineStr">
        <is>
          <t>1:1</t>
        </is>
      </c>
      <c r="G2" s="417" t="inlineStr">
        <is>
          <t>PG_BRONZE</t>
        </is>
      </c>
      <c r="H2" s="377" t="inlineStr">
        <is>
          <t>EBANKING_COL_UDF_VALUE</t>
        </is>
      </c>
      <c r="I2" s="377" t="inlineStr">
        <is>
          <t>COL_REF</t>
        </is>
      </c>
      <c r="J2" s="417" t="inlineStr">
        <is>
          <t>PG_SILVER</t>
        </is>
      </c>
      <c r="K2" s="377" t="inlineStr">
        <is>
          <t>COL_REF</t>
        </is>
      </c>
      <c r="L2" s="417" t="inlineStr">
        <is>
          <t>VARCHAR2(100)</t>
        </is>
      </c>
      <c r="M2" s="377" t="inlineStr">
        <is>
          <t>LEFT JOIN PG_BRONZE.EBANKING_COL_UDF_VALUE col_udf ON m.CONTRACT_REF_NO = col_udf.COL_REF AND col_udf.UDF_ID = 'NHANNO_BATBUOC'</t>
        </is>
      </c>
      <c r="N2" s="377" t="inlineStr">
        <is>
          <t>TRIM(col_udf.COL_REF)</t>
        </is>
      </c>
      <c r="O2" s="377" t="inlineStr">
        <is>
          <t>Source -&gt; PG_BRONZE (1:1) -&gt; PG_SILVER (Temp 1)</t>
        </is>
      </c>
      <c r="P2" s="357" t="inlineStr">
        <is>
          <t>Cột Tham chiếu (Map từ PG_BRONZE.EBANKING_COL_UDF_VALUE.COL_REF -&gt; PG_SILVER.CUST_INFO_DAILY.COL_REF)</t>
        </is>
      </c>
    </row>
    <row r="3" ht="14.25" customHeight="1" s="335">
      <c r="A3" s="416">
        <f>C3&amp;D3&amp;E3</f>
        <v/>
      </c>
      <c r="B3" s="416" t="inlineStr">
        <is>
          <t>CUST_INFO_DAILY</t>
        </is>
      </c>
      <c r="C3" s="416" t="inlineStr">
        <is>
          <t>EBANKING</t>
        </is>
      </c>
      <c r="D3" s="416" t="inlineStr">
        <is>
          <t>COL_UDF_VALUE@PGDB</t>
        </is>
      </c>
      <c r="E3" s="416" t="inlineStr">
        <is>
          <t>FUNCTION_CODE</t>
        </is>
      </c>
      <c r="F3" s="417" t="inlineStr">
        <is>
          <t>1:1</t>
        </is>
      </c>
      <c r="G3" s="417" t="inlineStr">
        <is>
          <t>PG_BRONZE</t>
        </is>
      </c>
      <c r="H3" s="377" t="inlineStr">
        <is>
          <t>EBANKING_COL_UDF_VALUE</t>
        </is>
      </c>
      <c r="I3" s="377" t="inlineStr">
        <is>
          <t>FUNCTION_CODE</t>
        </is>
      </c>
      <c r="J3" s="417" t="inlineStr">
        <is>
          <t>PG_SILVER</t>
        </is>
      </c>
      <c r="K3" s="377" t="inlineStr">
        <is>
          <t>FUNCTION_CODE</t>
        </is>
      </c>
      <c r="L3" s="417" t="inlineStr">
        <is>
          <t>VARCHAR2(100)</t>
        </is>
      </c>
      <c r="M3" s="377" t="inlineStr">
        <is>
          <t>LEFT JOIN PG_BRONZE.EBANKING_COL_UDF_VALUE col_udf ON m.CONTRACT_REF_NO = col_udf.COL_REF AND col_udf.UDF_ID = 'NHANNO_BATBUOC'</t>
        </is>
      </c>
      <c r="N3" s="377" t="inlineStr">
        <is>
          <t>TRIM(col_udf.FUNCTION_CODE)</t>
        </is>
      </c>
      <c r="O3" s="377" t="inlineStr">
        <is>
          <t>Source -&gt; PG_BRONZE (1:1) -&gt; PG_SILVER (Temp 1)</t>
        </is>
      </c>
      <c r="P3" s="357" t="inlineStr">
        <is>
          <t>Mã chức năng (Map từ PG_BRONZE.EBANKING_COL_UDF_VALUE.FUNCTION_CODE -&gt; PG_SILVER.CUST_INFO_DAILY.FUNCTION_CODE)</t>
        </is>
      </c>
    </row>
    <row r="4" ht="14.25" customHeight="1" s="335">
      <c r="A4" s="416">
        <f>C4&amp;D4&amp;E4</f>
        <v/>
      </c>
      <c r="B4" s="416" t="inlineStr">
        <is>
          <t>CUST_INFO_DAILY</t>
        </is>
      </c>
      <c r="C4" s="416" t="inlineStr">
        <is>
          <t>EBANKING</t>
        </is>
      </c>
      <c r="D4" s="416" t="inlineStr">
        <is>
          <t>COL_UDF_VALUE@PGDB</t>
        </is>
      </c>
      <c r="E4" s="416" t="inlineStr">
        <is>
          <t>UDF_VALUE</t>
        </is>
      </c>
      <c r="F4" s="417" t="inlineStr">
        <is>
          <t>1:1</t>
        </is>
      </c>
      <c r="G4" s="417" t="inlineStr">
        <is>
          <t>PG_BRONZE</t>
        </is>
      </c>
      <c r="H4" s="377" t="inlineStr">
        <is>
          <t>EBANKING_COL_UDF_VALUE</t>
        </is>
      </c>
      <c r="I4" s="377" t="inlineStr">
        <is>
          <t>UDF_VALUE</t>
        </is>
      </c>
      <c r="J4" s="417" t="inlineStr">
        <is>
          <t>PG_SILVER</t>
        </is>
      </c>
      <c r="K4" s="377" t="inlineStr">
        <is>
          <t>UDF_VALUE</t>
        </is>
      </c>
      <c r="L4" s="417" t="inlineStr">
        <is>
          <t>VARCHAR2(100)</t>
        </is>
      </c>
      <c r="M4" s="377" t="inlineStr">
        <is>
          <t>LEFT JOIN PG_BRONZE.EBANKING_COL_UDF_VALUE col_udf ON m.CONTRACT_REF_NO = col_udf.COL_REF AND col_udf.UDF_ID = 'NHANNO_BATBUOC'</t>
        </is>
      </c>
      <c r="N4" s="377" t="inlineStr">
        <is>
          <t>TRIM(col_udf.UDF_VALUE)</t>
        </is>
      </c>
      <c r="O4" s="377" t="inlineStr">
        <is>
          <t>Source -&gt; PG_BRONZE (1:1) -&gt; PG_SILVER (Temp 1)</t>
        </is>
      </c>
      <c r="P4" s="357" t="inlineStr">
        <is>
          <t>Giá trị UDF (Map từ PG_BRONZE.EBANKING_COL_UDF_VALUE.UDF_VALUE -&gt; PG_SILVER.CUST_INFO_DAILY.UDF_VALUE)</t>
        </is>
      </c>
    </row>
    <row r="5" ht="14.25" customHeight="1" s="335">
      <c r="A5" s="416">
        <f>C5&amp;D5&amp;E5</f>
        <v/>
      </c>
      <c r="B5" s="416" t="inlineStr">
        <is>
          <t>CUST_INFO_DAILY</t>
        </is>
      </c>
      <c r="C5" s="416" t="inlineStr">
        <is>
          <t>FLEXBO</t>
        </is>
      </c>
      <c r="D5" s="416" t="inlineStr">
        <is>
          <t>PGB_CONTRACT_UDF_MAP</t>
        </is>
      </c>
      <c r="E5" s="416" t="inlineStr">
        <is>
          <t>CONTRACT_REF_NO</t>
        </is>
      </c>
      <c r="F5" s="417" t="inlineStr">
        <is>
          <t>1:1</t>
        </is>
      </c>
      <c r="G5" s="417" t="inlineStr">
        <is>
          <t>PG_BRONZE</t>
        </is>
      </c>
      <c r="H5" s="377" t="inlineStr">
        <is>
          <t>FLEXBO_PGB_CONTRACT_UDF_MAP</t>
        </is>
      </c>
      <c r="I5" s="377" t="inlineStr">
        <is>
          <t>CONTRACT_REF_NO</t>
        </is>
      </c>
      <c r="J5" s="417" t="inlineStr">
        <is>
          <t>PG_SILVER</t>
        </is>
      </c>
      <c r="K5" s="377" t="inlineStr">
        <is>
          <t>UDF_MAP_CONTRACT_REF_NO</t>
        </is>
      </c>
      <c r="L5" s="417" t="inlineStr">
        <is>
          <t>VARCHAR2(100)</t>
        </is>
      </c>
      <c r="M5" s="377" t="inlineStr">
        <is>
          <t>LEFT JOIN PG_BRONZE.FLEXBO_PGB_CONTRACT_UDF_MAP udf ON m.CONTRACT_REF_NO = udf.CONTRACT_REF_NO</t>
        </is>
      </c>
      <c r="N5" s="377" t="inlineStr">
        <is>
          <t>TRIM(udf.CONTRACT_REF_NO)</t>
        </is>
      </c>
      <c r="O5" s="377" t="inlineStr">
        <is>
          <t>Source -&gt; PG_BRONZE (1:1) -&gt; PG_SILVER (Temp 1)</t>
        </is>
      </c>
      <c r="P5" s="357" t="inlineStr">
        <is>
          <t>Mã HĐ tham chiếu (Map từ PG_BRONZE.FLEXBO_PGB_CONTRACT_UDF_MAP.CONTRACT_REF_NO -&gt; PG_SILVER.CUST_INFO_DAILY.UDF_MAP_CONTRACT_REF_NO)</t>
        </is>
      </c>
    </row>
    <row r="6" ht="14.25" customHeight="1" s="335">
      <c r="A6" s="416">
        <f>C6&amp;D6&amp;E6</f>
        <v/>
      </c>
      <c r="B6" s="416" t="inlineStr">
        <is>
          <t>CUST_INFO_DAILY</t>
        </is>
      </c>
      <c r="C6" s="416" t="inlineStr">
        <is>
          <t>FLEXBO</t>
        </is>
      </c>
      <c r="D6" s="416" t="inlineStr">
        <is>
          <t>PGB_CONTRACT_UDF_MAP</t>
        </is>
      </c>
      <c r="E6" s="416" t="inlineStr">
        <is>
          <t>FIELD_NAME</t>
        </is>
      </c>
      <c r="F6" s="417" t="inlineStr">
        <is>
          <t>1:1</t>
        </is>
      </c>
      <c r="G6" s="417" t="inlineStr">
        <is>
          <t>PG_BRONZE</t>
        </is>
      </c>
      <c r="H6" s="377" t="inlineStr">
        <is>
          <t>FLEXBO_PGB_CONTRACT_UDF_MAP</t>
        </is>
      </c>
      <c r="I6" s="377" t="inlineStr">
        <is>
          <t>FIELD_NAME</t>
        </is>
      </c>
      <c r="J6" s="417" t="inlineStr">
        <is>
          <t>PG_SILVER</t>
        </is>
      </c>
      <c r="K6" s="377" t="inlineStr">
        <is>
          <t>FIELD_NAME</t>
        </is>
      </c>
      <c r="L6" s="417" t="inlineStr">
        <is>
          <t>VARCHAR2(255)</t>
        </is>
      </c>
      <c r="M6" s="377" t="inlineStr">
        <is>
          <t>LEFT JOIN PG_BRONZE.FLEXBO_PGB_CONTRACT_UDF_MAP udf ON m.CONTRACT_REF_NO = udf.CONTRACT_REF_NO</t>
        </is>
      </c>
      <c r="N6" s="377" t="inlineStr">
        <is>
          <t>TRIM(udf.FIELD_NAME)</t>
        </is>
      </c>
      <c r="O6" s="377" t="inlineStr">
        <is>
          <t>Source -&gt; PG_BRONZE (1:1) -&gt; PG_SILVER (Temp 1)</t>
        </is>
      </c>
      <c r="P6" s="357" t="inlineStr">
        <is>
          <t>Tên trường (Map từ PG_BRONZE.FLEXBO_PGB_CONTRACT_UDF_MAP.FIELD_NAME -&gt; PG_SILVER.CUST_INFO_DAILY.FIELD_NAME)</t>
        </is>
      </c>
    </row>
    <row r="7" ht="14.25" customHeight="1" s="335">
      <c r="A7" s="416">
        <f>C7&amp;D7&amp;E7</f>
        <v/>
      </c>
      <c r="B7" s="416" t="inlineStr">
        <is>
          <t>CUST_INFO_DAILY</t>
        </is>
      </c>
      <c r="C7" s="416" t="inlineStr">
        <is>
          <t>FLEXBO</t>
        </is>
      </c>
      <c r="D7" s="416" t="inlineStr">
        <is>
          <t>PGB_CONTRACT_UDF_MAP</t>
        </is>
      </c>
      <c r="E7" s="416" t="inlineStr">
        <is>
          <t>FIELD_VAL</t>
        </is>
      </c>
      <c r="F7" s="417" t="inlineStr">
        <is>
          <t>1:1</t>
        </is>
      </c>
      <c r="G7" s="417" t="inlineStr">
        <is>
          <t>PG_BRONZE</t>
        </is>
      </c>
      <c r="H7" s="377" t="inlineStr">
        <is>
          <t>FLEXBO_PGB_CONTRACT_UDF_MAP</t>
        </is>
      </c>
      <c r="I7" s="377" t="inlineStr">
        <is>
          <t>FIELD_VAL</t>
        </is>
      </c>
      <c r="J7" s="417" t="inlineStr">
        <is>
          <t>PG_SILVER</t>
        </is>
      </c>
      <c r="K7" s="377" t="inlineStr">
        <is>
          <t>FIELD_VAL</t>
        </is>
      </c>
      <c r="L7" s="417" t="inlineStr">
        <is>
          <t>VARCHAR2(100)</t>
        </is>
      </c>
      <c r="M7" s="377" t="inlineStr">
        <is>
          <t>LEFT JOIN PG_BRONZE.FLEXBO_PGB_CONTRACT_UDF_MAP udf ON m.CONTRACT_REF_NO = udf.CONTRACT_REF_NO</t>
        </is>
      </c>
      <c r="N7" s="377" t="inlineStr">
        <is>
          <t>TRIM(udf.FIELD_VAL)</t>
        </is>
      </c>
      <c r="O7" s="377" t="inlineStr">
        <is>
          <t>Source -&gt; PG_BRONZE (1:1) -&gt; PG_SILVER (Temp 1)</t>
        </is>
      </c>
      <c r="P7" s="357" t="inlineStr">
        <is>
          <t>Giá trị tương ứng với từng trường (Map từ PG_BRONZE.FLEXBO_PGB_CONTRACT_UDF_MAP.FIELD_VAL -&gt; PG_SILVER.CUST_INFO_DAILY.FIELD_VAL)</t>
        </is>
      </c>
    </row>
    <row r="8" ht="14.25" customHeight="1" s="335">
      <c r="A8" s="416">
        <f>C8&amp;D8&amp;E8</f>
        <v/>
      </c>
      <c r="B8" s="416" t="inlineStr">
        <is>
          <t>CUST_INFO_DAILY</t>
        </is>
      </c>
      <c r="C8" s="416" t="inlineStr">
        <is>
          <t>FLEXBO</t>
        </is>
      </c>
      <c r="D8" s="416" t="inlineStr">
        <is>
          <t>PGB_LDTB_CONTRACT_MASTER</t>
        </is>
      </c>
      <c r="E8" s="416" t="inlineStr">
        <is>
          <t>BOOKING_DATE</t>
        </is>
      </c>
      <c r="F8" s="417" t="inlineStr">
        <is>
          <t>1:1</t>
        </is>
      </c>
      <c r="G8" s="417" t="inlineStr">
        <is>
          <t>PG_BRONZE</t>
        </is>
      </c>
      <c r="H8" s="377" t="inlineStr">
        <is>
          <t>FLEXBO_PGB_LDTB_CONTRACT_MASTER</t>
        </is>
      </c>
      <c r="I8" s="377" t="inlineStr">
        <is>
          <t>BOOKING_DATE</t>
        </is>
      </c>
      <c r="J8" s="417" t="inlineStr">
        <is>
          <t>PG_SILVER</t>
        </is>
      </c>
      <c r="K8" s="377" t="inlineStr">
        <is>
          <t>FCC_BOOKING_DATE</t>
        </is>
      </c>
      <c r="L8" s="417" t="inlineStr">
        <is>
          <t>DATE</t>
        </is>
      </c>
      <c r="M8" s="377" t="inlineStr">
        <is>
          <t>LEFT JOIN PG_BRONZE.FLEXBO_PGB_LDTB_CONTRACT_MASTER m ON stmt.OUR_REFERENCE = m.CONTRACT_REF_NO AND m.VERSION_NO = (SELECT MAX(m2.VERSION_NO) FROM PG_BRONZE.FLEXBO_PGB_LDTB_CONTRACT_MASTER m2 WHERE m2.CONTRACT_REF_NO = m.CONTRACT_REF_NO)</t>
        </is>
      </c>
      <c r="N8" s="377" t="inlineStr">
        <is>
          <t>TO_DATE(CAST(m.BOOKING_DATE AS VARCHAR(20)), 'YYYYMMDD')</t>
        </is>
      </c>
      <c r="O8" s="377" t="inlineStr">
        <is>
          <t>Source -&gt; PG_BRONZE (1:1) -&gt; PG_SILVER (Temp 1)</t>
        </is>
      </c>
      <c r="P8" s="357" t="inlineStr">
        <is>
          <t>Ngày ghi nhận (Map từ PG_BRONZE.FLEXBO_PGB_LDTB_CONTRACT_MASTER.BOOKING_DATE -&gt; PG_SILVER.CUST_INFO_DAILY.FCC_BOOKING_DATE)</t>
        </is>
      </c>
    </row>
    <row r="9" ht="14.25" customHeight="1" s="335">
      <c r="A9" s="416">
        <f>C9&amp;D9&amp;E9</f>
        <v/>
      </c>
      <c r="B9" s="416" t="inlineStr">
        <is>
          <t>CUST_INFO_DAILY</t>
        </is>
      </c>
      <c r="C9" s="416" t="inlineStr">
        <is>
          <t>FLEXBO</t>
        </is>
      </c>
      <c r="D9" s="416" t="inlineStr">
        <is>
          <t>PGB_LDTB_CONTRACT_MASTER</t>
        </is>
      </c>
      <c r="E9" s="416" t="inlineStr">
        <is>
          <t>CONTRACT_REF_NO</t>
        </is>
      </c>
      <c r="F9" s="417" t="inlineStr">
        <is>
          <t>1:1</t>
        </is>
      </c>
      <c r="G9" s="417" t="inlineStr">
        <is>
          <t>PG_BRONZE</t>
        </is>
      </c>
      <c r="H9" s="377" t="inlineStr">
        <is>
          <t>FLEXBO_PGB_LDTB_CONTRACT_MASTER</t>
        </is>
      </c>
      <c r="I9" s="377" t="inlineStr">
        <is>
          <t>CONTRACT_REF_NO</t>
        </is>
      </c>
      <c r="J9" s="417" t="inlineStr">
        <is>
          <t>PG_SILVER</t>
        </is>
      </c>
      <c r="K9" s="377" t="inlineStr">
        <is>
          <t>FCC_CONTRACT_REF_NO</t>
        </is>
      </c>
      <c r="L9" s="417" t="inlineStr">
        <is>
          <t>VARCHAR2(100)</t>
        </is>
      </c>
      <c r="M9" s="377" t="inlineStr">
        <is>
          <t>LEFT JOIN PG_BRONZE.FLEXBO_PGB_LDTB_CONTRACT_MASTER m ON stmt.OUR_REFERENCE = m.CONTRACT_REF_NO AND m.VERSION_NO = (SELECT MAX(m2.VERSION_NO) FROM PG_BRONZE.FLEXBO_PGB_LDTB_CONTRACT_MASTER m2 WHERE m2.CONTRACT_REF_NO = m.CONTRACT_REF_NO)</t>
        </is>
      </c>
      <c r="N9" s="377" t="inlineStr">
        <is>
          <t>TRIM(m.CONTRACT_REF_NO)</t>
        </is>
      </c>
      <c r="O9" s="377" t="inlineStr">
        <is>
          <t>Source -&gt; PG_BRONZE (1:1) -&gt; PG_SILVER (Temp 1)</t>
        </is>
      </c>
      <c r="P9" s="357" t="inlineStr">
        <is>
          <t>Mã Hợp đồng (Map từ PG_BRONZE.FLEXBO_PGB_LDTB_CONTRACT_MASTER.CONTRACT_REF_NO -&gt; PG_SILVER.CUST_INFO_DAILY.FCC_CONTRACT_REF_NO)</t>
        </is>
      </c>
    </row>
    <row r="10" ht="14.25" customHeight="1" s="335">
      <c r="A10" s="416">
        <f>C10&amp;D10&amp;E10</f>
        <v/>
      </c>
      <c r="B10" s="416" t="inlineStr">
        <is>
          <t>CUST_INFO_DAILY</t>
        </is>
      </c>
      <c r="C10" s="416" t="inlineStr">
        <is>
          <t>FLEXBO</t>
        </is>
      </c>
      <c r="D10" s="416" t="inlineStr">
        <is>
          <t>PGB_LDTB_CONTRACT_MASTER</t>
        </is>
      </c>
      <c r="E10" s="416" t="inlineStr">
        <is>
          <t>VERSION_NO</t>
        </is>
      </c>
      <c r="F10" s="417" t="inlineStr">
        <is>
          <t>1:1</t>
        </is>
      </c>
      <c r="G10" s="417" t="inlineStr">
        <is>
          <t>PG_BRONZE</t>
        </is>
      </c>
      <c r="H10" s="377" t="inlineStr">
        <is>
          <t>FLEXBO_PGB_LDTB_CONTRACT_MASTER</t>
        </is>
      </c>
      <c r="I10" s="377" t="inlineStr">
        <is>
          <t>VERSION_NO</t>
        </is>
      </c>
      <c r="J10" s="417" t="inlineStr">
        <is>
          <t>PG_SILVER</t>
        </is>
      </c>
      <c r="K10" s="377" t="inlineStr">
        <is>
          <t>VERSION_NO</t>
        </is>
      </c>
      <c r="L10" s="417" t="inlineStr">
        <is>
          <t>NUMBER(10)</t>
        </is>
      </c>
      <c r="M10" s="377" t="inlineStr">
        <is>
          <t>LEFT JOIN PG_BRONZE.FLEXBO_PGB_LDTB_CONTRACT_MASTER m ON stmt.OUR_REFERENCE = m.CONTRACT_REF_NO AND m.VERSION_NO = (SELECT MAX(m2.VERSION_NO) FROM PG_BRONZE.FLEXBO_PGB_LDTB_CONTRACT_MASTER m2 WHERE m2.CONTRACT_REF_NO = m.CONTRACT_REF_NO)</t>
        </is>
      </c>
      <c r="N10" s="377" t="inlineStr">
        <is>
          <t>COALESCE(CAST(m.VERSION_NO AS DECIMAL(10)), 0)</t>
        </is>
      </c>
      <c r="O10" s="377" t="inlineStr">
        <is>
          <t>Source -&gt; PG_BRONZE (1:1) -&gt; PG_SILVER (Temp 1)</t>
        </is>
      </c>
      <c r="P10" s="357" t="inlineStr">
        <is>
          <t>Version của bản ghi (Map từ PG_BRONZE.FLEXBO_PGB_LDTB_CONTRACT_MASTER.VERSION_NO -&gt; PG_SILVER.CUST_INFO_DAILY.VERSION_NO)</t>
        </is>
      </c>
    </row>
    <row r="11" ht="14.25" customHeight="1" s="335">
      <c r="A11" s="416">
        <f>C11&amp;D11&amp;E11</f>
        <v/>
      </c>
      <c r="B11" s="416" t="inlineStr">
        <is>
          <t>CUST_INFO_DAILY</t>
        </is>
      </c>
      <c r="C11" s="416" t="inlineStr">
        <is>
          <t>FLEXBO</t>
        </is>
      </c>
      <c r="D11" s="416" t="inlineStr">
        <is>
          <t>PGB_LOS_CONTRACT_FIELDS_TDATE</t>
        </is>
      </c>
      <c r="E11" s="416" t="inlineStr">
        <is>
          <t>CAN_BO_DE_XUAT_GN</t>
        </is>
      </c>
      <c r="F11" s="417" t="inlineStr">
        <is>
          <t>1:1</t>
        </is>
      </c>
      <c r="G11" s="417" t="inlineStr">
        <is>
          <t>PG_BRONZE</t>
        </is>
      </c>
      <c r="H11" s="377" t="inlineStr">
        <is>
          <t>FLEXBO_PGB_LOS_CONTRACT_FIELDS_TDATE</t>
        </is>
      </c>
      <c r="I11" s="377" t="inlineStr">
        <is>
          <t>CAN_BO_DE_XUAT_GN</t>
        </is>
      </c>
      <c r="J11" s="417" t="inlineStr">
        <is>
          <t>PG_SILVER</t>
        </is>
      </c>
      <c r="K11" s="377" t="inlineStr">
        <is>
          <t>CAN_BO_DE_XUAT_GN</t>
        </is>
      </c>
      <c r="L11" s="417" t="inlineStr">
        <is>
          <t>VARCHAR2(100)</t>
        </is>
      </c>
      <c r="M11" s="377" t="inlineStr">
        <is>
          <t>LEFT JOIN PG_BRONZE.FLEXBO_PGB_LOS_CONTRACT_FIELDS_TDATE td ON stmt.OUR_REFERENCE = td.CONTRACT_REF_NO AND td.MOV_DATE = ${ETL_DATE}</t>
        </is>
      </c>
      <c r="N11" s="377" t="inlineStr">
        <is>
          <t>TRIM(td.CAN_BO_DE_XUAT_GN)</t>
        </is>
      </c>
      <c r="O11" s="377" t="inlineStr">
        <is>
          <t>Source -&gt; PG_BRONZE (1:1) -&gt; PG_SILVER (Temp 1)</t>
        </is>
      </c>
      <c r="P11" s="357" t="inlineStr">
        <is>
          <t>Cán bộ đề xuất giải ngân (Map từ PG_BRONZE.FLEXBO_PGB_LOS_CONTRACT_FIELDS_TDATE.CAN_BO_DE_XUAT_GN -&gt; PG_SILVER.CUST_INFO_DAILY.CAN_BO_DE_XUAT_GN)</t>
        </is>
      </c>
    </row>
    <row r="12" ht="14.25" customHeight="1" s="335">
      <c r="A12" s="416">
        <f>C12&amp;D12&amp;E12</f>
        <v/>
      </c>
      <c r="B12" s="416" t="inlineStr">
        <is>
          <t>CUST_INFO_DAILY</t>
        </is>
      </c>
      <c r="C12" s="416" t="inlineStr">
        <is>
          <t>FLEXBO</t>
        </is>
      </c>
      <c r="D12" s="416" t="inlineStr">
        <is>
          <t>PGB_LOS_CONTRACT_FIELDS_TDATE</t>
        </is>
      </c>
      <c r="E12" s="416" t="inlineStr">
        <is>
          <t>CAR_APPLICATION_CODE</t>
        </is>
      </c>
      <c r="F12" s="417" t="inlineStr">
        <is>
          <t>1:1</t>
        </is>
      </c>
      <c r="G12" s="417" t="inlineStr">
        <is>
          <t>PG_BRONZE</t>
        </is>
      </c>
      <c r="H12" s="377" t="inlineStr">
        <is>
          <t>FLEXBO_PGB_LOS_CONTRACT_FIELDS_TDATE</t>
        </is>
      </c>
      <c r="I12" s="377" t="inlineStr">
        <is>
          <t>CAR_APPLICATION_CODE</t>
        </is>
      </c>
      <c r="J12" s="417" t="inlineStr">
        <is>
          <t>PG_SILVER</t>
        </is>
      </c>
      <c r="K12" s="377" t="inlineStr">
        <is>
          <t>CAR_APPLICATION_CODE</t>
        </is>
      </c>
      <c r="L12" s="417" t="inlineStr">
        <is>
          <t>VARCHAR2(100)</t>
        </is>
      </c>
      <c r="M12" s="377" t="inlineStr">
        <is>
          <t>LEFT JOIN PG_BRONZE.FLEXBO_PGB_LOS_CONTRACT_FIELDS_TDATE td ON stmt.OUR_REFERENCE = td.CONTRACT_REF_NO AND td.MOV_DATE = ${ETL_DATE}</t>
        </is>
      </c>
      <c r="N12" s="377" t="inlineStr">
        <is>
          <t>TRIM(td.CAR_APPLICATION_CODE)</t>
        </is>
      </c>
      <c r="O12" s="377" t="inlineStr">
        <is>
          <t>Source -&gt; PG_BRONZE (1:1) -&gt; PG_SILVER (Temp 1)</t>
        </is>
      </c>
      <c r="P12" s="357" t="inlineStr">
        <is>
          <t>Mã hồ sơ đăng kí vay vốn (Map từ PG_BRONZE.FLEXBO_PGB_LOS_CONTRACT_FIELDS_TDATE.CAR_APPLICATION_CODE -&gt; PG_SILVER.CUST_INFO_DAILY.CAR_APPLICATION_CODE)</t>
        </is>
      </c>
    </row>
    <row r="13" ht="14.25" customHeight="1" s="335">
      <c r="A13" s="416">
        <f>C13&amp;D13&amp;E13</f>
        <v/>
      </c>
      <c r="B13" s="416" t="inlineStr">
        <is>
          <t>CUST_INFO_DAILY</t>
        </is>
      </c>
      <c r="C13" s="416" t="inlineStr">
        <is>
          <t>FLEXBO</t>
        </is>
      </c>
      <c r="D13" s="416" t="inlineStr">
        <is>
          <t>PGB_LOS_CONTRACT_FIELDS_TDATE</t>
        </is>
      </c>
      <c r="E13" s="416" t="inlineStr">
        <is>
          <t>CONTRACT_REF_NO</t>
        </is>
      </c>
      <c r="F13" s="417" t="inlineStr">
        <is>
          <t>1:1</t>
        </is>
      </c>
      <c r="G13" s="417" t="inlineStr">
        <is>
          <t>PG_BRONZE</t>
        </is>
      </c>
      <c r="H13" s="377" t="inlineStr">
        <is>
          <t>FLEXBO_PGB_LOS_CONTRACT_FIELDS_TDATE</t>
        </is>
      </c>
      <c r="I13" s="377" t="inlineStr">
        <is>
          <t>CONTRACT_REF_NO</t>
        </is>
      </c>
      <c r="J13" s="417" t="inlineStr">
        <is>
          <t>PG_SILVER</t>
        </is>
      </c>
      <c r="K13" s="377" t="inlineStr">
        <is>
          <t>LOS_TD_CONTRACT_REF_NO</t>
        </is>
      </c>
      <c r="L13" s="417" t="inlineStr">
        <is>
          <t>VARCHAR2(100)</t>
        </is>
      </c>
      <c r="M13" s="377" t="inlineStr">
        <is>
          <t>LEFT JOIN PG_BRONZE.FLEXBO_PGB_LOS_CONTRACT_FIELDS_TDATE td ON stmt.OUR_REFERENCE = td.CONTRACT_REF_NO AND td.MOV_DATE = ${ETL_DATE}</t>
        </is>
      </c>
      <c r="N13" s="377" t="inlineStr">
        <is>
          <t>TRIM(td.CONTRACT_REF_NO)</t>
        </is>
      </c>
      <c r="O13" s="377" t="inlineStr">
        <is>
          <t>Source -&gt; PG_BRONZE (1:1) -&gt; PG_SILVER (Temp 1)</t>
        </is>
      </c>
      <c r="P13" s="357" t="inlineStr">
        <is>
          <t>Mã hợp đồng giải ngân (Map từ PG_BRONZE.FLEXBO_PGB_LOS_CONTRACT_FIELDS_TDATE.CONTRACT_REF_NO -&gt; PG_SILVER.CUST_INFO_DAILY.LOS_TD_CONTRACT_REF_NO)</t>
        </is>
      </c>
    </row>
    <row r="14" ht="14.25" customHeight="1" s="335">
      <c r="A14" s="416">
        <f>C14&amp;D14&amp;E14</f>
        <v/>
      </c>
      <c r="B14" s="416" t="inlineStr">
        <is>
          <t>CUST_INFO_DAILY</t>
        </is>
      </c>
      <c r="C14" s="416" t="inlineStr">
        <is>
          <t>FLEXBO</t>
        </is>
      </c>
      <c r="D14" s="416" t="inlineStr">
        <is>
          <t>PGB_LOS_CONTRACT_FIELDS_TDATE</t>
        </is>
      </c>
      <c r="E14" s="416" t="inlineStr">
        <is>
          <t>LOS_CONTRACT_CODE</t>
        </is>
      </c>
      <c r="F14" s="417" t="inlineStr">
        <is>
          <t>1:1</t>
        </is>
      </c>
      <c r="G14" s="417" t="inlineStr">
        <is>
          <t>PG_BRONZE</t>
        </is>
      </c>
      <c r="H14" s="377" t="inlineStr">
        <is>
          <t>FLEXBO_PGB_LOS_CONTRACT_FIELDS_TDATE</t>
        </is>
      </c>
      <c r="I14" s="377" t="inlineStr">
        <is>
          <t>LOS_CONTRACT_CODE</t>
        </is>
      </c>
      <c r="J14" s="417" t="inlineStr">
        <is>
          <t>PG_SILVER</t>
        </is>
      </c>
      <c r="K14" s="377" t="inlineStr">
        <is>
          <t>LOS_CONTRACT_CODE</t>
        </is>
      </c>
      <c r="L14" s="417" t="inlineStr">
        <is>
          <t>VARCHAR2(100)</t>
        </is>
      </c>
      <c r="M14" s="377" t="inlineStr">
        <is>
          <t>LEFT JOIN PG_BRONZE.FLEXBO_PGB_LOS_CONTRACT_FIELDS_TDATE td ON stmt.OUR_REFERENCE = td.CONTRACT_REF_NO AND td.MOV_DATE = ${ETL_DATE}</t>
        </is>
      </c>
      <c r="N14" s="377" t="inlineStr">
        <is>
          <t>TRIM(td.LOS_CONTRACT_CODE)</t>
        </is>
      </c>
      <c r="O14" s="377" t="inlineStr">
        <is>
          <t>Source -&gt; PG_BRONZE (1:1) -&gt; PG_SILVER (Temp 1)</t>
        </is>
      </c>
      <c r="P14" s="357" t="inlineStr">
        <is>
          <t>mã hợp đồng vay (Map từ PG_BRONZE.FLEXBO_PGB_LOS_CONTRACT_FIELDS_TDATE.LOS_CONTRACT_CODE -&gt; PG_SILVER.CUST_INFO_DAILY.LOS_CONTRACT_CODE)</t>
        </is>
      </c>
    </row>
    <row r="15" ht="14.25" customHeight="1" s="335">
      <c r="A15" s="416">
        <f>C15&amp;D15&amp;E15</f>
        <v/>
      </c>
      <c r="B15" s="416" t="inlineStr">
        <is>
          <t>CUST_INFO_DAILY</t>
        </is>
      </c>
      <c r="C15" s="416" t="inlineStr">
        <is>
          <t>FLEXBO</t>
        </is>
      </c>
      <c r="D15" s="416" t="inlineStr">
        <is>
          <t>PGB_LOS_CONTRACT_FIELDS_TDATE</t>
        </is>
      </c>
      <c r="E15" s="416" t="inlineStr">
        <is>
          <t>MDVAY_NKT</t>
        </is>
      </c>
      <c r="F15" s="417" t="inlineStr">
        <is>
          <t>1:1</t>
        </is>
      </c>
      <c r="G15" s="417" t="inlineStr">
        <is>
          <t>PG_BRONZE</t>
        </is>
      </c>
      <c r="H15" s="377" t="inlineStr">
        <is>
          <t>FLEXBO_PGB_LOS_CONTRACT_FIELDS_TDATE</t>
        </is>
      </c>
      <c r="I15" s="377" t="inlineStr">
        <is>
          <t>MDVAY_NKT</t>
        </is>
      </c>
      <c r="J15" s="417" t="inlineStr">
        <is>
          <t>PG_SILVER</t>
        </is>
      </c>
      <c r="K15" s="377" t="inlineStr">
        <is>
          <t>MDVAY_NKT</t>
        </is>
      </c>
      <c r="L15" s="417" t="inlineStr">
        <is>
          <t>VARCHAR2(100)</t>
        </is>
      </c>
      <c r="M15" s="377" t="inlineStr">
        <is>
          <t>LEFT JOIN PG_BRONZE.FLEXBO_PGB_LOS_CONTRACT_FIELDS_TDATE td ON stmt.OUR_REFERENCE = td.CONTRACT_REF_NO AND td.MOV_DATE = ${ETL_DATE}</t>
        </is>
      </c>
      <c r="N15" s="377" t="inlineStr">
        <is>
          <t>TRIM(td.MDVAY_NKT)</t>
        </is>
      </c>
      <c r="O15" s="377" t="inlineStr">
        <is>
          <t>Source -&gt; PG_BRONZE (1:1) -&gt; PG_SILVER (Temp 1)</t>
        </is>
      </c>
      <c r="P15" s="357" t="inlineStr">
        <is>
          <t>Mục đích vay theo ngành kinh tế (Map từ PG_BRONZE.FLEXBO_PGB_LOS_CONTRACT_FIELDS_TDATE.MDVAY_NKT -&gt; PG_SILVER.CUST_INFO_DAILY.MDVAY_NKT)</t>
        </is>
      </c>
    </row>
    <row r="16" ht="14.25" customHeight="1" s="335">
      <c r="A16" s="416">
        <f>C16&amp;D16&amp;E16</f>
        <v/>
      </c>
      <c r="B16" s="416" t="inlineStr">
        <is>
          <t>CUST_INFO_DAILY</t>
        </is>
      </c>
      <c r="C16" s="418" t="inlineStr">
        <is>
          <t>FLEXBO</t>
        </is>
      </c>
      <c r="D16" s="418" t="inlineStr">
        <is>
          <t>PGB_LOS_CONTRACT_FIELDS_TDATE</t>
        </is>
      </c>
      <c r="E16" s="416" t="inlineStr">
        <is>
          <t>MDVAY_SP</t>
        </is>
      </c>
      <c r="F16" s="417" t="inlineStr">
        <is>
          <t>1:1</t>
        </is>
      </c>
      <c r="G16" s="417" t="inlineStr">
        <is>
          <t>PG_BRONZE</t>
        </is>
      </c>
      <c r="H16" s="377" t="inlineStr">
        <is>
          <t>FLEXBO_PGB_LOS_CONTRACT_FIELDS_TDATE</t>
        </is>
      </c>
      <c r="I16" s="377" t="inlineStr">
        <is>
          <t>MDVAY_SP</t>
        </is>
      </c>
      <c r="J16" s="417" t="inlineStr">
        <is>
          <t>PG_SILVER</t>
        </is>
      </c>
      <c r="K16" s="377" t="inlineStr">
        <is>
          <t>MDVAY_SP</t>
        </is>
      </c>
      <c r="L16" s="417" t="inlineStr">
        <is>
          <t>VARCHAR2(100)</t>
        </is>
      </c>
      <c r="M16" s="377" t="inlineStr">
        <is>
          <t>LEFT JOIN PG_BRONZE.FLEXBO_PGB_LOS_CONTRACT_FIELDS_TDATE td ON stmt.OUR_REFERENCE = td.CONTRACT_REF_NO AND td.MOV_DATE = ${ETL_DATE}</t>
        </is>
      </c>
      <c r="N16" s="377" t="inlineStr">
        <is>
          <t>TRIM(td.MDVAY_SP)</t>
        </is>
      </c>
      <c r="O16" s="377" t="inlineStr">
        <is>
          <t>Source -&gt; PG_BRONZE (1:1) -&gt; PG_SILVER (Temp 1)</t>
        </is>
      </c>
      <c r="P16" s="357" t="inlineStr">
        <is>
          <t>Mục đích vay theo sản phẩm (Map từ PG_BRONZE.FLEXBO_PGB_LOS_CONTRACT_FIELDS_TDATE.MDVAY_SP -&gt; PG_SILVER.CUST_INFO_DAILY.MDVAY_SP)</t>
        </is>
      </c>
    </row>
    <row r="17" ht="14.25" customHeight="1" s="335">
      <c r="A17" s="416">
        <f>C17&amp;D17&amp;E17</f>
        <v/>
      </c>
      <c r="B17" s="416" t="inlineStr">
        <is>
          <t>CUST_INFO_DAILY</t>
        </is>
      </c>
      <c r="C17" s="416" t="inlineStr">
        <is>
          <t>FLEXBO</t>
        </is>
      </c>
      <c r="D17" s="416" t="inlineStr">
        <is>
          <t>PGB_LOS_CONTRACT_FIELDS_TDATE</t>
        </is>
      </c>
      <c r="E17" s="416" t="inlineStr">
        <is>
          <t>MOV_DATE</t>
        </is>
      </c>
      <c r="F17" s="417" t="inlineStr">
        <is>
          <t>1:1</t>
        </is>
      </c>
      <c r="G17" s="417" t="inlineStr">
        <is>
          <t>PG_BRONZE</t>
        </is>
      </c>
      <c r="H17" s="377" t="inlineStr">
        <is>
          <t>FLEXBO_PGB_LOS_CONTRACT_FIELDS_TDATE</t>
        </is>
      </c>
      <c r="I17" s="377" t="inlineStr">
        <is>
          <t>MOV_DATE</t>
        </is>
      </c>
      <c r="J17" s="417" t="inlineStr">
        <is>
          <t>PG_SILVER</t>
        </is>
      </c>
      <c r="K17" s="377" t="inlineStr">
        <is>
          <t>LOS_TD_MOV_DATE</t>
        </is>
      </c>
      <c r="L17" s="417" t="inlineStr">
        <is>
          <t>DATE</t>
        </is>
      </c>
      <c r="M17" s="377" t="inlineStr">
        <is>
          <t>LEFT JOIN PG_BRONZE.FLEXBO_PGB_LOS_CONTRACT_FIELDS_TDATE td ON stmt.OUR_REFERENCE = td.CONTRACT_REF_NO AND td.MOV_DATE = ${ETL_DATE}</t>
        </is>
      </c>
      <c r="N17" s="377" t="inlineStr">
        <is>
          <t>TO_DATE(CAST(td.MOV_DATE AS VARCHAR(20)), 'YYYYMMDD')</t>
        </is>
      </c>
      <c r="O17" s="377" t="inlineStr">
        <is>
          <t>Source -&gt; PG_BRONZE (1:1) -&gt; PG_SILVER (Temp 1)</t>
        </is>
      </c>
      <c r="P17" s="357" t="inlineStr">
        <is>
          <t>Ngày dữ liệu (Map từ PG_BRONZE.FLEXBO_PGB_LOS_CONTRACT_FIELDS_TDATE.MOV_DATE -&gt; PG_SILVER.CUST_INFO_DAILY.LOS_TD_MOV_DATE)</t>
        </is>
      </c>
    </row>
    <row r="18" ht="14.25" customHeight="1" s="335">
      <c r="A18" s="416">
        <f>C18&amp;D18&amp;E18</f>
        <v/>
      </c>
      <c r="B18" s="416" t="inlineStr">
        <is>
          <t>CUST_INFO_DAILY</t>
        </is>
      </c>
      <c r="C18" s="416" t="inlineStr">
        <is>
          <t>FLEXBO</t>
        </is>
      </c>
      <c r="D18" s="416" t="inlineStr">
        <is>
          <t>PGB_LOS_CONTRACT_FIELDS_TDATE</t>
        </is>
      </c>
      <c r="E18" s="416" t="inlineStr">
        <is>
          <t>TT_PP_DE_XUAT_GN</t>
        </is>
      </c>
      <c r="F18" s="417" t="inlineStr">
        <is>
          <t>1:1</t>
        </is>
      </c>
      <c r="G18" s="417" t="inlineStr">
        <is>
          <t>PG_BRONZE</t>
        </is>
      </c>
      <c r="H18" s="377" t="inlineStr">
        <is>
          <t>FLEXBO_PGB_LOS_CONTRACT_FIELDS_TDATE</t>
        </is>
      </c>
      <c r="I18" s="377" t="inlineStr">
        <is>
          <t>TT_PP_DE_XUAT_GN</t>
        </is>
      </c>
      <c r="J18" s="417" t="inlineStr">
        <is>
          <t>PG_SILVER</t>
        </is>
      </c>
      <c r="K18" s="377" t="inlineStr">
        <is>
          <t>TT_PP_DE_XUAT_GN</t>
        </is>
      </c>
      <c r="L18" s="417" t="inlineStr">
        <is>
          <t>VARCHAR2(100)</t>
        </is>
      </c>
      <c r="M18" s="377" t="inlineStr">
        <is>
          <t>LEFT JOIN PG_BRONZE.FLEXBO_PGB_LOS_CONTRACT_FIELDS_TDATE td ON stmt.OUR_REFERENCE = td.CONTRACT_REF_NO AND td.MOV_DATE = ${ETL_DATE}</t>
        </is>
      </c>
      <c r="N18" s="377" t="inlineStr">
        <is>
          <t>TRIM(td.TT_PP_DE_XUAT_GN)</t>
        </is>
      </c>
      <c r="O18" s="377" t="inlineStr">
        <is>
          <t>Source -&gt; PG_BRONZE (1:1) -&gt; PG_SILVER (Temp 1)</t>
        </is>
      </c>
      <c r="P18" s="357" t="inlineStr">
        <is>
          <t>Người đề xuất giải ngân (Map từ PG_BRONZE.FLEXBO_PGB_LOS_CONTRACT_FIELDS_TDATE.TT_PP_DE_XUAT_GN -&gt; PG_SILVER.CUST_INFO_DAILY.TT_PP_DE_XUAT_GN)</t>
        </is>
      </c>
    </row>
    <row r="19" ht="14.25" customHeight="1" s="335">
      <c r="A19" s="416">
        <f>C19&amp;D19&amp;E19</f>
        <v/>
      </c>
      <c r="B19" s="416" t="inlineStr">
        <is>
          <t>CUST_INFO_DAILY</t>
        </is>
      </c>
      <c r="C19" s="416" t="inlineStr">
        <is>
          <t>FLEXBO</t>
        </is>
      </c>
      <c r="D19" s="416" t="inlineStr">
        <is>
          <t>PGBLD_CONTRACT_UDFIELD_HIST</t>
        </is>
      </c>
      <c r="E19" s="416" t="inlineStr">
        <is>
          <t>CONTRACT_REF_NO</t>
        </is>
      </c>
      <c r="F19" s="417" t="inlineStr">
        <is>
          <t>1:1</t>
        </is>
      </c>
      <c r="G19" s="417" t="inlineStr">
        <is>
          <t>PG_BRONZE</t>
        </is>
      </c>
      <c r="H19" s="377" t="inlineStr">
        <is>
          <t>FLEXBO_PGBLD_CONTRACT_UDFIELD_HIST</t>
        </is>
      </c>
      <c r="I19" s="377" t="inlineStr">
        <is>
          <t>CONTRACT_REF_NO</t>
        </is>
      </c>
      <c r="J19" s="417" t="inlineStr">
        <is>
          <t>PG_SILVER</t>
        </is>
      </c>
      <c r="K19" s="377" t="inlineStr">
        <is>
          <t>UDFH_CONTRACT_REF_NO</t>
        </is>
      </c>
      <c r="L19" s="417" t="inlineStr">
        <is>
          <t>VARCHAR2(100)</t>
        </is>
      </c>
      <c r="M19" s="377" t="inlineStr">
        <is>
          <t>LEFT JOIN PG_BRONZE.FLEXBO_PGBLD_CONTRACT_UDFIELD_HIST udf_h ON m.CONTRACT_REF_NO = udf_h.CONTRACT_REF_NO</t>
        </is>
      </c>
      <c r="N19" s="377" t="inlineStr">
        <is>
          <t>TRIM(udf_h.CONTRACT_REF_NO)</t>
        </is>
      </c>
      <c r="O19" s="377" t="inlineStr">
        <is>
          <t>Source -&gt; PG_BRONZE (1:1) -&gt; PG_SILVER (Temp 1)</t>
        </is>
      </c>
      <c r="P19" s="357" t="inlineStr">
        <is>
          <t>Mã hợp đồng (Map từ PG_BRONZE.FLEXBO_PGBLD_CONTRACT_UDFIELD_HIST.CONTRACT_REF_NO -&gt; PG_SILVER.CUST_INFO_DAILY.UDFH_CONTRACT_REF_NO)</t>
        </is>
      </c>
    </row>
    <row r="20" ht="14.25" customHeight="1" s="335">
      <c r="A20" s="416">
        <f>C20&amp;D20&amp;E20</f>
        <v/>
      </c>
      <c r="B20" s="416" t="inlineStr">
        <is>
          <t>CUST_INFO_DAILY</t>
        </is>
      </c>
      <c r="C20" s="416" t="inlineStr">
        <is>
          <t>FLEXBO</t>
        </is>
      </c>
      <c r="D20" s="416" t="inlineStr">
        <is>
          <t>PGBLD_CONTRACT_UDFIELD_HIST</t>
        </is>
      </c>
      <c r="E20" s="416" t="inlineStr">
        <is>
          <t>CT_KHUYEN_MAI_CHO_VAY</t>
        </is>
      </c>
      <c r="F20" s="417" t="inlineStr">
        <is>
          <t>1:1</t>
        </is>
      </c>
      <c r="G20" s="417" t="inlineStr">
        <is>
          <t>PG_BRONZE</t>
        </is>
      </c>
      <c r="H20" s="377" t="inlineStr">
        <is>
          <t>FLEXBO_PGBLD_CONTRACT_UDFIELD_HIST</t>
        </is>
      </c>
      <c r="I20" s="377" t="inlineStr">
        <is>
          <t>CT_KHUYEN_MAI_CHO_VAY</t>
        </is>
      </c>
      <c r="J20" s="417" t="inlineStr">
        <is>
          <t>PG_SILVER</t>
        </is>
      </c>
      <c r="K20" s="377" t="inlineStr">
        <is>
          <t>CT_KHUYEN_MAI_CHO_VAY</t>
        </is>
      </c>
      <c r="L20" s="417" t="inlineStr">
        <is>
          <t>VARCHAR2(100)</t>
        </is>
      </c>
      <c r="M20" s="377" t="inlineStr">
        <is>
          <t>LEFT JOIN PG_BRONZE.FLEXBO_PGBLD_CONTRACT_UDFIELD_HIST udf_h ON m.CONTRACT_REF_NO = udf_h.CONTRACT_REF_NO</t>
        </is>
      </c>
      <c r="N20" s="377" t="inlineStr">
        <is>
          <t>TRIM(udf_h.CT_KHUYEN_MAI_CHO_VAY)</t>
        </is>
      </c>
      <c r="O20" s="377" t="inlineStr">
        <is>
          <t>Source -&gt; PG_BRONZE (1:1) -&gt; PG_SILVER (Temp 1)</t>
        </is>
      </c>
      <c r="P20" s="357" t="inlineStr">
        <is>
          <t>Mã chương trình KM cho vay (Map từ PG_BRONZE.FLEXBO_PGBLD_CONTRACT_UDFIELD_HIST.CT_KHUYEN_MAI_CHO_VAY -&gt; PG_SILVER.CUST_INFO_DAILY.CT_KHUYEN_MAI_CHO_VAY)</t>
        </is>
      </c>
    </row>
    <row r="21" ht="14.25" customHeight="1" s="335">
      <c r="A21" s="416">
        <f>C21&amp;D21&amp;E21</f>
        <v/>
      </c>
      <c r="B21" s="416" t="inlineStr">
        <is>
          <t>CUST_INFO_DAILY</t>
        </is>
      </c>
      <c r="C21" s="416" t="inlineStr">
        <is>
          <t>FLEXBO</t>
        </is>
      </c>
      <c r="D21" s="416" t="inlineStr">
        <is>
          <t>PGBLD_CONTRACT_UDFIELD_HIST</t>
        </is>
      </c>
      <c r="E21" s="416" t="inlineStr">
        <is>
          <t>CTKM2</t>
        </is>
      </c>
      <c r="F21" s="417" t="inlineStr">
        <is>
          <t>1:1</t>
        </is>
      </c>
      <c r="G21" s="417" t="inlineStr">
        <is>
          <t>PG_BRONZE</t>
        </is>
      </c>
      <c r="H21" s="377" t="inlineStr">
        <is>
          <t>FLEXBO_PGBLD_CONTRACT_UDFIELD_HIST</t>
        </is>
      </c>
      <c r="I21" s="377" t="inlineStr">
        <is>
          <t>CTKM2</t>
        </is>
      </c>
      <c r="J21" s="417" t="inlineStr">
        <is>
          <t>PG_SILVER</t>
        </is>
      </c>
      <c r="K21" s="377" t="inlineStr">
        <is>
          <t>CTKM2</t>
        </is>
      </c>
      <c r="L21" s="417" t="inlineStr">
        <is>
          <t>VARCHAR2(100)</t>
        </is>
      </c>
      <c r="M21" s="377" t="inlineStr">
        <is>
          <t>LEFT JOIN PG_BRONZE.FLEXBO_PGBLD_CONTRACT_UDFIELD_HIST udf_h ON m.CONTRACT_REF_NO = udf_h.CONTRACT_REF_NO</t>
        </is>
      </c>
      <c r="N21" s="377" t="inlineStr">
        <is>
          <t>TRIM(udf_h.CTKM2)</t>
        </is>
      </c>
      <c r="O21" s="377" t="inlineStr">
        <is>
          <t>Source -&gt; PG_BRONZE (1:1) -&gt; PG_SILVER (Temp 1)</t>
        </is>
      </c>
      <c r="P21" s="357" t="inlineStr">
        <is>
          <t>Mã CTKM2 (Map từ PG_BRONZE.FLEXBO_PGBLD_CONTRACT_UDFIELD_HIST.CTKM2 -&gt; PG_SILVER.CUST_INFO_DAILY.CTKM2)</t>
        </is>
      </c>
    </row>
    <row r="22" ht="14.25" customHeight="1" s="335">
      <c r="A22" s="416">
        <f>C22&amp;D22&amp;E22</f>
        <v/>
      </c>
      <c r="B22" s="416" t="inlineStr">
        <is>
          <t>CUST_INFO_DAILY</t>
        </is>
      </c>
      <c r="C22" s="416" t="inlineStr">
        <is>
          <t>FLEXBO</t>
        </is>
      </c>
      <c r="D22" s="416" t="inlineStr">
        <is>
          <t>PGBLD_CONTRACT_UDFIELD_HIST</t>
        </is>
      </c>
      <c r="E22" s="416" t="inlineStr">
        <is>
          <t>MOV_DATE</t>
        </is>
      </c>
      <c r="F22" s="417" t="inlineStr">
        <is>
          <t>1:1</t>
        </is>
      </c>
      <c r="G22" s="417" t="inlineStr">
        <is>
          <t>PG_BRONZE</t>
        </is>
      </c>
      <c r="H22" s="377" t="inlineStr">
        <is>
          <t>FLEXBO_PGBLD_CONTRACT_UDFIELD_HIST</t>
        </is>
      </c>
      <c r="I22" s="377" t="inlineStr">
        <is>
          <t>MOV_DATE</t>
        </is>
      </c>
      <c r="J22" s="417" t="inlineStr">
        <is>
          <t>PG_SILVER</t>
        </is>
      </c>
      <c r="K22" s="377" t="inlineStr">
        <is>
          <t>UDFH_MOV_DATE</t>
        </is>
      </c>
      <c r="L22" s="417" t="inlineStr">
        <is>
          <t>DATE</t>
        </is>
      </c>
      <c r="M22" s="377" t="inlineStr">
        <is>
          <t>LEFT JOIN PG_BRONZE.FLEXBO_PGBLD_CONTRACT_UDFIELD_HIST udf_h ON m.CONTRACT_REF_NO = udf_h.CONTRACT_REF_NO</t>
        </is>
      </c>
      <c r="N22" s="377" t="inlineStr">
        <is>
          <t>TO_DATE(CAST(udf_h.MOV_DATE AS VARCHAR(20)), 'YYYYMMDD')</t>
        </is>
      </c>
      <c r="O22" s="377" t="inlineStr">
        <is>
          <t>Source -&gt; PG_BRONZE (1:1) -&gt; PG_SILVER (Temp 1)</t>
        </is>
      </c>
      <c r="P22" s="357" t="inlineStr">
        <is>
          <t>Ngày phát sinh (Map từ PG_BRONZE.FLEXBO_PGBLD_CONTRACT_UDFIELD_HIST.MOV_DATE -&gt; PG_SILVER.CUST_INFO_DAILY.UDFH_MOV_DATE)</t>
        </is>
      </c>
    </row>
    <row r="23" ht="14.25" customHeight="1" s="335">
      <c r="A23" s="416">
        <f>C23&amp;D23&amp;E23</f>
        <v/>
      </c>
      <c r="B23" s="416" t="inlineStr">
        <is>
          <t>CUST_INFO_DAILY</t>
        </is>
      </c>
      <c r="C23" s="416" t="inlineStr">
        <is>
          <t>FLEXBO</t>
        </is>
      </c>
      <c r="D23" s="416" t="inlineStr">
        <is>
          <t>PGBLD_RT_CONTRACT_UDFIELD_HIST</t>
        </is>
      </c>
      <c r="E23" s="416" t="inlineStr">
        <is>
          <t>CO_CAU_NO</t>
        </is>
      </c>
      <c r="F23" s="417" t="inlineStr">
        <is>
          <t>1:1</t>
        </is>
      </c>
      <c r="G23" s="417" t="inlineStr">
        <is>
          <t>PG_BRONZE</t>
        </is>
      </c>
      <c r="H23" s="377" t="inlineStr">
        <is>
          <t>FLEXBO_PGBLD_RT_CONTRACT_UDFIELD_HIST</t>
        </is>
      </c>
      <c r="I23" s="377" t="inlineStr">
        <is>
          <t>CO_CAU_NO</t>
        </is>
      </c>
      <c r="J23" s="417" t="inlineStr">
        <is>
          <t>PG_SILVER</t>
        </is>
      </c>
      <c r="K23" s="377" t="inlineStr">
        <is>
          <t>CO_CAU_NO</t>
        </is>
      </c>
      <c r="L23" s="417" t="inlineStr">
        <is>
          <t>VARCHAR2(100)</t>
        </is>
      </c>
      <c r="M23" s="377" t="inlineStr">
        <is>
          <t>LEFT JOIN PG_BRONZE.FLEXBO_PGBLD_RT_CONTRACT_UDFIELD_HIST rt_h ON m.CONTRACT_REF_NO = rt_h.CONTRACT_REF_NO</t>
        </is>
      </c>
      <c r="N23" s="377" t="inlineStr">
        <is>
          <t>TRIM(rt_h.CO_CAU_NO)</t>
        </is>
      </c>
      <c r="O23" s="377" t="inlineStr">
        <is>
          <t>Source -&gt; PG_BRONZE (1:1) -&gt; PG_SILVER (Temp 1)</t>
        </is>
      </c>
      <c r="P23" s="357" t="inlineStr">
        <is>
          <t>Cơ cấu nợ (Map từ PG_BRONZE.FLEXBO_PGBLD_RT_CONTRACT_UDFIELD_HIST.CO_CAU_NO -&gt; PG_SILVER.CUST_INFO_DAILY.CO_CAU_NO)</t>
        </is>
      </c>
    </row>
    <row r="24" ht="14.25" customHeight="1" s="335">
      <c r="A24" s="416">
        <f>C24&amp;D24&amp;E24</f>
        <v/>
      </c>
      <c r="B24" s="416" t="inlineStr">
        <is>
          <t>CUST_INFO_DAILY</t>
        </is>
      </c>
      <c r="C24" s="416" t="inlineStr">
        <is>
          <t>FLEXBO</t>
        </is>
      </c>
      <c r="D24" s="416" t="inlineStr">
        <is>
          <t>PGBLD_RT_CONTRACT_UDFIELD_HIST</t>
        </is>
      </c>
      <c r="E24" s="416" t="inlineStr">
        <is>
          <t>CONTRACT_REF_NO</t>
        </is>
      </c>
      <c r="F24" s="417" t="inlineStr">
        <is>
          <t>1:1</t>
        </is>
      </c>
      <c r="G24" s="417" t="inlineStr">
        <is>
          <t>PG_BRONZE</t>
        </is>
      </c>
      <c r="H24" s="377" t="inlineStr">
        <is>
          <t>FLEXBO_PGBLD_RT_CONTRACT_UDFIELD_HIST</t>
        </is>
      </c>
      <c r="I24" s="377" t="inlineStr">
        <is>
          <t>CONTRACT_REF_NO</t>
        </is>
      </c>
      <c r="J24" s="417" t="inlineStr">
        <is>
          <t>PG_SILVER</t>
        </is>
      </c>
      <c r="K24" s="377" t="inlineStr">
        <is>
          <t>RTH_CONTRACT_REF_NO</t>
        </is>
      </c>
      <c r="L24" s="417" t="inlineStr">
        <is>
          <t>VARCHAR2(100)</t>
        </is>
      </c>
      <c r="M24" s="377" t="inlineStr">
        <is>
          <t>LEFT JOIN PG_BRONZE.FLEXBO_PGBLD_RT_CONTRACT_UDFIELD_HIST rt_h ON m.CONTRACT_REF_NO = rt_h.CONTRACT_REF_NO</t>
        </is>
      </c>
      <c r="N24" s="377" t="inlineStr">
        <is>
          <t>TRIM(rt_h.CONTRACT_REF_NO)</t>
        </is>
      </c>
      <c r="O24" s="377" t="inlineStr">
        <is>
          <t>Source -&gt; PG_BRONZE (1:1) -&gt; PG_SILVER (Temp 1)</t>
        </is>
      </c>
      <c r="P24" s="357" t="inlineStr">
        <is>
          <t>Mã Hợp đồng (Map từ PG_BRONZE.FLEXBO_PGBLD_RT_CONTRACT_UDFIELD_HIST.CONTRACT_REF_NO -&gt; PG_SILVER.CUST_INFO_DAILY.RTH_CONTRACT_REF_NO)</t>
        </is>
      </c>
    </row>
    <row r="25" ht="14.25" customHeight="1" s="335">
      <c r="A25" s="416">
        <f>C25&amp;D25&amp;E25</f>
        <v/>
      </c>
      <c r="B25" s="416" t="inlineStr">
        <is>
          <t>CUST_INFO_DAILY</t>
        </is>
      </c>
      <c r="C25" s="416" t="inlineStr">
        <is>
          <t>FLEXBO</t>
        </is>
      </c>
      <c r="D25" s="416" t="inlineStr">
        <is>
          <t>PGBLD_RT_CONTRACT_UDFIELD_HIST</t>
        </is>
      </c>
      <c r="E25" s="416" t="inlineStr">
        <is>
          <t>NGAY_HET_COVID19</t>
        </is>
      </c>
      <c r="F25" s="417" t="inlineStr">
        <is>
          <t>1:1</t>
        </is>
      </c>
      <c r="G25" s="417" t="inlineStr">
        <is>
          <t>PG_BRONZE</t>
        </is>
      </c>
      <c r="H25" s="377" t="inlineStr">
        <is>
          <t>FLEXBO_PGBLD_RT_CONTRACT_UDFIELD_HIST</t>
        </is>
      </c>
      <c r="I25" s="377" t="inlineStr">
        <is>
          <t>NGAY_HET_COVID19</t>
        </is>
      </c>
      <c r="J25" s="417" t="inlineStr">
        <is>
          <t>PG_SILVER</t>
        </is>
      </c>
      <c r="K25" s="377" t="inlineStr">
        <is>
          <t>NGAY_HET_COVID19</t>
        </is>
      </c>
      <c r="L25" s="417" t="inlineStr">
        <is>
          <t>DATE</t>
        </is>
      </c>
      <c r="M25" s="377" t="inlineStr">
        <is>
          <t>LEFT JOIN PG_BRONZE.FLEXBO_PGBLD_RT_CONTRACT_UDFIELD_HIST rt_h ON m.CONTRACT_REF_NO = rt_h.CONTRACT_REF_NO</t>
        </is>
      </c>
      <c r="N25" s="377" t="inlineStr">
        <is>
          <t>TO_DATE(CAST(rt_h.NGAY_HET_COVID19 AS VARCHAR(20)), 'YYYYMMDD')</t>
        </is>
      </c>
      <c r="O25" s="377" t="inlineStr">
        <is>
          <t>Source -&gt; PG_BRONZE (1:1) -&gt; PG_SILVER (Temp 1)</t>
        </is>
      </c>
      <c r="P25" s="357" t="inlineStr">
        <is>
          <t>Ngày hết covid/ Ngày hết hạn cơ cấu (Map từ PG_BRONZE.FLEXBO_PGBLD_RT_CONTRACT_UDFIELD_HIST.NGAY_HET_COVID19 -&gt; PG_SILVER.CUST_INFO_DAILY.NGAY_HET_COVID19)</t>
        </is>
      </c>
    </row>
    <row r="26" ht="14.25" customHeight="1" s="335">
      <c r="A26" s="416">
        <f>C26&amp;D26&amp;E26</f>
        <v/>
      </c>
      <c r="B26" s="416" t="inlineStr">
        <is>
          <t>CUST_INFO_DAILY</t>
        </is>
      </c>
      <c r="C26" s="377" t="inlineStr">
        <is>
          <t>LOS_APP</t>
        </is>
      </c>
      <c r="D26" s="416" t="inlineStr">
        <is>
          <t>FACILITY@TO_LOS</t>
        </is>
      </c>
      <c r="E26" s="416" t="inlineStr">
        <is>
          <t>ID</t>
        </is>
      </c>
      <c r="F26" s="417" t="inlineStr">
        <is>
          <t>1:1</t>
        </is>
      </c>
      <c r="G26" s="417" t="inlineStr">
        <is>
          <t>PG_BRONZE</t>
        </is>
      </c>
      <c r="H26" s="377" t="inlineStr">
        <is>
          <t>LOS_APP_FACILITY</t>
        </is>
      </c>
      <c r="I26" s="377" t="inlineStr">
        <is>
          <t>ID</t>
        </is>
      </c>
      <c r="J26" s="417" t="inlineStr">
        <is>
          <t>PG_SILVER</t>
        </is>
      </c>
      <c r="K26" s="377" t="inlineStr">
        <is>
          <t>FAC_ID</t>
        </is>
      </c>
      <c r="L26" s="417" t="inlineStr">
        <is>
          <t>VARCHAR2(100)</t>
        </is>
      </c>
      <c r="M26" s="377" t="inlineStr">
        <is>
          <t>LEFT JOIN PG_BRONZE.LOS_APP_FACILITY fac ON ld_los.FACILITY_ID = fac.ID</t>
        </is>
      </c>
      <c r="N26" s="377" t="inlineStr">
        <is>
          <t>TRIM(fac.ID)</t>
        </is>
      </c>
      <c r="O26" s="377" t="inlineStr">
        <is>
          <t>Source -&gt; PG_BRONZE (1:1) -&gt; PG_SILVER (Temp 1)</t>
        </is>
      </c>
      <c r="P26" s="357" t="inlineStr">
        <is>
          <t>Key của bản ghi (Map từ PG_BRONZE.LOS_APP_FACILITY.ID -&gt; PG_SILVER.CUST_INFO_DAILY.FAC_ID)</t>
        </is>
      </c>
    </row>
    <row r="27" ht="14.25" customHeight="1" s="335">
      <c r="A27" s="416">
        <f>C27&amp;D27&amp;E27</f>
        <v/>
      </c>
      <c r="B27" s="416" t="inlineStr">
        <is>
          <t>CUST_INFO_DAILY</t>
        </is>
      </c>
      <c r="C27" s="377" t="inlineStr">
        <is>
          <t>LOS_APP</t>
        </is>
      </c>
      <c r="D27" s="416" t="inlineStr">
        <is>
          <t>FACILITY@TO_LOS</t>
        </is>
      </c>
      <c r="E27" s="416" t="inlineStr">
        <is>
          <t>PRODUCT_ID</t>
        </is>
      </c>
      <c r="F27" s="417" t="inlineStr">
        <is>
          <t>1:1</t>
        </is>
      </c>
      <c r="G27" s="417" t="inlineStr">
        <is>
          <t>PG_BRONZE</t>
        </is>
      </c>
      <c r="H27" s="377" t="inlineStr">
        <is>
          <t>LOS_APP_FACILITY</t>
        </is>
      </c>
      <c r="I27" s="377" t="inlineStr">
        <is>
          <t>PRODUCT_ID</t>
        </is>
      </c>
      <c r="J27" s="417" t="inlineStr">
        <is>
          <t>PG_SILVER</t>
        </is>
      </c>
      <c r="K27" s="377" t="inlineStr">
        <is>
          <t>PRODUCT_ID</t>
        </is>
      </c>
      <c r="L27" s="417" t="inlineStr">
        <is>
          <t>VARCHAR2(100)</t>
        </is>
      </c>
      <c r="M27" s="377" t="inlineStr">
        <is>
          <t>LEFT JOIN PG_BRONZE.LOS_APP_FACILITY fac ON ld_los.FACILITY_ID = fac.ID</t>
        </is>
      </c>
      <c r="N27" s="377" t="inlineStr">
        <is>
          <t>TRIM(fac.PRODUCT_ID)</t>
        </is>
      </c>
      <c r="O27" s="377" t="inlineStr">
        <is>
          <t>Source -&gt; PG_BRONZE (1:1) -&gt; PG_SILVER (Temp 1)</t>
        </is>
      </c>
      <c r="P27" s="357" t="inlineStr">
        <is>
          <t>Mã sản phẩm (Map từ PG_BRONZE.LOS_APP_FACILITY.PRODUCT_ID -&gt; PG_SILVER.CUST_INFO_DAILY.PRODUCT_ID)</t>
        </is>
      </c>
    </row>
    <row r="28" ht="14.25" customHeight="1" s="335">
      <c r="A28" s="416">
        <f>C28&amp;D28&amp;E28</f>
        <v/>
      </c>
      <c r="B28" s="416" t="inlineStr">
        <is>
          <t>CUST_INFO_DAILY</t>
        </is>
      </c>
      <c r="C28" s="377" t="inlineStr">
        <is>
          <t>LOS_APP</t>
        </is>
      </c>
      <c r="D28" s="416" t="inlineStr">
        <is>
          <t>LOAN_DISBURSEMENT@TO_LOS</t>
        </is>
      </c>
      <c r="E28" s="416" t="inlineStr">
        <is>
          <t>AMND_STATE</t>
        </is>
      </c>
      <c r="F28" s="417" t="inlineStr">
        <is>
          <t>1:1</t>
        </is>
      </c>
      <c r="G28" s="417" t="inlineStr">
        <is>
          <t>PG_BRONZE</t>
        </is>
      </c>
      <c r="H28" s="377" t="inlineStr">
        <is>
          <t>LOS_APP_LOAN_DISBURSEMENT</t>
        </is>
      </c>
      <c r="I28" s="377" t="inlineStr">
        <is>
          <t>AMND_STATE</t>
        </is>
      </c>
      <c r="J28" s="417" t="inlineStr">
        <is>
          <t>PG_SILVER</t>
        </is>
      </c>
      <c r="K28" s="377" t="inlineStr">
        <is>
          <t>AMND_STATE</t>
        </is>
      </c>
      <c r="L28" s="417" t="inlineStr">
        <is>
          <t>VARCHAR2(100)</t>
        </is>
      </c>
      <c r="M28" s="377" t="inlineStr">
        <is>
          <t>LEFT JOIN PG_BRONZE.LOS_APP_LOAN_DISBURSEMENT ld_los ON stmt.OUR_REFERENCE = ld_los.EXT_REF_NO_1 AND ld_los.AMND_STATE = 'F' AND ld_los.STATUS IN ('A','U')</t>
        </is>
      </c>
      <c r="N28" s="377" t="inlineStr">
        <is>
          <t>TRIM(ld_los.AMND_STATE)</t>
        </is>
      </c>
      <c r="O28" s="377" t="inlineStr">
        <is>
          <t>Source -&gt; PG_BRONZE (1:1) -&gt; PG_SILVER (Temp 1)</t>
        </is>
      </c>
      <c r="P28" s="357" t="inlineStr">
        <is>
          <t>Trạng thái Hợp đồng (Map từ PG_BRONZE.LOS_APP_LOAN_DISBURSEMENT.AMND_STATE -&gt; PG_SILVER.CUST_INFO_DAILY.AMND_STATE)</t>
        </is>
      </c>
    </row>
    <row r="29" ht="14.25" customHeight="1" s="335">
      <c r="A29" s="416">
        <f>C29&amp;D29&amp;E29</f>
        <v/>
      </c>
      <c r="B29" s="416" t="inlineStr">
        <is>
          <t>CUST_INFO_DAILY</t>
        </is>
      </c>
      <c r="C29" s="418" t="inlineStr">
        <is>
          <t>LOS_APP</t>
        </is>
      </c>
      <c r="D29" s="418" t="inlineStr">
        <is>
          <t>LOAN_DISBURSEMENT@TO_LOS</t>
        </is>
      </c>
      <c r="E29" s="416" t="inlineStr">
        <is>
          <t>BOOKING_DATE</t>
        </is>
      </c>
      <c r="F29" s="417" t="inlineStr">
        <is>
          <t>1:1</t>
        </is>
      </c>
      <c r="G29" s="417" t="inlineStr">
        <is>
          <t>PG_BRONZE</t>
        </is>
      </c>
      <c r="H29" s="377" t="inlineStr">
        <is>
          <t>LOS_APP_LOAN_DISBURSEMENT</t>
        </is>
      </c>
      <c r="I29" s="377" t="inlineStr">
        <is>
          <t>BOOKING_DATE</t>
        </is>
      </c>
      <c r="J29" s="417" t="inlineStr">
        <is>
          <t>PG_SILVER</t>
        </is>
      </c>
      <c r="K29" s="377" t="inlineStr">
        <is>
          <t>LOS_DSBR_BOOKING_DATE</t>
        </is>
      </c>
      <c r="L29" s="417" t="inlineStr">
        <is>
          <t>DATE</t>
        </is>
      </c>
      <c r="M29" s="377" t="inlineStr">
        <is>
          <t>LEFT JOIN PG_BRONZE.LOS_APP_LOAN_DISBURSEMENT ld_los ON stmt.OUR_REFERENCE = ld_los.EXT_REF_NO_1 AND ld_los.AMND_STATE = 'F' AND ld_los.STATUS IN ('A','U')</t>
        </is>
      </c>
      <c r="N29" s="377" t="inlineStr">
        <is>
          <t>TO_DATE(CAST(ld_los.BOOKING_DATE AS VARCHAR(20)), 'YYYYMMDD')</t>
        </is>
      </c>
      <c r="O29" s="377" t="inlineStr">
        <is>
          <t>Source -&gt; PG_BRONZE (1:1) -&gt; PG_SILVER (Temp 1)</t>
        </is>
      </c>
      <c r="P29" s="357" t="inlineStr">
        <is>
          <t>Ngày ghi nhận (Map từ PG_BRONZE.LOS_APP_LOAN_DISBURSEMENT.BOOKING_DATE -&gt; PG_SILVER.CUST_INFO_DAILY.LOS_DSBR_BOOKING_DATE)</t>
        </is>
      </c>
    </row>
    <row r="30" ht="14.25" customHeight="1" s="335">
      <c r="A30" s="416">
        <f>C30&amp;D30&amp;E30</f>
        <v/>
      </c>
      <c r="B30" s="416" t="inlineStr">
        <is>
          <t>CUST_INFO_DAILY</t>
        </is>
      </c>
      <c r="C30" s="416" t="inlineStr">
        <is>
          <t>LOS_APP</t>
        </is>
      </c>
      <c r="D30" s="416" t="inlineStr">
        <is>
          <t>LOAN_DISBURSEMENT@TO_LOS</t>
        </is>
      </c>
      <c r="E30" s="416" t="inlineStr">
        <is>
          <t>EXT_REF_NO_1</t>
        </is>
      </c>
      <c r="F30" s="417" t="inlineStr">
        <is>
          <t>1:1</t>
        </is>
      </c>
      <c r="G30" s="417" t="inlineStr">
        <is>
          <t>PG_BRONZE</t>
        </is>
      </c>
      <c r="H30" s="377" t="inlineStr">
        <is>
          <t>LOS_APP_LOAN_DISBURSEMENT</t>
        </is>
      </c>
      <c r="I30" s="377" t="inlineStr">
        <is>
          <t>EXT_REF_NO_1</t>
        </is>
      </c>
      <c r="J30" s="417" t="inlineStr">
        <is>
          <t>PG_SILVER</t>
        </is>
      </c>
      <c r="K30" s="377" t="inlineStr">
        <is>
          <t>EXT_REF_NO_1</t>
        </is>
      </c>
      <c r="L30" s="417" t="inlineStr">
        <is>
          <t>VARCHAR2(100)</t>
        </is>
      </c>
      <c r="M30" s="377" t="inlineStr">
        <is>
          <t>LEFT JOIN PG_BRONZE.LOS_APP_LOAN_DISBURSEMENT ld_los ON stmt.OUR_REFERENCE = ld_los.EXT_REF_NO_1 AND ld_los.AMND_STATE = 'F' AND ld_los.STATUS IN ('A','U')</t>
        </is>
      </c>
      <c r="N30" s="377" t="inlineStr">
        <is>
          <t>TRIM(ld_los.EXT_REF_NO_1)</t>
        </is>
      </c>
      <c r="O30" s="377" t="inlineStr">
        <is>
          <t>Source -&gt; PG_BRONZE (1:1) -&gt; PG_SILVER (Temp 1)</t>
        </is>
      </c>
      <c r="P30" s="357" t="inlineStr">
        <is>
          <t>Số tham chiếu bên ngoài (Map từ PG_BRONZE.LOS_APP_LOAN_DISBURSEMENT.EXT_REF_NO_1 -&gt; PG_SILVER.CUST_INFO_DAILY.EXT_REF_NO_1)</t>
        </is>
      </c>
    </row>
    <row r="31" ht="14.25" customHeight="1" s="335">
      <c r="A31" s="416">
        <f>C31&amp;D31&amp;E31</f>
        <v/>
      </c>
      <c r="B31" s="416" t="inlineStr">
        <is>
          <t>CUST_INFO_DAILY</t>
        </is>
      </c>
      <c r="C31" s="416" t="inlineStr">
        <is>
          <t>LOS_APP</t>
        </is>
      </c>
      <c r="D31" s="416" t="inlineStr">
        <is>
          <t>LOAN_DISBURSEMENT@TO_LOS</t>
        </is>
      </c>
      <c r="E31" s="416" t="inlineStr">
        <is>
          <t>FACILITY_ID</t>
        </is>
      </c>
      <c r="F31" s="417" t="inlineStr">
        <is>
          <t>1:1</t>
        </is>
      </c>
      <c r="G31" s="417" t="inlineStr">
        <is>
          <t>PG_BRONZE</t>
        </is>
      </c>
      <c r="H31" s="377" t="inlineStr">
        <is>
          <t>LOS_APP_LOAN_DISBURSEMENT</t>
        </is>
      </c>
      <c r="I31" s="377" t="inlineStr">
        <is>
          <t>FACILITY_ID</t>
        </is>
      </c>
      <c r="J31" s="417" t="inlineStr">
        <is>
          <t>PG_SILVER</t>
        </is>
      </c>
      <c r="K31" s="377" t="inlineStr">
        <is>
          <t>FACILITY_ID</t>
        </is>
      </c>
      <c r="L31" s="417" t="inlineStr">
        <is>
          <t>VARCHAR2(100)</t>
        </is>
      </c>
      <c r="M31" s="377" t="inlineStr">
        <is>
          <t>LEFT JOIN PG_BRONZE.LOS_APP_LOAN_DISBURSEMENT ld_los ON stmt.OUR_REFERENCE = ld_los.EXT_REF_NO_1 AND ld_los.AMND_STATE = 'F' AND ld_los.STATUS IN ('A','U')</t>
        </is>
      </c>
      <c r="N31" s="377" t="inlineStr">
        <is>
          <t>TRIM(ld_los.FACILITY_ID)</t>
        </is>
      </c>
      <c r="O31" s="377" t="inlineStr">
        <is>
          <t>Source -&gt; PG_BRONZE (1:1) -&gt; PG_SILVER (Temp 1)</t>
        </is>
      </c>
      <c r="P31" s="357" t="inlineStr">
        <is>
          <t>Mã định danh hạn mức tín dụng (Map từ PG_BRONZE.LOS_APP_LOAN_DISBURSEMENT.FACILITY_ID -&gt; PG_SILVER.CUST_INFO_DAILY.FACILITY_ID)</t>
        </is>
      </c>
    </row>
    <row r="32" ht="14.25" customHeight="1" s="335">
      <c r="A32" s="416">
        <f>C32&amp;D32&amp;E32</f>
        <v/>
      </c>
      <c r="B32" s="416" t="inlineStr">
        <is>
          <t>CUST_INFO_DAILY</t>
        </is>
      </c>
      <c r="C32" s="416" t="inlineStr">
        <is>
          <t>LOS_APP</t>
        </is>
      </c>
      <c r="D32" s="416" t="inlineStr">
        <is>
          <t>LOAN_DISBURSEMENT@TO_LOS</t>
        </is>
      </c>
      <c r="E32" s="416" t="inlineStr">
        <is>
          <t>STATUS</t>
        </is>
      </c>
      <c r="F32" s="417" t="inlineStr">
        <is>
          <t>1:1</t>
        </is>
      </c>
      <c r="G32" s="417" t="inlineStr">
        <is>
          <t>PG_BRONZE</t>
        </is>
      </c>
      <c r="H32" s="377" t="inlineStr">
        <is>
          <t>LOS_APP_LOAN_DISBURSEMENT</t>
        </is>
      </c>
      <c r="I32" s="377" t="inlineStr">
        <is>
          <t>STATUS</t>
        </is>
      </c>
      <c r="J32" s="417" t="inlineStr">
        <is>
          <t>PG_SILVER</t>
        </is>
      </c>
      <c r="K32" s="377" t="inlineStr">
        <is>
          <t>STATUS</t>
        </is>
      </c>
      <c r="L32" s="417" t="inlineStr">
        <is>
          <t>VARCHAR2(100)</t>
        </is>
      </c>
      <c r="M32" s="377" t="inlineStr">
        <is>
          <t>LEFT JOIN PG_BRONZE.LOS_APP_LOAN_DISBURSEMENT ld_los ON stmt.OUR_REFERENCE = ld_los.EXT_REF_NO_1 AND ld_los.AMND_STATE = 'F' AND ld_los.STATUS IN ('A','U')</t>
        </is>
      </c>
      <c r="N32" s="377" t="inlineStr">
        <is>
          <t>TRIM(ld_los.STATUS)</t>
        </is>
      </c>
      <c r="O32" s="377" t="inlineStr">
        <is>
          <t>Source -&gt; PG_BRONZE (1:1) -&gt; PG_SILVER (Temp 1)</t>
        </is>
      </c>
      <c r="P32" s="357" t="inlineStr">
        <is>
          <t>Trạng thái tín dụng (Map từ PG_BRONZE.LOS_APP_LOAN_DISBURSEMENT.STATUS -&gt; PG_SILVER.CUST_INFO_DAILY.STATUS)</t>
        </is>
      </c>
    </row>
    <row r="33" ht="14.25" customHeight="1" s="335">
      <c r="A33" s="416">
        <f>C33&amp;D33&amp;E33</f>
        <v/>
      </c>
      <c r="B33" s="416" t="inlineStr">
        <is>
          <t>CUST_INFO_DAILY</t>
        </is>
      </c>
      <c r="C33" s="418" t="inlineStr">
        <is>
          <t>LOS_APP</t>
        </is>
      </c>
      <c r="D33" s="418" t="inlineStr">
        <is>
          <t>PRODUCT@TO_LOS</t>
        </is>
      </c>
      <c r="E33" s="416" t="inlineStr">
        <is>
          <t>ID</t>
        </is>
      </c>
      <c r="F33" s="417" t="inlineStr">
        <is>
          <t>1:1</t>
        </is>
      </c>
      <c r="G33" s="417" t="inlineStr">
        <is>
          <t>PG_BRONZE</t>
        </is>
      </c>
      <c r="H33" s="377" t="inlineStr">
        <is>
          <t>LOS_APP_PRODUCT</t>
        </is>
      </c>
      <c r="I33" s="377" t="inlineStr">
        <is>
          <t>ID</t>
        </is>
      </c>
      <c r="J33" s="417" t="inlineStr">
        <is>
          <t>PG_SILVER</t>
        </is>
      </c>
      <c r="K33" s="377" t="inlineStr">
        <is>
          <t>PROD_ID</t>
        </is>
      </c>
      <c r="L33" s="417" t="inlineStr">
        <is>
          <t>VARCHAR2(100)</t>
        </is>
      </c>
      <c r="M33" s="377" t="inlineStr">
        <is>
          <t>LEFT JOIN PG_BRONZE.LOS_APP_PRODUCT pd_los ON fac.PRODUCT_ID = pd_los.ID</t>
        </is>
      </c>
      <c r="N33" s="377" t="inlineStr">
        <is>
          <t>TRIM(pd_los.ID)</t>
        </is>
      </c>
      <c r="O33" s="377" t="inlineStr">
        <is>
          <t>Source -&gt; PG_BRONZE (1:1) -&gt; PG_SILVER (Temp 1)</t>
        </is>
      </c>
      <c r="P33" s="357" t="inlineStr">
        <is>
          <t>Key của bản ghi (Map từ PG_BRONZE.LOS_APP_PRODUCT.ID -&gt; PG_SILVER.CUST_INFO_DAILY.PROD_ID)</t>
        </is>
      </c>
    </row>
    <row r="34" ht="14.25" customHeight="1" s="335">
      <c r="A34" s="416">
        <f>C34&amp;D34&amp;E34</f>
        <v/>
      </c>
      <c r="B34" s="416" t="inlineStr">
        <is>
          <t>CUST_INFO_DAILY</t>
        </is>
      </c>
      <c r="C34" s="416" t="inlineStr">
        <is>
          <t>LOS_APP</t>
        </is>
      </c>
      <c r="D34" s="416" t="inlineStr">
        <is>
          <t>PRODUCT@TO_LOS</t>
        </is>
      </c>
      <c r="E34" s="416" t="inlineStr">
        <is>
          <t>PRODUCT_CODE</t>
        </is>
      </c>
      <c r="F34" s="417" t="inlineStr">
        <is>
          <t>1:1</t>
        </is>
      </c>
      <c r="G34" s="417" t="inlineStr">
        <is>
          <t>PG_BRONZE</t>
        </is>
      </c>
      <c r="H34" s="377" t="inlineStr">
        <is>
          <t>LOS_APP_PRODUCT</t>
        </is>
      </c>
      <c r="I34" s="377" t="inlineStr">
        <is>
          <t>PRODUCT_CODE</t>
        </is>
      </c>
      <c r="J34" s="417" t="inlineStr">
        <is>
          <t>PG_SILVER</t>
        </is>
      </c>
      <c r="K34" s="377" t="inlineStr">
        <is>
          <t>PRODUCT_CODE</t>
        </is>
      </c>
      <c r="L34" s="417" t="inlineStr">
        <is>
          <t>VARCHAR2(100)</t>
        </is>
      </c>
      <c r="M34" s="377" t="inlineStr">
        <is>
          <t>LEFT JOIN PG_BRONZE.LOS_APP_PRODUCT pd_los ON fac.PRODUCT_ID = pd_los.ID</t>
        </is>
      </c>
      <c r="N34" s="377" t="inlineStr">
        <is>
          <t>TRIM(pd_los.PRODUCT_CODE)</t>
        </is>
      </c>
      <c r="O34" s="377" t="inlineStr">
        <is>
          <t>Source -&gt; PG_BRONZE (1:1) -&gt; PG_SILVER (Temp 1)</t>
        </is>
      </c>
      <c r="P34" s="357" t="inlineStr">
        <is>
          <t>Mã sản phẩm (Map từ PG_BRONZE.LOS_APP_PRODUCT.PRODUCT_CODE -&gt; PG_SILVER.CUST_INFO_DAILY.PRODUCT_CODE)</t>
        </is>
      </c>
    </row>
    <row r="35" ht="14.25" customHeight="1" s="335">
      <c r="A35" s="416">
        <f>C35&amp;D35&amp;E35</f>
        <v/>
      </c>
      <c r="B35" s="416" t="inlineStr">
        <is>
          <t>CUST_INFO_DAILY</t>
        </is>
      </c>
      <c r="C35" s="416" t="inlineStr">
        <is>
          <t>LOS_APP</t>
        </is>
      </c>
      <c r="D35" s="416" t="inlineStr">
        <is>
          <t>PRODUCT@TO_LOS</t>
        </is>
      </c>
      <c r="E35" s="416" t="inlineStr">
        <is>
          <t>PRODUCT_NAME</t>
        </is>
      </c>
      <c r="F35" s="417" t="inlineStr">
        <is>
          <t>1:1</t>
        </is>
      </c>
      <c r="G35" s="417" t="inlineStr">
        <is>
          <t>PG_BRONZE</t>
        </is>
      </c>
      <c r="H35" s="377" t="inlineStr">
        <is>
          <t>LOS_APP_PRODUCT</t>
        </is>
      </c>
      <c r="I35" s="377" t="inlineStr">
        <is>
          <t>PRODUCT_NAME</t>
        </is>
      </c>
      <c r="J35" s="417" t="inlineStr">
        <is>
          <t>PG_SILVER</t>
        </is>
      </c>
      <c r="K35" s="377" t="inlineStr">
        <is>
          <t>PRODUCT_NAME</t>
        </is>
      </c>
      <c r="L35" s="417" t="inlineStr">
        <is>
          <t>VARCHAR2(255)</t>
        </is>
      </c>
      <c r="M35" s="377" t="inlineStr">
        <is>
          <t>LEFT JOIN PG_BRONZE.LOS_APP_PRODUCT pd_los ON fac.PRODUCT_ID = pd_los.ID</t>
        </is>
      </c>
      <c r="N35" s="377" t="inlineStr">
        <is>
          <t>TRIM(pd_los.PRODUCT_NAME)</t>
        </is>
      </c>
      <c r="O35" s="377" t="inlineStr">
        <is>
          <t>Source -&gt; PG_BRONZE (1:1) -&gt; PG_SILVER (Temp 1)</t>
        </is>
      </c>
      <c r="P35" s="357" t="inlineStr">
        <is>
          <t>Tên sản phẩm (Map từ PG_BRONZE.LOS_APP_PRODUCT.PRODUCT_NAME -&gt; PG_SILVER.CUST_INFO_DAILY.PRODUCT_NAME)</t>
        </is>
      </c>
    </row>
    <row r="36" ht="14.25" customHeight="1" s="335">
      <c r="A36" s="416">
        <f>C36&amp;D36&amp;E36</f>
        <v/>
      </c>
      <c r="B36" s="416" t="inlineStr">
        <is>
          <t>CUST_INFO_DAILY</t>
        </is>
      </c>
      <c r="C36" s="418" t="inlineStr">
        <is>
          <t>SMY</t>
        </is>
      </c>
      <c r="D36" s="418" t="inlineStr">
        <is>
          <t>STMT_DAILY</t>
        </is>
      </c>
      <c r="E36" s="416" t="inlineStr">
        <is>
          <t>ACCOUNT</t>
        </is>
      </c>
      <c r="F36" s="417" t="inlineStr">
        <is>
          <t>1:1</t>
        </is>
      </c>
      <c r="G36" s="417" t="inlineStr">
        <is>
          <t>PG_BRONZE</t>
        </is>
      </c>
      <c r="H36" s="377" t="inlineStr">
        <is>
          <t>SMY_STMT_DAILY</t>
        </is>
      </c>
      <c r="I36" s="377" t="inlineStr">
        <is>
          <t>ACCOUNT</t>
        </is>
      </c>
      <c r="J36" s="417" t="inlineStr">
        <is>
          <t>PG_SILVER</t>
        </is>
      </c>
      <c r="K36" s="377" t="inlineStr">
        <is>
          <t>ACCOUNT</t>
        </is>
      </c>
      <c r="L36" s="417" t="inlineStr">
        <is>
          <t>VARCHAR2(100)</t>
        </is>
      </c>
      <c r="M36" s="377" t="inlineStr">
        <is>
          <t>FROM PG_BRONZE.SMY_STMT_DAILY stmt WHERE stmt.BOOKING_DATE = ${ETL_DATE}</t>
        </is>
      </c>
      <c r="N36" s="377" t="inlineStr">
        <is>
          <t>TRIM(stmt.ACCOUNT)</t>
        </is>
      </c>
      <c r="O36" s="377" t="inlineStr">
        <is>
          <t>Source -&gt; PG_BRONZE (1:1) -&gt; PG_SILVER (Temp 1)</t>
        </is>
      </c>
      <c r="P36" s="357" t="inlineStr">
        <is>
          <t>Trường ACCOUNT của bảng nguồn SMY.STMT_DAILY (Map từ PG_BRONZE.SMY_STMT_DAILY.ACCOUNT -&gt; PG_SILVER.CUST_INFO_DAILY.ACCOUNT)</t>
        </is>
      </c>
    </row>
    <row r="37" ht="14.25" customHeight="1" s="335">
      <c r="A37" s="416">
        <f>C37&amp;D37&amp;E37</f>
        <v/>
      </c>
      <c r="B37" s="416" t="inlineStr">
        <is>
          <t>CUST_INFO_DAILY</t>
        </is>
      </c>
      <c r="C37" s="416" t="inlineStr">
        <is>
          <t>SMY</t>
        </is>
      </c>
      <c r="D37" s="416" t="inlineStr">
        <is>
          <t>STMT_DAILY</t>
        </is>
      </c>
      <c r="E37" s="416" t="inlineStr">
        <is>
          <t>ACCOUNT_ID</t>
        </is>
      </c>
      <c r="F37" s="417" t="inlineStr">
        <is>
          <t>1:1</t>
        </is>
      </c>
      <c r="G37" s="417" t="inlineStr">
        <is>
          <t>PG_BRONZE</t>
        </is>
      </c>
      <c r="H37" s="377" t="inlineStr">
        <is>
          <t>SMY_STMT_DAILY</t>
        </is>
      </c>
      <c r="I37" s="377" t="inlineStr">
        <is>
          <t>ACCOUNT_ID</t>
        </is>
      </c>
      <c r="J37" s="417" t="inlineStr">
        <is>
          <t>PG_SILVER</t>
        </is>
      </c>
      <c r="K37" s="377" t="inlineStr">
        <is>
          <t>ACCOUNT_ID</t>
        </is>
      </c>
      <c r="L37" s="417" t="inlineStr">
        <is>
          <t>VARCHAR2(100)</t>
        </is>
      </c>
      <c r="M37" s="377" t="inlineStr">
        <is>
          <t>FROM PG_BRONZE.SMY_STMT_DAILY stmt WHERE stmt.BOOKING_DATE = ${ETL_DATE}</t>
        </is>
      </c>
      <c r="N37" s="377" t="inlineStr">
        <is>
          <t>TRIM(stmt.ACCOUNT_ID)</t>
        </is>
      </c>
      <c r="O37" s="377" t="inlineStr">
        <is>
          <t>Source -&gt; PG_BRONZE (1:1) -&gt; PG_SILVER (Temp 1)</t>
        </is>
      </c>
      <c r="P37" s="357" t="inlineStr">
        <is>
          <t>Trường ACCOUNT_ID của bảng nguồn SMY.STMT_DAILY (Map từ PG_BRONZE.SMY_STMT_DAILY.ACCOUNT_ID -&gt; PG_SILVER.CUST_INFO_DAILY.ACCOUNT_ID)</t>
        </is>
      </c>
    </row>
    <row r="38" ht="14.25" customHeight="1" s="335">
      <c r="A38" s="416">
        <f>C38&amp;D38&amp;E38</f>
        <v/>
      </c>
      <c r="B38" s="416" t="inlineStr">
        <is>
          <t>CUST_INFO_DAILY</t>
        </is>
      </c>
      <c r="C38" s="416" t="inlineStr">
        <is>
          <t>SMY</t>
        </is>
      </c>
      <c r="D38" s="416" t="inlineStr">
        <is>
          <t>STMT_DAILY</t>
        </is>
      </c>
      <c r="E38" s="416" t="inlineStr">
        <is>
          <t>ACCOUNT_NUM</t>
        </is>
      </c>
      <c r="F38" s="417" t="inlineStr">
        <is>
          <t>1:1</t>
        </is>
      </c>
      <c r="G38" s="417" t="inlineStr">
        <is>
          <t>PG_BRONZE</t>
        </is>
      </c>
      <c r="H38" s="377" t="inlineStr">
        <is>
          <t>SMY_STMT_DAILY</t>
        </is>
      </c>
      <c r="I38" s="377" t="inlineStr">
        <is>
          <t>ACCOUNT_NUM</t>
        </is>
      </c>
      <c r="J38" s="417" t="inlineStr">
        <is>
          <t>PG_SILVER</t>
        </is>
      </c>
      <c r="K38" s="377" t="inlineStr">
        <is>
          <t>ACCOUNT_NUM</t>
        </is>
      </c>
      <c r="L38" s="417" t="inlineStr">
        <is>
          <t>VARCHAR2(100)</t>
        </is>
      </c>
      <c r="M38" s="377" t="inlineStr">
        <is>
          <t>FROM PG_BRONZE.SMY_STMT_DAILY stmt WHERE stmt.BOOKING_DATE = ${ETL_DATE}</t>
        </is>
      </c>
      <c r="N38" s="377" t="inlineStr">
        <is>
          <t>TRIM(stmt.ACCOUNT_NUM)</t>
        </is>
      </c>
      <c r="O38" s="377" t="inlineStr">
        <is>
          <t>Source -&gt; PG_BRONZE (1:1) -&gt; PG_SILVER (Temp 1)</t>
        </is>
      </c>
      <c r="P38" s="357" t="inlineStr">
        <is>
          <t>Trường ACCOUNT_NUM của bảng nguồn SMY.STMT_DAILY (Map từ PG_BRONZE.SMY_STMT_DAILY.ACCOUNT_NUM -&gt; PG_SILVER.CUST_INFO_DAILY.ACCOUNT_NUM)</t>
        </is>
      </c>
    </row>
    <row r="39" ht="14.25" customHeight="1" s="335">
      <c r="A39" s="416">
        <f>C39&amp;D39&amp;E39</f>
        <v/>
      </c>
      <c r="B39" s="416" t="inlineStr">
        <is>
          <t>CUST_INFO_DAILY</t>
        </is>
      </c>
      <c r="C39" s="416" t="inlineStr">
        <is>
          <t>SMY</t>
        </is>
      </c>
      <c r="D39" s="416" t="inlineStr">
        <is>
          <t>STMT_DAILY</t>
        </is>
      </c>
      <c r="E39" s="416" t="inlineStr">
        <is>
          <t>ACCOUNT_NUMBER</t>
        </is>
      </c>
      <c r="F39" s="417" t="inlineStr">
        <is>
          <t>1:1</t>
        </is>
      </c>
      <c r="G39" s="417" t="inlineStr">
        <is>
          <t>PG_BRONZE</t>
        </is>
      </c>
      <c r="H39" s="377" t="inlineStr">
        <is>
          <t>SMY_STMT_DAILY</t>
        </is>
      </c>
      <c r="I39" s="377" t="inlineStr">
        <is>
          <t>ACCOUNT_NUMBER</t>
        </is>
      </c>
      <c r="J39" s="417" t="inlineStr">
        <is>
          <t>PG_SILVER</t>
        </is>
      </c>
      <c r="K39" s="377" t="inlineStr">
        <is>
          <t>ACCOUNT_NUMBER</t>
        </is>
      </c>
      <c r="L39" s="417" t="inlineStr">
        <is>
          <t>VARCHAR2(100)</t>
        </is>
      </c>
      <c r="M39" s="377" t="inlineStr">
        <is>
          <t>FROM PG_BRONZE.SMY_STMT_DAILY stmt WHERE stmt.BOOKING_DATE = ${ETL_DATE}</t>
        </is>
      </c>
      <c r="N39" s="377" t="inlineStr">
        <is>
          <t>TRIM(stmt.ACCOUNT_NUMBER)</t>
        </is>
      </c>
      <c r="O39" s="377" t="inlineStr">
        <is>
          <t>Source -&gt; PG_BRONZE (1:1) -&gt; PG_SILVER (Temp 1)</t>
        </is>
      </c>
      <c r="P39" s="357" t="inlineStr">
        <is>
          <t>Số tài khoản liên quan (Map từ PG_BRONZE.SMY_STMT_DAILY.ACCOUNT_NUMBER -&gt; PG_SILVER.CUST_INFO_DAILY.ACCOUNT_NUMBER)</t>
        </is>
      </c>
    </row>
    <row r="40" ht="14.25" customHeight="1" s="335">
      <c r="A40" s="416">
        <f>C40&amp;D40&amp;E40</f>
        <v/>
      </c>
      <c r="B40" s="416" t="inlineStr">
        <is>
          <t>CUST_INFO_DAILY</t>
        </is>
      </c>
      <c r="C40" s="416" t="inlineStr">
        <is>
          <t>SMY</t>
        </is>
      </c>
      <c r="D40" s="416" t="inlineStr">
        <is>
          <t>STMT_DAILY</t>
        </is>
      </c>
      <c r="E40" s="416" t="inlineStr">
        <is>
          <t>ACCOUNTING_DATE</t>
        </is>
      </c>
      <c r="F40" s="417" t="inlineStr">
        <is>
          <t>1:1</t>
        </is>
      </c>
      <c r="G40" s="417" t="inlineStr">
        <is>
          <t>PG_BRONZE</t>
        </is>
      </c>
      <c r="H40" s="377" t="inlineStr">
        <is>
          <t>SMY_STMT_DAILY</t>
        </is>
      </c>
      <c r="I40" s="377" t="inlineStr">
        <is>
          <t>ACCOUNTING_DATE</t>
        </is>
      </c>
      <c r="J40" s="417" t="inlineStr">
        <is>
          <t>PG_SILVER</t>
        </is>
      </c>
      <c r="K40" s="377" t="inlineStr">
        <is>
          <t>ACCOUNTING_DATE</t>
        </is>
      </c>
      <c r="L40" s="417" t="inlineStr">
        <is>
          <t>DATE</t>
        </is>
      </c>
      <c r="M40" s="377" t="inlineStr">
        <is>
          <t>FROM PG_BRONZE.SMY_STMT_DAILY stmt WHERE stmt.BOOKING_DATE = ${ETL_DATE}</t>
        </is>
      </c>
      <c r="N40" s="377" t="inlineStr">
        <is>
          <t>TO_DATE(CAST(stmt.ACCOUNTING_DATE AS VARCHAR(20)), 'YYYYMMDD')</t>
        </is>
      </c>
      <c r="O40" s="377" t="inlineStr">
        <is>
          <t>Source -&gt; PG_BRONZE (1:1) -&gt; PG_SILVER (Temp 1)</t>
        </is>
      </c>
      <c r="P40" s="357" t="inlineStr">
        <is>
          <t>Ngày hạch toán (Map từ PG_BRONZE.SMY_STMT_DAILY.ACCOUNTING_DATE -&gt; PG_SILVER.CUST_INFO_DAILY.ACCOUNTING_DATE)</t>
        </is>
      </c>
    </row>
    <row r="41" ht="14.25" customHeight="1" s="335">
      <c r="A41" s="416">
        <f>C41&amp;D41&amp;E41</f>
        <v/>
      </c>
      <c r="B41" s="416" t="inlineStr">
        <is>
          <t>CUST_INFO_DAILY</t>
        </is>
      </c>
      <c r="C41" s="416" t="inlineStr">
        <is>
          <t>SMY</t>
        </is>
      </c>
      <c r="D41" s="416" t="inlineStr">
        <is>
          <t>STMT_DAILY</t>
        </is>
      </c>
      <c r="E41" s="416" t="inlineStr">
        <is>
          <t>ACCT_ID</t>
        </is>
      </c>
      <c r="F41" s="417" t="inlineStr">
        <is>
          <t>1:1</t>
        </is>
      </c>
      <c r="G41" s="417" t="inlineStr">
        <is>
          <t>PG_BRONZE</t>
        </is>
      </c>
      <c r="H41" s="377" t="inlineStr">
        <is>
          <t>SMY_STMT_DAILY</t>
        </is>
      </c>
      <c r="I41" s="377" t="inlineStr">
        <is>
          <t>ACCT_ID</t>
        </is>
      </c>
      <c r="J41" s="417" t="inlineStr">
        <is>
          <t>PG_SILVER</t>
        </is>
      </c>
      <c r="K41" s="377" t="inlineStr">
        <is>
          <t>ACCT_ID</t>
        </is>
      </c>
      <c r="L41" s="417" t="inlineStr">
        <is>
          <t>VARCHAR2(100)</t>
        </is>
      </c>
      <c r="M41" s="377" t="inlineStr">
        <is>
          <t>FROM PG_BRONZE.SMY_STMT_DAILY stmt WHERE stmt.BOOKING_DATE = ${ETL_DATE}</t>
        </is>
      </c>
      <c r="N41" s="377" t="inlineStr">
        <is>
          <t>TRIM(stmt.ACCT_ID)</t>
        </is>
      </c>
      <c r="O41" s="377" t="inlineStr">
        <is>
          <t>Source -&gt; PG_BRONZE (1:1) -&gt; PG_SILVER (Temp 1)</t>
        </is>
      </c>
      <c r="P41" s="357" t="inlineStr">
        <is>
          <t>Maã định danh tài khoản (Map từ PG_BRONZE.SMY_STMT_DAILY.ACCT_ID -&gt; PG_SILVER.CUST_INFO_DAILY.ACCT_ID)</t>
        </is>
      </c>
    </row>
    <row r="42" ht="14.25" customHeight="1" s="335">
      <c r="A42" s="416">
        <f>C42&amp;D42&amp;E42</f>
        <v/>
      </c>
      <c r="B42" s="416" t="inlineStr">
        <is>
          <t>CUST_INFO_DAILY</t>
        </is>
      </c>
      <c r="C42" s="416" t="inlineStr">
        <is>
          <t>SMY</t>
        </is>
      </c>
      <c r="D42" s="416" t="inlineStr">
        <is>
          <t>STMT_DAILY</t>
        </is>
      </c>
      <c r="E42" s="416" t="inlineStr">
        <is>
          <t>AMOUNT_FCY</t>
        </is>
      </c>
      <c r="F42" s="417" t="inlineStr">
        <is>
          <t>1:1</t>
        </is>
      </c>
      <c r="G42" s="417" t="inlineStr">
        <is>
          <t>PG_BRONZE</t>
        </is>
      </c>
      <c r="H42" s="377" t="inlineStr">
        <is>
          <t>SMY_STMT_DAILY</t>
        </is>
      </c>
      <c r="I42" s="377" t="inlineStr">
        <is>
          <t>AMOUNT_FCY</t>
        </is>
      </c>
      <c r="J42" s="417" t="inlineStr">
        <is>
          <t>PG_SILVER</t>
        </is>
      </c>
      <c r="K42" s="377" t="inlineStr">
        <is>
          <t>AMOUNT_FCY</t>
        </is>
      </c>
      <c r="L42" s="417" t="inlineStr">
        <is>
          <t>NUMBER(25.5)</t>
        </is>
      </c>
      <c r="M42" s="377" t="inlineStr">
        <is>
          <t>FROM PG_BRONZE.SMY_STMT_DAILY stmt WHERE stmt.BOOKING_DATE = ${ETL_DATE}</t>
        </is>
      </c>
      <c r="N42" s="377" t="inlineStr">
        <is>
          <t>COALESCE(CAST(stmt.AMOUNT_FCY AS DECIMAL(25,5)), 0)</t>
        </is>
      </c>
      <c r="O42" s="377" t="inlineStr">
        <is>
          <t>Source -&gt; PG_BRONZE (1:1) -&gt; PG_SILVER (Temp 1)</t>
        </is>
      </c>
      <c r="P42" s="357" t="inlineStr">
        <is>
          <t>Dư nợ nguyên tệ (Map từ PG_BRONZE.SMY_STMT_DAILY.AMOUNT_FCY -&gt; PG_SILVER.CUST_INFO_DAILY.AMOUNT_FCY)</t>
        </is>
      </c>
    </row>
    <row r="43" ht="14.25" customHeight="1" s="335">
      <c r="A43" s="416">
        <f>C43&amp;D43&amp;E43</f>
        <v/>
      </c>
      <c r="B43" s="416" t="inlineStr">
        <is>
          <t>CUST_INFO_DAILY</t>
        </is>
      </c>
      <c r="C43" s="416" t="inlineStr">
        <is>
          <t>SMY</t>
        </is>
      </c>
      <c r="D43" s="416" t="inlineStr">
        <is>
          <t>STMT_DAILY</t>
        </is>
      </c>
      <c r="E43" s="416" t="inlineStr">
        <is>
          <t>AMOUNT_LCY</t>
        </is>
      </c>
      <c r="F43" s="417" t="inlineStr">
        <is>
          <t>1:1</t>
        </is>
      </c>
      <c r="G43" s="417" t="inlineStr">
        <is>
          <t>PG_BRONZE</t>
        </is>
      </c>
      <c r="H43" s="377" t="inlineStr">
        <is>
          <t>SMY_STMT_DAILY</t>
        </is>
      </c>
      <c r="I43" s="377" t="inlineStr">
        <is>
          <t>AMOUNT_LCY</t>
        </is>
      </c>
      <c r="J43" s="417" t="inlineStr">
        <is>
          <t>PG_SILVER</t>
        </is>
      </c>
      <c r="K43" s="377" t="inlineStr">
        <is>
          <t>AMOUNT_LCY</t>
        </is>
      </c>
      <c r="L43" s="417" t="inlineStr">
        <is>
          <t>NUMBER(25.5)</t>
        </is>
      </c>
      <c r="M43" s="377" t="inlineStr">
        <is>
          <t>FROM PG_BRONZE.SMY_STMT_DAILY stmt WHERE stmt.BOOKING_DATE = ${ETL_DATE}</t>
        </is>
      </c>
      <c r="N43" s="377" t="inlineStr">
        <is>
          <t>COALESCE(CAST(stmt.AMOUNT_LCY AS DECIMAL(25,5)), 0)</t>
        </is>
      </c>
      <c r="O43" s="377" t="inlineStr">
        <is>
          <t>Source -&gt; PG_BRONZE (1:1) -&gt; PG_SILVER (Temp 1)</t>
        </is>
      </c>
      <c r="P43" s="357" t="inlineStr">
        <is>
          <t>Dư nợ quy đổi (Map từ PG_BRONZE.SMY_STMT_DAILY.AMOUNT_LCY -&gt; PG_SILVER.CUST_INFO_DAILY.AMOUNT_LCY)</t>
        </is>
      </c>
    </row>
    <row r="44" ht="14.25" customHeight="1" s="335">
      <c r="A44" s="416">
        <f>C44&amp;D44&amp;E44</f>
        <v/>
      </c>
      <c r="B44" s="416" t="inlineStr">
        <is>
          <t>CUST_INFO_DAILY</t>
        </is>
      </c>
      <c r="C44" s="416" t="inlineStr">
        <is>
          <t>SMY</t>
        </is>
      </c>
      <c r="D44" s="416" t="inlineStr">
        <is>
          <t>STMT_DAILY</t>
        </is>
      </c>
      <c r="E44" s="416" t="inlineStr">
        <is>
          <t>BALANCE_TYPE</t>
        </is>
      </c>
      <c r="F44" s="417" t="inlineStr">
        <is>
          <t>1:1</t>
        </is>
      </c>
      <c r="G44" s="417" t="inlineStr">
        <is>
          <t>PG_BRONZE</t>
        </is>
      </c>
      <c r="H44" s="377" t="inlineStr">
        <is>
          <t>SMY_STMT_DAILY</t>
        </is>
      </c>
      <c r="I44" s="377" t="inlineStr">
        <is>
          <t>BALANCE_TYPE</t>
        </is>
      </c>
      <c r="J44" s="417" t="inlineStr">
        <is>
          <t>PG_SILVER</t>
        </is>
      </c>
      <c r="K44" s="377" t="inlineStr">
        <is>
          <t>BALANCE_TYPE</t>
        </is>
      </c>
      <c r="L44" s="417" t="inlineStr">
        <is>
          <t>VARCHAR2(20)</t>
        </is>
      </c>
      <c r="M44" s="377" t="inlineStr">
        <is>
          <t>FROM PG_BRONZE.SMY_STMT_DAILY stmt WHERE stmt.BOOKING_DATE = ${ETL_DATE}</t>
        </is>
      </c>
      <c r="N44" s="377" t="inlineStr">
        <is>
          <t>TRIM(stmt.BALANCE_TYPE)</t>
        </is>
      </c>
      <c r="O44" s="377" t="inlineStr">
        <is>
          <t>Source -&gt; PG_BRONZE (1:1) -&gt; PG_SILVER (Temp 1)</t>
        </is>
      </c>
      <c r="P44" s="357" t="inlineStr">
        <is>
          <t>Loại bút toán (Map từ PG_BRONZE.SMY_STMT_DAILY.BALANCE_TYPE -&gt; PG_SILVER.CUST_INFO_DAILY.BALANCE_TYPE)</t>
        </is>
      </c>
    </row>
    <row r="45" ht="14.25" customHeight="1" s="335">
      <c r="A45" s="416">
        <f>C45&amp;D45&amp;E45</f>
        <v/>
      </c>
      <c r="B45" s="416" t="inlineStr">
        <is>
          <t>CUST_INFO_DAILY</t>
        </is>
      </c>
      <c r="C45" s="416" t="inlineStr">
        <is>
          <t>SMY</t>
        </is>
      </c>
      <c r="D45" s="416" t="inlineStr">
        <is>
          <t>STMT_DAILY</t>
        </is>
      </c>
      <c r="E45" s="416" t="inlineStr">
        <is>
          <t>BOOKING_DATE</t>
        </is>
      </c>
      <c r="F45" s="417" t="inlineStr">
        <is>
          <t>1:1</t>
        </is>
      </c>
      <c r="G45" s="417" t="inlineStr">
        <is>
          <t>PG_BRONZE</t>
        </is>
      </c>
      <c r="H45" s="377" t="inlineStr">
        <is>
          <t>SMY_STMT_DAILY</t>
        </is>
      </c>
      <c r="I45" s="377" t="inlineStr">
        <is>
          <t>BOOKING_DATE</t>
        </is>
      </c>
      <c r="J45" s="417" t="inlineStr">
        <is>
          <t>PG_SILVER</t>
        </is>
      </c>
      <c r="K45" s="377" t="inlineStr">
        <is>
          <t>BOOKING_DATE</t>
        </is>
      </c>
      <c r="L45" s="417" t="inlineStr">
        <is>
          <t>DATE</t>
        </is>
      </c>
      <c r="M45" s="377" t="inlineStr">
        <is>
          <t>FROM PG_BRONZE.SMY_STMT_DAILY stmt WHERE stmt.BOOKING_DATE = ${ETL_DATE}</t>
        </is>
      </c>
      <c r="N45" s="377" t="inlineStr">
        <is>
          <t>TO_DATE(CAST(stmt.BOOKING_DATE AS VARCHAR(20)), 'YYYYMMDD')</t>
        </is>
      </c>
      <c r="O45" s="377" t="inlineStr">
        <is>
          <t>Source -&gt; PG_BRONZE (1:1) -&gt; PG_SILVER (Temp 1)</t>
        </is>
      </c>
      <c r="P45" s="357" t="inlineStr">
        <is>
          <t>Ngay but toan ghi nhan vao he thong (Map từ PG_BRONZE.SMY_STMT_DAILY.BOOKING_DATE -&gt; PG_SILVER.CUST_INFO_DAILY.BOOKING_DATE)</t>
        </is>
      </c>
    </row>
    <row r="46" ht="14.25" customHeight="1" s="335">
      <c r="A46" s="416">
        <f>C46&amp;D46&amp;E46</f>
        <v/>
      </c>
      <c r="B46" s="416" t="inlineStr">
        <is>
          <t>CUST_INFO_DAILY</t>
        </is>
      </c>
      <c r="C46" s="416" t="inlineStr">
        <is>
          <t>SMY</t>
        </is>
      </c>
      <c r="D46" s="416" t="inlineStr">
        <is>
          <t>STMT_DAILY</t>
        </is>
      </c>
      <c r="E46" s="416" t="inlineStr">
        <is>
          <t>CARD_NUMBER</t>
        </is>
      </c>
      <c r="F46" s="417" t="inlineStr">
        <is>
          <t>1:1</t>
        </is>
      </c>
      <c r="G46" s="417" t="inlineStr">
        <is>
          <t>PG_BRONZE</t>
        </is>
      </c>
      <c r="H46" s="377" t="inlineStr">
        <is>
          <t>SMY_STMT_DAILY</t>
        </is>
      </c>
      <c r="I46" s="377" t="inlineStr">
        <is>
          <t>CARD_NUMBER</t>
        </is>
      </c>
      <c r="J46" s="417" t="inlineStr">
        <is>
          <t>PG_SILVER</t>
        </is>
      </c>
      <c r="K46" s="377" t="inlineStr">
        <is>
          <t>CARD_NUMBER</t>
        </is>
      </c>
      <c r="L46" s="417" t="inlineStr">
        <is>
          <t>VARCHAR2(100)</t>
        </is>
      </c>
      <c r="M46" s="377" t="inlineStr">
        <is>
          <t>FROM PG_BRONZE.SMY_STMT_DAILY stmt WHERE stmt.BOOKING_DATE = ${ETL_DATE}</t>
        </is>
      </c>
      <c r="N46" s="377" t="inlineStr">
        <is>
          <t>TRIM(stmt.CARD_NUMBER)</t>
        </is>
      </c>
      <c r="O46" s="377" t="inlineStr">
        <is>
          <t>Source -&gt; PG_BRONZE (1:1) -&gt; PG_SILVER (Temp 1)</t>
        </is>
      </c>
      <c r="P46" s="357" t="inlineStr">
        <is>
          <t>Số thẻ (Map từ PG_BRONZE.SMY_STMT_DAILY.CARD_NUMBER -&gt; PG_SILVER.CUST_INFO_DAILY.CARD_NUMBER)</t>
        </is>
      </c>
    </row>
    <row r="47" ht="14.25" customHeight="1" s="335">
      <c r="A47" s="416">
        <f>C47&amp;D47&amp;E47</f>
        <v/>
      </c>
      <c r="B47" s="416" t="inlineStr">
        <is>
          <t>CUST_INFO_DAILY</t>
        </is>
      </c>
      <c r="C47" s="416" t="inlineStr">
        <is>
          <t>SMY</t>
        </is>
      </c>
      <c r="D47" s="416" t="inlineStr">
        <is>
          <t>STMT_DAILY</t>
        </is>
      </c>
      <c r="E47" s="416" t="inlineStr">
        <is>
          <t>CO_CODE</t>
        </is>
      </c>
      <c r="F47" s="417" t="inlineStr">
        <is>
          <t>1:1</t>
        </is>
      </c>
      <c r="G47" s="417" t="inlineStr">
        <is>
          <t>PG_BRONZE</t>
        </is>
      </c>
      <c r="H47" s="377" t="inlineStr">
        <is>
          <t>SMY_STMT_DAILY</t>
        </is>
      </c>
      <c r="I47" s="377" t="inlineStr">
        <is>
          <t>CO_CODE</t>
        </is>
      </c>
      <c r="J47" s="417" t="inlineStr">
        <is>
          <t>PG_SILVER</t>
        </is>
      </c>
      <c r="K47" s="377" t="inlineStr">
        <is>
          <t>CO_CODE</t>
        </is>
      </c>
      <c r="L47" s="417" t="inlineStr">
        <is>
          <t>VARCHAR2(100)</t>
        </is>
      </c>
      <c r="M47" s="377" t="inlineStr">
        <is>
          <t>FROM PG_BRONZE.SMY_STMT_DAILY stmt WHERE stmt.BOOKING_DATE = ${ETL_DATE}</t>
        </is>
      </c>
      <c r="N47" s="377" t="inlineStr">
        <is>
          <t>TRIM(stmt.CO_CODE)</t>
        </is>
      </c>
      <c r="O47" s="377" t="inlineStr">
        <is>
          <t>Source -&gt; PG_BRONZE (1:1) -&gt; PG_SILVER (Temp 1)</t>
        </is>
      </c>
      <c r="P47" s="357" t="inlineStr">
        <is>
          <t>Trường CO_CODE của bảng nguồn SMY.STMT_DAILY (Map từ PG_BRONZE.SMY_STMT_DAILY.CO_CODE -&gt; PG_SILVER.CUST_INFO_DAILY.CO_CODE)</t>
        </is>
      </c>
    </row>
    <row r="48" ht="14.25" customHeight="1" s="335">
      <c r="A48" s="416">
        <f>C48&amp;D48&amp;E48</f>
        <v/>
      </c>
      <c r="B48" s="416" t="inlineStr">
        <is>
          <t>CUST_INFO_DAILY</t>
        </is>
      </c>
      <c r="C48" s="416" t="inlineStr">
        <is>
          <t>SMY</t>
        </is>
      </c>
      <c r="D48" s="416" t="inlineStr">
        <is>
          <t>STMT_DAILY</t>
        </is>
      </c>
      <c r="E48" s="416" t="inlineStr">
        <is>
          <t>COMMIT_ACTION</t>
        </is>
      </c>
      <c r="F48" s="417" t="inlineStr">
        <is>
          <t>1:1</t>
        </is>
      </c>
      <c r="G48" s="417" t="inlineStr">
        <is>
          <t>PG_BRONZE</t>
        </is>
      </c>
      <c r="H48" s="377" t="inlineStr">
        <is>
          <t>SMY_STMT_DAILY</t>
        </is>
      </c>
      <c r="I48" s="377" t="inlineStr">
        <is>
          <t>COMMIT_ACTION</t>
        </is>
      </c>
      <c r="J48" s="417" t="inlineStr">
        <is>
          <t>PG_SILVER</t>
        </is>
      </c>
      <c r="K48" s="377" t="inlineStr">
        <is>
          <t>COMMIT_ACTION</t>
        </is>
      </c>
      <c r="L48" s="417" t="inlineStr">
        <is>
          <t>VARCHAR2(100)</t>
        </is>
      </c>
      <c r="M48" s="377" t="inlineStr">
        <is>
          <t>FROM PG_BRONZE.SMY_STMT_DAILY stmt WHERE stmt.BOOKING_DATE = ${ETL_DATE}</t>
        </is>
      </c>
      <c r="N48" s="377" t="inlineStr">
        <is>
          <t>TRIM(stmt.COMMIT_ACTION)</t>
        </is>
      </c>
      <c r="O48" s="377" t="inlineStr">
        <is>
          <t>Source -&gt; PG_BRONZE (1:1) -&gt; PG_SILVER (Temp 1)</t>
        </is>
      </c>
      <c r="P48" s="357" t="inlineStr">
        <is>
          <t>Trường kỹ thuật đánh dấu bản ghi IUD (Map từ PG_BRONZE.SMY_STMT_DAILY.COMMIT_ACTION -&gt; PG_SILVER.CUST_INFO_DAILY.COMMIT_ACTION)</t>
        </is>
      </c>
    </row>
    <row r="49" ht="14.25" customHeight="1" s="335">
      <c r="A49" s="416">
        <f>C49&amp;D49&amp;E49</f>
        <v/>
      </c>
      <c r="B49" s="416" t="inlineStr">
        <is>
          <t>CUST_INFO_DAILY</t>
        </is>
      </c>
      <c r="C49" s="416" t="inlineStr">
        <is>
          <t>SMY</t>
        </is>
      </c>
      <c r="D49" s="416" t="inlineStr">
        <is>
          <t>STMT_DAILY</t>
        </is>
      </c>
      <c r="E49" s="416" t="inlineStr">
        <is>
          <t>COMMIT_TS</t>
        </is>
      </c>
      <c r="F49" s="417" t="inlineStr">
        <is>
          <t>1:1</t>
        </is>
      </c>
      <c r="G49" s="417" t="inlineStr">
        <is>
          <t>PG_BRONZE</t>
        </is>
      </c>
      <c r="H49" s="377" t="inlineStr">
        <is>
          <t>SMY_STMT_DAILY</t>
        </is>
      </c>
      <c r="I49" s="377" t="inlineStr">
        <is>
          <t>COMMIT_TS</t>
        </is>
      </c>
      <c r="J49" s="417" t="inlineStr">
        <is>
          <t>PG_SILVER</t>
        </is>
      </c>
      <c r="K49" s="377" t="inlineStr">
        <is>
          <t>COMMIT_TS</t>
        </is>
      </c>
      <c r="L49" s="417" t="inlineStr">
        <is>
          <t>TIMESTAMP</t>
        </is>
      </c>
      <c r="M49" s="377" t="inlineStr">
        <is>
          <t>FROM PG_BRONZE.SMY_STMT_DAILY stmt WHERE stmt.BOOKING_DATE = ${ETL_DATE}</t>
        </is>
      </c>
      <c r="N49" s="377" t="inlineStr">
        <is>
          <t>stmt.COMMIT_TS</t>
        </is>
      </c>
      <c r="O49" s="377" t="inlineStr">
        <is>
          <t>Source -&gt; PG_BRONZE (1:1) -&gt; PG_SILVER (Temp 1)</t>
        </is>
      </c>
      <c r="P49" s="357" t="inlineStr">
        <is>
          <t>Thời điểm ghi nhận commit giao dịch trên Core T24 (Map từ PG_BRONZE.SMY_STMT_DAILY.COMMIT_TS -&gt; PG_SILVER.CUST_INFO_DAILY.COMMIT_TS)</t>
        </is>
      </c>
    </row>
    <row r="50" ht="14.25" customHeight="1" s="335">
      <c r="A50" s="416">
        <f>C50&amp;D50&amp;E50</f>
        <v/>
      </c>
      <c r="B50" s="416" t="inlineStr">
        <is>
          <t>CUST_INFO_DAILY</t>
        </is>
      </c>
      <c r="C50" s="416" t="inlineStr">
        <is>
          <t>SMY</t>
        </is>
      </c>
      <c r="D50" s="416" t="inlineStr">
        <is>
          <t>STMT_DAILY</t>
        </is>
      </c>
      <c r="E50" s="416" t="inlineStr">
        <is>
          <t>COMPANY_CODE</t>
        </is>
      </c>
      <c r="F50" s="417" t="inlineStr">
        <is>
          <t>1:1</t>
        </is>
      </c>
      <c r="G50" s="417" t="inlineStr">
        <is>
          <t>PG_BRONZE</t>
        </is>
      </c>
      <c r="H50" s="377" t="inlineStr">
        <is>
          <t>SMY_STMT_DAILY</t>
        </is>
      </c>
      <c r="I50" s="377" t="inlineStr">
        <is>
          <t>COMPANY_CODE</t>
        </is>
      </c>
      <c r="J50" s="417" t="inlineStr">
        <is>
          <t>PG_SILVER</t>
        </is>
      </c>
      <c r="K50" s="377" t="inlineStr">
        <is>
          <t>COMPANY_CODE</t>
        </is>
      </c>
      <c r="L50" s="417" t="inlineStr">
        <is>
          <t>VARCHAR2(100)</t>
        </is>
      </c>
      <c r="M50" s="377" t="inlineStr">
        <is>
          <t>FROM PG_BRONZE.SMY_STMT_DAILY stmt WHERE stmt.BOOKING_DATE = ${ETL_DATE}</t>
        </is>
      </c>
      <c r="N50" s="377" t="inlineStr">
        <is>
          <t>TRIM(stmt.COMPANY_CODE)</t>
        </is>
      </c>
      <c r="O50" s="377" t="inlineStr">
        <is>
          <t>Source -&gt; PG_BRONZE (1:1) -&gt; PG_SILVER (Temp 1)</t>
        </is>
      </c>
      <c r="P50" s="357" t="inlineStr">
        <is>
          <t>Mã chi nhánh hạch toán (Map từ PG_BRONZE.SMY_STMT_DAILY.COMPANY_CODE -&gt; PG_SILVER.CUST_INFO_DAILY.COMPANY_CODE)</t>
        </is>
      </c>
    </row>
    <row r="51" ht="14.25" customHeight="1" s="335">
      <c r="A51" s="416">
        <f>C51&amp;D51&amp;E51</f>
        <v/>
      </c>
      <c r="B51" s="416" t="inlineStr">
        <is>
          <t>CUST_INFO_DAILY</t>
        </is>
      </c>
      <c r="C51" s="416" t="inlineStr">
        <is>
          <t>SMY</t>
        </is>
      </c>
      <c r="D51" s="416" t="inlineStr">
        <is>
          <t>STMT_DAILY</t>
        </is>
      </c>
      <c r="E51" s="416" t="inlineStr">
        <is>
          <t>CONSOL_KEY</t>
        </is>
      </c>
      <c r="F51" s="417" t="inlineStr">
        <is>
          <t>1:1</t>
        </is>
      </c>
      <c r="G51" s="417" t="inlineStr">
        <is>
          <t>PG_BRONZE</t>
        </is>
      </c>
      <c r="H51" s="377" t="inlineStr">
        <is>
          <t>SMY_STMT_DAILY</t>
        </is>
      </c>
      <c r="I51" s="377" t="inlineStr">
        <is>
          <t>CONSOL_KEY</t>
        </is>
      </c>
      <c r="J51" s="417" t="inlineStr">
        <is>
          <t>PG_SILVER</t>
        </is>
      </c>
      <c r="K51" s="377" t="inlineStr">
        <is>
          <t>CONSOL_KEY</t>
        </is>
      </c>
      <c r="L51" s="417" t="inlineStr">
        <is>
          <t>VARCHAR2(100)</t>
        </is>
      </c>
      <c r="M51" s="377" t="inlineStr">
        <is>
          <t>FROM PG_BRONZE.SMY_STMT_DAILY stmt WHERE stmt.BOOKING_DATE = ${ETL_DATE}</t>
        </is>
      </c>
      <c r="N51" s="377" t="inlineStr">
        <is>
          <t>TRIM(stmt.CONSOL_KEY)</t>
        </is>
      </c>
      <c r="O51" s="377" t="inlineStr">
        <is>
          <t>Source -&gt; PG_BRONZE (1:1) -&gt; PG_SILVER (Temp 1)</t>
        </is>
      </c>
      <c r="P51" s="357" t="inlineStr">
        <is>
          <t>Consol key của bút toán STMT (Map từ PG_BRONZE.SMY_STMT_DAILY.CONSOL_KEY -&gt; PG_SILVER.CUST_INFO_DAILY.CONSOL_KEY)</t>
        </is>
      </c>
    </row>
    <row r="52" ht="14.25" customHeight="1" s="335">
      <c r="A52" s="416">
        <f>C52&amp;D52&amp;E52</f>
        <v/>
      </c>
      <c r="B52" s="416" t="inlineStr">
        <is>
          <t>CUST_INFO_DAILY</t>
        </is>
      </c>
      <c r="C52" s="416" t="inlineStr">
        <is>
          <t>SMY</t>
        </is>
      </c>
      <c r="D52" s="416" t="inlineStr">
        <is>
          <t>STMT_DAILY</t>
        </is>
      </c>
      <c r="E52" s="416" t="inlineStr">
        <is>
          <t>CONTRACT_BAL_ID</t>
        </is>
      </c>
      <c r="F52" s="417" t="inlineStr">
        <is>
          <t>1:1</t>
        </is>
      </c>
      <c r="G52" s="417" t="inlineStr">
        <is>
          <t>PG_BRONZE</t>
        </is>
      </c>
      <c r="H52" s="377" t="inlineStr">
        <is>
          <t>SMY_STMT_DAILY</t>
        </is>
      </c>
      <c r="I52" s="377" t="inlineStr">
        <is>
          <t>CONTRACT_BAL_ID</t>
        </is>
      </c>
      <c r="J52" s="417" t="inlineStr">
        <is>
          <t>PG_SILVER</t>
        </is>
      </c>
      <c r="K52" s="377" t="inlineStr">
        <is>
          <t>CONTRACT_BAL_ID</t>
        </is>
      </c>
      <c r="L52" s="417" t="inlineStr">
        <is>
          <t>VARCHAR2(40)</t>
        </is>
      </c>
      <c r="M52" s="377" t="inlineStr">
        <is>
          <t>FROM PG_BRONZE.SMY_STMT_DAILY stmt WHERE stmt.BOOKING_DATE = ${ETL_DATE}</t>
        </is>
      </c>
      <c r="N52" s="377" t="inlineStr">
        <is>
          <t>TRIM(stmt.CONTRACT_BAL_ID)</t>
        </is>
      </c>
      <c r="O52" s="377" t="inlineStr">
        <is>
          <t>Source -&gt; PG_BRONZE (1:1) -&gt; PG_SILVER (Temp 1)</t>
        </is>
      </c>
      <c r="P52" s="357" t="inlineStr">
        <is>
          <t>Trường CONTRACT_BAL_ID của bảng nguồn SMY.STMT_DAILY (Map từ PG_BRONZE.SMY_STMT_DAILY.CONTRACT_BAL_ID -&gt; PG_SILVER.CUST_INFO_DAILY.CONTRACT_BAL_ID)</t>
        </is>
      </c>
    </row>
    <row r="53" ht="14.25" customHeight="1" s="335">
      <c r="A53" s="416">
        <f>C53&amp;D53&amp;E53</f>
        <v/>
      </c>
      <c r="B53" s="416" t="inlineStr">
        <is>
          <t>CUST_INFO_DAILY</t>
        </is>
      </c>
      <c r="C53" s="416" t="inlineStr">
        <is>
          <t>SMY</t>
        </is>
      </c>
      <c r="D53" s="416" t="inlineStr">
        <is>
          <t>STMT_DAILY</t>
        </is>
      </c>
      <c r="E53" s="416" t="inlineStr">
        <is>
          <t>CRF_PROD_CAT</t>
        </is>
      </c>
      <c r="F53" s="417" t="inlineStr">
        <is>
          <t>1:1</t>
        </is>
      </c>
      <c r="G53" s="417" t="inlineStr">
        <is>
          <t>PG_BRONZE</t>
        </is>
      </c>
      <c r="H53" s="377" t="inlineStr">
        <is>
          <t>SMY_STMT_DAILY</t>
        </is>
      </c>
      <c r="I53" s="377" t="inlineStr">
        <is>
          <t>CRF_PROD_CAT</t>
        </is>
      </c>
      <c r="J53" s="417" t="inlineStr">
        <is>
          <t>PG_SILVER</t>
        </is>
      </c>
      <c r="K53" s="377" t="inlineStr">
        <is>
          <t>CRF_PROD_CAT</t>
        </is>
      </c>
      <c r="L53" s="417" t="inlineStr">
        <is>
          <t>VARCHAR2(100)</t>
        </is>
      </c>
      <c r="M53" s="377" t="inlineStr">
        <is>
          <t>FROM PG_BRONZE.SMY_STMT_DAILY stmt WHERE stmt.BOOKING_DATE = ${ETL_DATE}</t>
        </is>
      </c>
      <c r="N53" s="377" t="inlineStr">
        <is>
          <t>TRIM(stmt.CRF_PROD_CAT)</t>
        </is>
      </c>
      <c r="O53" s="377" t="inlineStr">
        <is>
          <t>Source -&gt; PG_BRONZE (1:1) -&gt; PG_SILVER (Temp 1)</t>
        </is>
      </c>
      <c r="P53" s="357" t="inlineStr">
        <is>
          <t>Mã Category phân loại bút toán (Map từ PG_BRONZE.SMY_STMT_DAILY.CRF_PROD_CAT -&gt; PG_SILVER.CUST_INFO_DAILY.CRF_PROD_CAT)</t>
        </is>
      </c>
    </row>
    <row r="54" ht="14.25" customHeight="1" s="335">
      <c r="A54" s="416">
        <f>C54&amp;D54&amp;E54</f>
        <v/>
      </c>
      <c r="B54" s="416" t="inlineStr">
        <is>
          <t>CUST_INFO_DAILY</t>
        </is>
      </c>
      <c r="C54" s="416" t="inlineStr">
        <is>
          <t>SMY</t>
        </is>
      </c>
      <c r="D54" s="416" t="inlineStr">
        <is>
          <t>STMT_DAILY</t>
        </is>
      </c>
      <c r="E54" s="416" t="inlineStr">
        <is>
          <t>CRF_TYPE</t>
        </is>
      </c>
      <c r="F54" s="417" t="inlineStr">
        <is>
          <t>1:1</t>
        </is>
      </c>
      <c r="G54" s="417" t="inlineStr">
        <is>
          <t>PG_BRONZE</t>
        </is>
      </c>
      <c r="H54" s="377" t="inlineStr">
        <is>
          <t>SMY_STMT_DAILY</t>
        </is>
      </c>
      <c r="I54" s="377" t="inlineStr">
        <is>
          <t>CRF_TYPE</t>
        </is>
      </c>
      <c r="J54" s="417" t="inlineStr">
        <is>
          <t>PG_SILVER</t>
        </is>
      </c>
      <c r="K54" s="377" t="inlineStr">
        <is>
          <t>CRF_TYPE</t>
        </is>
      </c>
      <c r="L54" s="417" t="inlineStr">
        <is>
          <t>VARCHAR2(100)</t>
        </is>
      </c>
      <c r="M54" s="377" t="inlineStr">
        <is>
          <t>FROM PG_BRONZE.SMY_STMT_DAILY stmt WHERE stmt.BOOKING_DATE = ${ETL_DATE}</t>
        </is>
      </c>
      <c r="N54" s="377" t="inlineStr">
        <is>
          <t>TRIM(stmt.CRF_TYPE)</t>
        </is>
      </c>
      <c r="O54" s="377" t="inlineStr">
        <is>
          <t>Source -&gt; PG_BRONZE (1:1) -&gt; PG_SILVER (Temp 1)</t>
        </is>
      </c>
      <c r="P54" s="357" t="inlineStr">
        <is>
          <t>Cờ đánh dấu ghi nợ/ghi có (Map từ PG_BRONZE.SMY_STMT_DAILY.CRF_TYPE -&gt; PG_SILVER.CUST_INFO_DAILY.CRF_TYPE)</t>
        </is>
      </c>
    </row>
    <row r="55" ht="14.25" customHeight="1" s="335">
      <c r="A55" s="416">
        <f>C55&amp;D55&amp;E55</f>
        <v/>
      </c>
      <c r="B55" s="416" t="inlineStr">
        <is>
          <t>CUST_INFO_DAILY</t>
        </is>
      </c>
      <c r="C55" s="416" t="inlineStr">
        <is>
          <t>SMY</t>
        </is>
      </c>
      <c r="D55" s="416" t="inlineStr">
        <is>
          <t>STMT_DAILY</t>
        </is>
      </c>
      <c r="E55" s="416" t="inlineStr">
        <is>
          <t>CURR_NO</t>
        </is>
      </c>
      <c r="F55" s="417" t="inlineStr">
        <is>
          <t>1:1</t>
        </is>
      </c>
      <c r="G55" s="417" t="inlineStr">
        <is>
          <t>PG_BRONZE</t>
        </is>
      </c>
      <c r="H55" s="377" t="inlineStr">
        <is>
          <t>SMY_STMT_DAILY</t>
        </is>
      </c>
      <c r="I55" s="377" t="inlineStr">
        <is>
          <t>CURR_NO</t>
        </is>
      </c>
      <c r="J55" s="417" t="inlineStr">
        <is>
          <t>PG_SILVER</t>
        </is>
      </c>
      <c r="K55" s="377" t="inlineStr">
        <is>
          <t>CURR_NO</t>
        </is>
      </c>
      <c r="L55" s="417" t="inlineStr">
        <is>
          <t>NUMBER(10)</t>
        </is>
      </c>
      <c r="M55" s="377" t="inlineStr">
        <is>
          <t>FROM PG_BRONZE.SMY_STMT_DAILY stmt WHERE stmt.BOOKING_DATE = ${ETL_DATE}</t>
        </is>
      </c>
      <c r="N55" s="377" t="inlineStr">
        <is>
          <t>COALESCE(CAST(stmt.CURR_NO AS DECIMAL(10)), 0)</t>
        </is>
      </c>
      <c r="O55" s="377" t="inlineStr">
        <is>
          <t>Source -&gt; PG_BRONZE (1:1) -&gt; PG_SILVER (Temp 1)</t>
        </is>
      </c>
      <c r="P55" s="357" t="inlineStr">
        <is>
          <t>Trường kỹ thuật, đánh dấu version thay đổi bút toán (Map từ PG_BRONZE.SMY_STMT_DAILY.CURR_NO -&gt; PG_SILVER.CUST_INFO_DAILY.CURR_NO)</t>
        </is>
      </c>
    </row>
    <row r="56" ht="14.25" customHeight="1" s="335">
      <c r="A56" s="416">
        <f>C56&amp;D56&amp;E56</f>
        <v/>
      </c>
      <c r="B56" s="416" t="inlineStr">
        <is>
          <t>CUST_INFO_DAILY</t>
        </is>
      </c>
      <c r="C56" s="416" t="inlineStr">
        <is>
          <t>SMY</t>
        </is>
      </c>
      <c r="D56" s="416" t="inlineStr">
        <is>
          <t>STMT_DAILY</t>
        </is>
      </c>
      <c r="E56" s="416" t="inlineStr">
        <is>
          <t>CURRENCY</t>
        </is>
      </c>
      <c r="F56" s="417" t="inlineStr">
        <is>
          <t>1:1</t>
        </is>
      </c>
      <c r="G56" s="417" t="inlineStr">
        <is>
          <t>PG_BRONZE</t>
        </is>
      </c>
      <c r="H56" s="377" t="inlineStr">
        <is>
          <t>SMY_STMT_DAILY</t>
        </is>
      </c>
      <c r="I56" s="377" t="inlineStr">
        <is>
          <t>CURRENCY</t>
        </is>
      </c>
      <c r="J56" s="417" t="inlineStr">
        <is>
          <t>PG_SILVER</t>
        </is>
      </c>
      <c r="K56" s="377" t="inlineStr">
        <is>
          <t>CURRENCY</t>
        </is>
      </c>
      <c r="L56" s="417" t="inlineStr">
        <is>
          <t>VARCHAR2(100)</t>
        </is>
      </c>
      <c r="M56" s="377" t="inlineStr">
        <is>
          <t>FROM PG_BRONZE.SMY_STMT_DAILY stmt WHERE stmt.BOOKING_DATE = ${ETL_DATE}</t>
        </is>
      </c>
      <c r="N56" s="377" t="inlineStr">
        <is>
          <t>TRIM(stmt.CURRENCY)</t>
        </is>
      </c>
      <c r="O56" s="377" t="inlineStr">
        <is>
          <t>Source -&gt; PG_BRONZE (1:1) -&gt; PG_SILVER (Temp 1)</t>
        </is>
      </c>
      <c r="P56" s="357" t="inlineStr">
        <is>
          <t>Loai tien but toan (Map từ PG_BRONZE.SMY_STMT_DAILY.CURRENCY -&gt; PG_SILVER.CUST_INFO_DAILY.CURRENCY)</t>
        </is>
      </c>
    </row>
    <row r="57" ht="14.25" customHeight="1" s="335">
      <c r="A57" s="416">
        <f>C57&amp;D57&amp;E57</f>
        <v/>
      </c>
      <c r="B57" s="416" t="inlineStr">
        <is>
          <t>CUST_INFO_DAILY</t>
        </is>
      </c>
      <c r="C57" s="416" t="inlineStr">
        <is>
          <t>SMY</t>
        </is>
      </c>
      <c r="D57" s="416" t="inlineStr">
        <is>
          <t>STMT_DAILY</t>
        </is>
      </c>
      <c r="E57" s="416" t="inlineStr">
        <is>
          <t>CUSTOMER_ID</t>
        </is>
      </c>
      <c r="F57" s="417" t="inlineStr">
        <is>
          <t>1:1</t>
        </is>
      </c>
      <c r="G57" s="417" t="inlineStr">
        <is>
          <t>PG_BRONZE</t>
        </is>
      </c>
      <c r="H57" s="377" t="inlineStr">
        <is>
          <t>SMY_STMT_DAILY</t>
        </is>
      </c>
      <c r="I57" s="377" t="inlineStr">
        <is>
          <t>CUSTOMER_ID</t>
        </is>
      </c>
      <c r="J57" s="417" t="inlineStr">
        <is>
          <t>PG_SILVER</t>
        </is>
      </c>
      <c r="K57" s="377" t="inlineStr">
        <is>
          <t>CUSTOMER_ID</t>
        </is>
      </c>
      <c r="L57" s="417" t="inlineStr">
        <is>
          <t>VARCHAR2(100)</t>
        </is>
      </c>
      <c r="M57" s="377" t="inlineStr">
        <is>
          <t>FROM PG_BRONZE.SMY_STMT_DAILY stmt WHERE stmt.BOOKING_DATE = ${ETL_DATE}</t>
        </is>
      </c>
      <c r="N57" s="377" t="inlineStr">
        <is>
          <t>TRIM(stmt.CUSTOMER_ID)</t>
        </is>
      </c>
      <c r="O57" s="377" t="inlineStr">
        <is>
          <t>Source -&gt; PG_BRONZE (1:1) -&gt; PG_SILVER (Temp 1)</t>
        </is>
      </c>
      <c r="P57" s="357" t="inlineStr">
        <is>
          <t>Mã khách hàng ứng với Account_number (Map từ PG_BRONZE.SMY_STMT_DAILY.CUSTOMER_ID -&gt; PG_SILVER.CUST_INFO_DAILY.CUSTOMER_ID)</t>
        </is>
      </c>
    </row>
    <row r="58" ht="14.25" customHeight="1" s="335">
      <c r="A58" s="416">
        <f>C58&amp;D58&amp;E58</f>
        <v/>
      </c>
      <c r="B58" s="416" t="inlineStr">
        <is>
          <t>CUST_INFO_DAILY</t>
        </is>
      </c>
      <c r="C58" s="416" t="inlineStr">
        <is>
          <t>SMY</t>
        </is>
      </c>
      <c r="D58" s="416" t="inlineStr">
        <is>
          <t>STMT_DAILY</t>
        </is>
      </c>
      <c r="E58" s="416" t="inlineStr">
        <is>
          <t>CYCLE_FORWARD</t>
        </is>
      </c>
      <c r="F58" s="417" t="inlineStr">
        <is>
          <t>1:1</t>
        </is>
      </c>
      <c r="G58" s="417" t="inlineStr">
        <is>
          <t>PG_BRONZE</t>
        </is>
      </c>
      <c r="H58" s="377" t="inlineStr">
        <is>
          <t>SMY_STMT_DAILY</t>
        </is>
      </c>
      <c r="I58" s="377" t="inlineStr">
        <is>
          <t>CYCLE_FORWARD</t>
        </is>
      </c>
      <c r="J58" s="417" t="inlineStr">
        <is>
          <t>PG_SILVER</t>
        </is>
      </c>
      <c r="K58" s="377" t="inlineStr">
        <is>
          <t>CYCLE_FORWARD</t>
        </is>
      </c>
      <c r="L58" s="417" t="inlineStr">
        <is>
          <t>DATE</t>
        </is>
      </c>
      <c r="M58" s="377" t="inlineStr">
        <is>
          <t>FROM PG_BRONZE.SMY_STMT_DAILY stmt WHERE stmt.BOOKING_DATE = ${ETL_DATE}</t>
        </is>
      </c>
      <c r="N58" s="377" t="inlineStr">
        <is>
          <t>TO_DATE(CAST(stmt.CYCLE_FORWARD AS VARCHAR(20)), 'YYYYMMDD')</t>
        </is>
      </c>
      <c r="O58" s="377" t="inlineStr">
        <is>
          <t>Source -&gt; PG_BRONZE (1:1) -&gt; PG_SILVER (Temp 1)</t>
        </is>
      </c>
      <c r="P58" s="357" t="inlineStr">
        <is>
          <t>Cờ kết chuyển chu kỳ hạch toán (Cycle Forward) (Map từ PG_BRONZE.SMY_STMT_DAILY.CYCLE_FORWARD -&gt; PG_SILVER.CUST_INFO_DAILY.CYCLE_FORWARD)</t>
        </is>
      </c>
    </row>
    <row r="59" ht="14.25" customHeight="1" s="335">
      <c r="A59" s="416">
        <f>C59&amp;D59&amp;E59</f>
        <v/>
      </c>
      <c r="B59" s="416" t="inlineStr">
        <is>
          <t>CUST_INFO_DAILY</t>
        </is>
      </c>
      <c r="C59" s="416" t="inlineStr">
        <is>
          <t>SMY</t>
        </is>
      </c>
      <c r="D59" s="416" t="inlineStr">
        <is>
          <t>STMT_DAILY</t>
        </is>
      </c>
      <c r="E59" s="416" t="inlineStr">
        <is>
          <t>DATE_TIME</t>
        </is>
      </c>
      <c r="F59" s="417" t="inlineStr">
        <is>
          <t>1:1</t>
        </is>
      </c>
      <c r="G59" s="417" t="inlineStr">
        <is>
          <t>PG_BRONZE</t>
        </is>
      </c>
      <c r="H59" s="377" t="inlineStr">
        <is>
          <t>SMY_STMT_DAILY</t>
        </is>
      </c>
      <c r="I59" s="377" t="inlineStr">
        <is>
          <t>DATE_TIME</t>
        </is>
      </c>
      <c r="J59" s="417" t="inlineStr">
        <is>
          <t>PG_SILVER</t>
        </is>
      </c>
      <c r="K59" s="377" t="inlineStr">
        <is>
          <t>DATE_TIME</t>
        </is>
      </c>
      <c r="L59" s="417" t="inlineStr">
        <is>
          <t>DATE</t>
        </is>
      </c>
      <c r="M59" s="377" t="inlineStr">
        <is>
          <t>FROM PG_BRONZE.SMY_STMT_DAILY stmt WHERE stmt.BOOKING_DATE = ${ETL_DATE}</t>
        </is>
      </c>
      <c r="N59" s="377" t="inlineStr">
        <is>
          <t>TO_DATE(CAST(stmt.DATE_TIME AS VARCHAR(20)), 'YYYYMMDD')</t>
        </is>
      </c>
      <c r="O59" s="377" t="inlineStr">
        <is>
          <t>Source -&gt; PG_BRONZE (1:1) -&gt; PG_SILVER (Temp 1)</t>
        </is>
      </c>
      <c r="P59" s="357" t="inlineStr">
        <is>
          <t>Trường kỹ thuật, ghi nhận thời gian sửa đổi (Map từ PG_BRONZE.SMY_STMT_DAILY.DATE_TIME -&gt; PG_SILVER.CUST_INFO_DAILY.DATE_TIME)</t>
        </is>
      </c>
    </row>
    <row r="60" ht="14.25" customHeight="1" s="335">
      <c r="A60" s="416">
        <f>C60&amp;D60&amp;E60</f>
        <v/>
      </c>
      <c r="B60" s="416" t="inlineStr">
        <is>
          <t>CUST_INFO_DAILY</t>
        </is>
      </c>
      <c r="C60" s="416" t="inlineStr">
        <is>
          <t>SMY</t>
        </is>
      </c>
      <c r="D60" s="416" t="inlineStr">
        <is>
          <t>STMT_DAILY</t>
        </is>
      </c>
      <c r="E60" s="416" t="inlineStr">
        <is>
          <t>DEPARTMENT_CODE</t>
        </is>
      </c>
      <c r="F60" s="417" t="inlineStr">
        <is>
          <t>1:1</t>
        </is>
      </c>
      <c r="G60" s="417" t="inlineStr">
        <is>
          <t>PG_BRONZE</t>
        </is>
      </c>
      <c r="H60" s="377" t="inlineStr">
        <is>
          <t>SMY_STMT_DAILY</t>
        </is>
      </c>
      <c r="I60" s="377" t="inlineStr">
        <is>
          <t>DEPARTMENT_CODE</t>
        </is>
      </c>
      <c r="J60" s="417" t="inlineStr">
        <is>
          <t>PG_SILVER</t>
        </is>
      </c>
      <c r="K60" s="377" t="inlineStr">
        <is>
          <t>DEPARTMENT_CODE</t>
        </is>
      </c>
      <c r="L60" s="417" t="inlineStr">
        <is>
          <t>VARCHAR2(100)</t>
        </is>
      </c>
      <c r="M60" s="377" t="inlineStr">
        <is>
          <t>FROM PG_BRONZE.SMY_STMT_DAILY stmt WHERE stmt.BOOKING_DATE = ${ETL_DATE}</t>
        </is>
      </c>
      <c r="N60" s="377" t="inlineStr">
        <is>
          <t>TRIM(stmt.DEPARTMENT_CODE)</t>
        </is>
      </c>
      <c r="O60" s="377" t="inlineStr">
        <is>
          <t>Source -&gt; PG_BRONZE (1:1) -&gt; PG_SILVER (Temp 1)</t>
        </is>
      </c>
      <c r="P60" s="357" t="inlineStr">
        <is>
          <t>Mã đơn vị hạch toán (Map từ PG_BRONZE.SMY_STMT_DAILY.DEPARTMENT_CODE -&gt; PG_SILVER.CUST_INFO_DAILY.DEPARTMENT_CODE)</t>
        </is>
      </c>
    </row>
    <row r="61" ht="14.25" customHeight="1" s="335">
      <c r="A61" s="416">
        <f>C61&amp;D61&amp;E61</f>
        <v/>
      </c>
      <c r="B61" s="416" t="inlineStr">
        <is>
          <t>CUST_INFO_DAILY</t>
        </is>
      </c>
      <c r="C61" s="416" t="inlineStr">
        <is>
          <t>SMY</t>
        </is>
      </c>
      <c r="D61" s="416" t="inlineStr">
        <is>
          <t>STMT_DAILY</t>
        </is>
      </c>
      <c r="E61" s="416" t="inlineStr">
        <is>
          <t>DRAWN_ACCOUNT</t>
        </is>
      </c>
      <c r="F61" s="417" t="inlineStr">
        <is>
          <t>1:1</t>
        </is>
      </c>
      <c r="G61" s="417" t="inlineStr">
        <is>
          <t>PG_BRONZE</t>
        </is>
      </c>
      <c r="H61" s="377" t="inlineStr">
        <is>
          <t>SMY_STMT_DAILY</t>
        </is>
      </c>
      <c r="I61" s="377" t="inlineStr">
        <is>
          <t>DRAWN_ACCOUNT</t>
        </is>
      </c>
      <c r="J61" s="417" t="inlineStr">
        <is>
          <t>PG_SILVER</t>
        </is>
      </c>
      <c r="K61" s="377" t="inlineStr">
        <is>
          <t>DRAWN_ACCOUNT</t>
        </is>
      </c>
      <c r="L61" s="417" t="inlineStr">
        <is>
          <t>VARCHAR2(100)</t>
        </is>
      </c>
      <c r="M61" s="377" t="inlineStr">
        <is>
          <t>FROM PG_BRONZE.SMY_STMT_DAILY stmt WHERE stmt.BOOKING_DATE = ${ETL_DATE}</t>
        </is>
      </c>
      <c r="N61" s="377" t="inlineStr">
        <is>
          <t>TRIM(stmt.DRAWN_ACCOUNT)</t>
        </is>
      </c>
      <c r="O61" s="377" t="inlineStr">
        <is>
          <t>Source -&gt; PG_BRONZE (1:1) -&gt; PG_SILVER (Temp 1)</t>
        </is>
      </c>
      <c r="P61" s="357" t="inlineStr">
        <is>
          <t>Tài khoản ghi nhận số tiền rút (Map từ PG_BRONZE.SMY_STMT_DAILY.DRAWN_ACCOUNT -&gt; PG_SILVER.CUST_INFO_DAILY.DRAWN_ACCOUNT)</t>
        </is>
      </c>
    </row>
    <row r="62" ht="14.25" customHeight="1" s="335">
      <c r="A62" s="416">
        <f>C62&amp;D62&amp;E62</f>
        <v/>
      </c>
      <c r="B62" s="416" t="inlineStr">
        <is>
          <t>CUST_INFO_DAILY</t>
        </is>
      </c>
      <c r="C62" s="416" t="inlineStr">
        <is>
          <t>SMY</t>
        </is>
      </c>
      <c r="D62" s="416" t="inlineStr">
        <is>
          <t>STMT_DAILY</t>
        </is>
      </c>
      <c r="E62" s="416" t="inlineStr">
        <is>
          <t>EXCHANGE_RATE</t>
        </is>
      </c>
      <c r="F62" s="417" t="inlineStr">
        <is>
          <t>1:1</t>
        </is>
      </c>
      <c r="G62" s="417" t="inlineStr">
        <is>
          <t>PG_BRONZE</t>
        </is>
      </c>
      <c r="H62" s="377" t="inlineStr">
        <is>
          <t>SMY_STMT_DAILY</t>
        </is>
      </c>
      <c r="I62" s="377" t="inlineStr">
        <is>
          <t>EXCHANGE_RATE</t>
        </is>
      </c>
      <c r="J62" s="417" t="inlineStr">
        <is>
          <t>PG_SILVER</t>
        </is>
      </c>
      <c r="K62" s="377" t="inlineStr">
        <is>
          <t>EXCHANGE_RATE</t>
        </is>
      </c>
      <c r="L62" s="417" t="inlineStr">
        <is>
          <t>NUMBER(13.7)</t>
        </is>
      </c>
      <c r="M62" s="377" t="inlineStr">
        <is>
          <t>FROM PG_BRONZE.SMY_STMT_DAILY stmt WHERE stmt.BOOKING_DATE = ${ETL_DATE}</t>
        </is>
      </c>
      <c r="N62" s="377" t="inlineStr">
        <is>
          <t>COALESCE(CAST(stmt.EXCHANGE_RATE AS DECIMAL(13,7)), 0)</t>
        </is>
      </c>
      <c r="O62" s="377" t="inlineStr">
        <is>
          <t>Source -&gt; PG_BRONZE (1:1) -&gt; PG_SILVER (Temp 1)</t>
        </is>
      </c>
      <c r="P62" s="357" t="inlineStr">
        <is>
          <t>Tỷ giá quy đổi (Map từ PG_BRONZE.SMY_STMT_DAILY.EXCHANGE_RATE -&gt; PG_SILVER.CUST_INFO_DAILY.EXCHANGE_RATE)</t>
        </is>
      </c>
    </row>
    <row r="63" ht="14.25" customHeight="1" s="335">
      <c r="A63" s="416">
        <f>C63&amp;D63&amp;E63</f>
        <v/>
      </c>
      <c r="B63" s="416" t="inlineStr">
        <is>
          <t>CUST_INFO_DAILY</t>
        </is>
      </c>
      <c r="C63" s="416" t="inlineStr">
        <is>
          <t>SMY</t>
        </is>
      </c>
      <c r="D63" s="416" t="inlineStr">
        <is>
          <t>STMT_DAILY</t>
        </is>
      </c>
      <c r="E63" s="416" t="inlineStr">
        <is>
          <t>INTERNAL_CATEGORY</t>
        </is>
      </c>
      <c r="F63" s="417" t="inlineStr">
        <is>
          <t>1:1</t>
        </is>
      </c>
      <c r="G63" s="417" t="inlineStr">
        <is>
          <t>PG_BRONZE</t>
        </is>
      </c>
      <c r="H63" s="377" t="inlineStr">
        <is>
          <t>SMY_STMT_DAILY</t>
        </is>
      </c>
      <c r="I63" s="377" t="inlineStr">
        <is>
          <t>INTERNAL_CATEGORY</t>
        </is>
      </c>
      <c r="J63" s="417" t="inlineStr">
        <is>
          <t>PG_SILVER</t>
        </is>
      </c>
      <c r="K63" s="377" t="inlineStr">
        <is>
          <t>INTERNAL_CATEGORY</t>
        </is>
      </c>
      <c r="L63" s="417" t="inlineStr">
        <is>
          <t>VARCHAR2(100)</t>
        </is>
      </c>
      <c r="M63" s="377" t="inlineStr">
        <is>
          <t>FROM PG_BRONZE.SMY_STMT_DAILY stmt WHERE stmt.BOOKING_DATE = ${ETL_DATE}</t>
        </is>
      </c>
      <c r="N63" s="377" t="inlineStr">
        <is>
          <t>TRIM(stmt.INTERNAL_CATEGORY)</t>
        </is>
      </c>
      <c r="O63" s="377" t="inlineStr">
        <is>
          <t>Source -&gt; PG_BRONZE (1:1) -&gt; PG_SILVER (Temp 1)</t>
        </is>
      </c>
      <c r="P63" s="357" t="inlineStr">
        <is>
          <t>Mã Category nội bộ (Map từ PG_BRONZE.SMY_STMT_DAILY.INTERNAL_CATEGORY -&gt; PG_SILVER.CUST_INFO_DAILY.INTERNAL_CATEGORY)</t>
        </is>
      </c>
    </row>
    <row r="64" ht="14.25" customHeight="1" s="335">
      <c r="A64" s="416">
        <f>C64&amp;D64&amp;E64</f>
        <v/>
      </c>
      <c r="B64" s="416" t="inlineStr">
        <is>
          <t>CUST_INFO_DAILY</t>
        </is>
      </c>
      <c r="C64" s="416" t="inlineStr">
        <is>
          <t>SMY</t>
        </is>
      </c>
      <c r="D64" s="416" t="inlineStr">
        <is>
          <t>STMT_DAILY</t>
        </is>
      </c>
      <c r="E64" s="416" t="inlineStr">
        <is>
          <t>LOCAL_REF</t>
        </is>
      </c>
      <c r="F64" s="417" t="inlineStr">
        <is>
          <t>1:1</t>
        </is>
      </c>
      <c r="G64" s="417" t="inlineStr">
        <is>
          <t>PG_BRONZE</t>
        </is>
      </c>
      <c r="H64" s="377" t="inlineStr">
        <is>
          <t>SMY_STMT_DAILY</t>
        </is>
      </c>
      <c r="I64" s="377" t="inlineStr">
        <is>
          <t>LOCAL_REF</t>
        </is>
      </c>
      <c r="J64" s="417" t="inlineStr">
        <is>
          <t>PG_SILVER</t>
        </is>
      </c>
      <c r="K64" s="377" t="inlineStr">
        <is>
          <t>LOCAL_REF</t>
        </is>
      </c>
      <c r="L64" s="417" t="inlineStr">
        <is>
          <t>VARCHAR2(100)</t>
        </is>
      </c>
      <c r="M64" s="377" t="inlineStr">
        <is>
          <t>FROM PG_BRONZE.SMY_STMT_DAILY stmt WHERE stmt.BOOKING_DATE = ${ETL_DATE}</t>
        </is>
      </c>
      <c r="N64" s="377" t="inlineStr">
        <is>
          <t>TRIM(stmt.LOCAL_REF)</t>
        </is>
      </c>
      <c r="O64" s="377" t="inlineStr">
        <is>
          <t>Source -&gt; PG_BRONZE (1:1) -&gt; PG_SILVER (Temp 1)</t>
        </is>
      </c>
      <c r="P64" s="357" t="inlineStr">
        <is>
          <t>Trường multivalue - đa nghĩa của T24 (Map từ PG_BRONZE.SMY_STMT_DAILY.LOCAL_REF -&gt; PG_SILVER.CUST_INFO_DAILY.LOCAL_REF)</t>
        </is>
      </c>
    </row>
    <row r="65" ht="14.25" customHeight="1" s="335">
      <c r="A65" s="416">
        <f>C65&amp;D65&amp;E65</f>
        <v/>
      </c>
      <c r="B65" s="416" t="inlineStr">
        <is>
          <t>Saoke_GIAINGAN</t>
        </is>
      </c>
      <c r="C65" s="416" t="inlineStr">
        <is>
          <t>SMY</t>
        </is>
      </c>
      <c r="D65" s="416" t="inlineStr">
        <is>
          <t>STMT_DAILY</t>
        </is>
      </c>
      <c r="E65" s="416" t="inlineStr">
        <is>
          <t>NARRATIVE</t>
        </is>
      </c>
      <c r="F65" s="417" t="inlineStr">
        <is>
          <t>1:1</t>
        </is>
      </c>
      <c r="G65" s="417" t="inlineStr">
        <is>
          <t>PG_BRONZE</t>
        </is>
      </c>
      <c r="H65" s="377" t="inlineStr">
        <is>
          <t>SMY_STMT_DAILY</t>
        </is>
      </c>
      <c r="I65" s="377" t="inlineStr">
        <is>
          <t>NARRATIVE</t>
        </is>
      </c>
      <c r="J65" s="417" t="inlineStr">
        <is>
          <t>PG_SILVER</t>
        </is>
      </c>
      <c r="K65" s="377" t="inlineStr">
        <is>
          <t>NARRATIVE</t>
        </is>
      </c>
      <c r="L65" s="417" t="inlineStr">
        <is>
          <t>VARCHAR2(255)</t>
        </is>
      </c>
      <c r="M65" s="377" t="inlineStr">
        <is>
          <t>LEFT JOIN PG_BRONZE.SMY_STMT_DAILY stmt ON crb.APP_ID = stmt.OUR_REFERENCE AND stmt.TRANSACTION_CODE = '402'</t>
        </is>
      </c>
      <c r="N65" s="377" t="inlineStr">
        <is>
          <t>TRIM(stmt.NARRATIVE)</t>
        </is>
      </c>
      <c r="O65" s="377" t="inlineStr">
        <is>
          <t>Source -&gt; PG_BRONZE (1:1) -&gt; PG_SILVER (Temp 2)</t>
        </is>
      </c>
      <c r="P65" s="357" t="inlineStr">
        <is>
          <t>Mô tả bút toán (Map từ PG_BRONZE.SMY_STMT_DAILY.NARRATIVE -&gt; PG_SILVER.Saoke_GIAINGAN.NARRATIVE)</t>
        </is>
      </c>
    </row>
    <row r="66" ht="14.25" customHeight="1" s="335">
      <c r="A66" s="416">
        <f>C66&amp;D66&amp;E66</f>
        <v/>
      </c>
      <c r="B66" s="416" t="inlineStr">
        <is>
          <t>Saoke_GIAINGAN</t>
        </is>
      </c>
      <c r="C66" s="416" t="inlineStr">
        <is>
          <t>SMY</t>
        </is>
      </c>
      <c r="D66" s="416" t="inlineStr">
        <is>
          <t>STMT_DAILY</t>
        </is>
      </c>
      <c r="E66" s="416" t="inlineStr">
        <is>
          <t>ORIG_AMOUNT_LCY</t>
        </is>
      </c>
      <c r="F66" s="417" t="inlineStr">
        <is>
          <t>1:1</t>
        </is>
      </c>
      <c r="G66" s="417" t="inlineStr">
        <is>
          <t>PG_BRONZE</t>
        </is>
      </c>
      <c r="H66" s="377" t="inlineStr">
        <is>
          <t>SMY_STMT_DAILY</t>
        </is>
      </c>
      <c r="I66" s="377" t="inlineStr">
        <is>
          <t>ORIG_AMOUNT_LCY</t>
        </is>
      </c>
      <c r="J66" s="417" t="inlineStr">
        <is>
          <t>PG_SILVER</t>
        </is>
      </c>
      <c r="K66" s="377" t="inlineStr">
        <is>
          <t>ORIG_AMOUNT_LCY</t>
        </is>
      </c>
      <c r="L66" s="417" t="inlineStr">
        <is>
          <t>NUMBER(25.5)</t>
        </is>
      </c>
      <c r="M66" s="377" t="inlineStr">
        <is>
          <t>LEFT JOIN PG_BRONZE.SMY_STMT_DAILY stmt ON crb.APP_ID = stmt.OUR_REFERENCE AND stmt.TRANSACTION_CODE = '402'</t>
        </is>
      </c>
      <c r="N66" s="377" t="inlineStr">
        <is>
          <t>COALESCE(CAST(stmt.ORIG_AMOUNT_LCY AS DECIMAL(25,5)), 0)</t>
        </is>
      </c>
      <c r="O66" s="377" t="inlineStr">
        <is>
          <t>Source -&gt; PG_BRONZE (1:1) -&gt; PG_SILVER (Temp 2)</t>
        </is>
      </c>
      <c r="P66" s="357" t="inlineStr">
        <is>
          <t>Giá trị hạch toán ban đầu quy đổi (Map từ PG_BRONZE.SMY_STMT_DAILY.ORIG_AMOUNT_LCY -&gt; PG_SILVER.Saoke_GIAINGAN.ORIG_AMOUNT_LCY)</t>
        </is>
      </c>
    </row>
    <row r="67" ht="14.25" customHeight="1" s="335">
      <c r="A67" s="416">
        <f>C67&amp;D67&amp;E67</f>
        <v/>
      </c>
      <c r="B67" s="416" t="inlineStr">
        <is>
          <t>Saoke_GIAINGAN</t>
        </is>
      </c>
      <c r="C67" s="416" t="inlineStr">
        <is>
          <t>SMY</t>
        </is>
      </c>
      <c r="D67" s="416" t="inlineStr">
        <is>
          <t>STMT_DAILY</t>
        </is>
      </c>
      <c r="E67" s="416" t="inlineStr">
        <is>
          <t>ORIGINAL_ACCT</t>
        </is>
      </c>
      <c r="F67" s="417" t="inlineStr">
        <is>
          <t>1:1</t>
        </is>
      </c>
      <c r="G67" s="417" t="inlineStr">
        <is>
          <t>PG_BRONZE</t>
        </is>
      </c>
      <c r="H67" s="377" t="inlineStr">
        <is>
          <t>SMY_STMT_DAILY</t>
        </is>
      </c>
      <c r="I67" s="377" t="inlineStr">
        <is>
          <t>ORIGINAL_ACCT</t>
        </is>
      </c>
      <c r="J67" s="417" t="inlineStr">
        <is>
          <t>PG_SILVER</t>
        </is>
      </c>
      <c r="K67" s="377" t="inlineStr">
        <is>
          <t>ORIGINAL_ACCT</t>
        </is>
      </c>
      <c r="L67" s="417" t="inlineStr">
        <is>
          <t>VARCHAR2(100)</t>
        </is>
      </c>
      <c r="M67" s="377" t="inlineStr">
        <is>
          <t>LEFT JOIN PG_BRONZE.SMY_STMT_DAILY stmt ON crb.APP_ID = stmt.OUR_REFERENCE AND stmt.TRANSACTION_CODE = '402'</t>
        </is>
      </c>
      <c r="N67" s="377" t="inlineStr">
        <is>
          <t>TRIM(stmt.ORIGINAL_ACCT)</t>
        </is>
      </c>
      <c r="O67" s="377" t="inlineStr">
        <is>
          <t>Source -&gt; PG_BRONZE (1:1) -&gt; PG_SILVER (Temp 2)</t>
        </is>
      </c>
      <c r="P67" s="357" t="inlineStr">
        <is>
          <t>Số tài khoản hạch toán ban đầu (Map từ PG_BRONZE.SMY_STMT_DAILY.ORIGINAL_ACCT -&gt; PG_SILVER.Saoke_GIAINGAN.ORIGINAL_ACCT)</t>
        </is>
      </c>
    </row>
    <row r="68" ht="14.25" customHeight="1" s="335">
      <c r="A68" s="416">
        <f>C68&amp;D68&amp;E68</f>
        <v/>
      </c>
      <c r="B68" s="416" t="inlineStr">
        <is>
          <t>Saoke_GIAINGAN</t>
        </is>
      </c>
      <c r="C68" s="416" t="inlineStr">
        <is>
          <t>SMY</t>
        </is>
      </c>
      <c r="D68" s="416" t="inlineStr">
        <is>
          <t>STMT_DAILY</t>
        </is>
      </c>
      <c r="E68" s="416" t="inlineStr">
        <is>
          <t>ORIGINAL_AMOUNT</t>
        </is>
      </c>
      <c r="F68" s="417" t="inlineStr">
        <is>
          <t>1:1</t>
        </is>
      </c>
      <c r="G68" s="417" t="inlineStr">
        <is>
          <t>PG_BRONZE</t>
        </is>
      </c>
      <c r="H68" s="377" t="inlineStr">
        <is>
          <t>SMY_STMT_DAILY</t>
        </is>
      </c>
      <c r="I68" s="377" t="inlineStr">
        <is>
          <t>ORIGINAL_AMOUNT</t>
        </is>
      </c>
      <c r="J68" s="417" t="inlineStr">
        <is>
          <t>PG_SILVER</t>
        </is>
      </c>
      <c r="K68" s="377" t="inlineStr">
        <is>
          <t>ORIGINAL_AMOUNT</t>
        </is>
      </c>
      <c r="L68" s="417" t="inlineStr">
        <is>
          <t>NUMBER(25.5)</t>
        </is>
      </c>
      <c r="M68" s="377" t="inlineStr">
        <is>
          <t>LEFT JOIN PG_BRONZE.SMY_STMT_DAILY stmt ON crb.APP_ID = stmt.OUR_REFERENCE AND stmt.TRANSACTION_CODE = '402'</t>
        </is>
      </c>
      <c r="N68" s="377" t="inlineStr">
        <is>
          <t>COALESCE(CAST(stmt.ORIGINAL_AMOUNT AS DECIMAL(25,5)), 0)</t>
        </is>
      </c>
      <c r="O68" s="377" t="inlineStr">
        <is>
          <t>Source -&gt; PG_BRONZE (1:1) -&gt; PG_SILVER (Temp 2)</t>
        </is>
      </c>
      <c r="P68" s="357" t="inlineStr">
        <is>
          <t>Giá trị hạch toán ban đầu nguyên tệ (Map từ PG_BRONZE.SMY_STMT_DAILY.ORIGINAL_AMOUNT -&gt; PG_SILVER.Saoke_GIAINGAN.ORIGINAL_AMOUNT)</t>
        </is>
      </c>
    </row>
    <row r="69" ht="14.25" customHeight="1" s="335">
      <c r="A69" s="416">
        <f>C69&amp;D69&amp;E69</f>
        <v/>
      </c>
      <c r="B69" s="416" t="inlineStr">
        <is>
          <t>Saoke_GIAINGAN</t>
        </is>
      </c>
      <c r="C69" s="416" t="inlineStr">
        <is>
          <t>SMY</t>
        </is>
      </c>
      <c r="D69" s="416" t="inlineStr">
        <is>
          <t>STMT_DAILY</t>
        </is>
      </c>
      <c r="E69" s="416" t="inlineStr">
        <is>
          <t>ORIGINAL_CCY</t>
        </is>
      </c>
      <c r="F69" s="417" t="inlineStr">
        <is>
          <t>1:1</t>
        </is>
      </c>
      <c r="G69" s="417" t="inlineStr">
        <is>
          <t>PG_BRONZE</t>
        </is>
      </c>
      <c r="H69" s="377" t="inlineStr">
        <is>
          <t>SMY_STMT_DAILY</t>
        </is>
      </c>
      <c r="I69" s="377" t="inlineStr">
        <is>
          <t>ORIGINAL_CCY</t>
        </is>
      </c>
      <c r="J69" s="417" t="inlineStr">
        <is>
          <t>PG_SILVER</t>
        </is>
      </c>
      <c r="K69" s="377" t="inlineStr">
        <is>
          <t>ORIGINAL_CCY</t>
        </is>
      </c>
      <c r="L69" s="417" t="inlineStr">
        <is>
          <t>VARCHAR2(100)</t>
        </is>
      </c>
      <c r="M69" s="377" t="inlineStr">
        <is>
          <t>LEFT JOIN PG_BRONZE.SMY_STMT_DAILY stmt ON crb.APP_ID = stmt.OUR_REFERENCE AND stmt.TRANSACTION_CODE = '402'</t>
        </is>
      </c>
      <c r="N69" s="377" t="inlineStr">
        <is>
          <t>TRIM(stmt.ORIGINAL_CCY)</t>
        </is>
      </c>
      <c r="O69" s="377" t="inlineStr">
        <is>
          <t>Source -&gt; PG_BRONZE (1:1) -&gt; PG_SILVER (Temp 2)</t>
        </is>
      </c>
      <c r="P69" s="357" t="inlineStr">
        <is>
          <t>Loại tiền giao dịch ban đầu (Map từ PG_BRONZE.SMY_STMT_DAILY.ORIGINAL_CCY -&gt; PG_SILVER.Saoke_GIAINGAN.ORIGINAL_CCY)</t>
        </is>
      </c>
    </row>
    <row r="70" ht="14.25" customHeight="1" s="335">
      <c r="A70" s="416">
        <f>C70&amp;D70&amp;E70</f>
        <v/>
      </c>
      <c r="B70" s="416" t="inlineStr">
        <is>
          <t>Saoke_GIAINGAN</t>
        </is>
      </c>
      <c r="C70" s="416" t="inlineStr">
        <is>
          <t>SMY</t>
        </is>
      </c>
      <c r="D70" s="416" t="inlineStr">
        <is>
          <t>STMT_DAILY</t>
        </is>
      </c>
      <c r="E70" s="416" t="inlineStr">
        <is>
          <t>ORIGINAL_EXCH_RATE</t>
        </is>
      </c>
      <c r="F70" s="417" t="inlineStr">
        <is>
          <t>1:1</t>
        </is>
      </c>
      <c r="G70" s="417" t="inlineStr">
        <is>
          <t>PG_BRONZE</t>
        </is>
      </c>
      <c r="H70" s="377" t="inlineStr">
        <is>
          <t>SMY_STMT_DAILY</t>
        </is>
      </c>
      <c r="I70" s="377" t="inlineStr">
        <is>
          <t>ORIGINAL_EXCH_RATE</t>
        </is>
      </c>
      <c r="J70" s="417" t="inlineStr">
        <is>
          <t>PG_SILVER</t>
        </is>
      </c>
      <c r="K70" s="377" t="inlineStr">
        <is>
          <t>ORIGINAL_EXCH_RATE</t>
        </is>
      </c>
      <c r="L70" s="417" t="inlineStr">
        <is>
          <t>NUMBER(13.7)</t>
        </is>
      </c>
      <c r="M70" s="377" t="inlineStr">
        <is>
          <t>LEFT JOIN PG_BRONZE.SMY_STMT_DAILY stmt ON crb.APP_ID = stmt.OUR_REFERENCE AND stmt.TRANSACTION_CODE = '402'</t>
        </is>
      </c>
      <c r="N70" s="377" t="inlineStr">
        <is>
          <t>COALESCE(CAST(stmt.ORIGINAL_EXCH_RATE AS DECIMAL(13,7)), 0)</t>
        </is>
      </c>
      <c r="O70" s="377" t="inlineStr">
        <is>
          <t>Source -&gt; PG_BRONZE (1:1) -&gt; PG_SILVER (Temp 2)</t>
        </is>
      </c>
      <c r="P70" s="357" t="inlineStr">
        <is>
          <t>Tỷ giá quy đổi cho loại tiền ban đầu (Map từ PG_BRONZE.SMY_STMT_DAILY.ORIGINAL_EXCH_RATE -&gt; PG_SILVER.Saoke_GIAINGAN.ORIGINAL_EXCH_RATE)</t>
        </is>
      </c>
    </row>
    <row r="71" ht="14.25" customHeight="1" s="335">
      <c r="A71" s="416">
        <f>C71&amp;D71&amp;E71</f>
        <v/>
      </c>
      <c r="B71" s="416" t="inlineStr">
        <is>
          <t>Saoke_GIAINGAN</t>
        </is>
      </c>
      <c r="C71" s="416" t="inlineStr">
        <is>
          <t>SMY</t>
        </is>
      </c>
      <c r="D71" s="416" t="inlineStr">
        <is>
          <t>STMT_DAILY</t>
        </is>
      </c>
      <c r="E71" s="416" t="inlineStr">
        <is>
          <t>OUR_REFERENCE</t>
        </is>
      </c>
      <c r="F71" s="417" t="inlineStr">
        <is>
          <t>1:1</t>
        </is>
      </c>
      <c r="G71" s="417" t="inlineStr">
        <is>
          <t>PG_BRONZE</t>
        </is>
      </c>
      <c r="H71" s="377" t="inlineStr">
        <is>
          <t>SMY_STMT_DAILY</t>
        </is>
      </c>
      <c r="I71" s="377" t="inlineStr">
        <is>
          <t>OUR_REFERENCE</t>
        </is>
      </c>
      <c r="J71" s="417" t="inlineStr">
        <is>
          <t>PG_SILVER</t>
        </is>
      </c>
      <c r="K71" s="377" t="inlineStr">
        <is>
          <t>OUR_REFERENCE</t>
        </is>
      </c>
      <c r="L71" s="417" t="inlineStr">
        <is>
          <t>VARCHAR2(100)</t>
        </is>
      </c>
      <c r="M71" s="377" t="inlineStr">
        <is>
          <t>LEFT JOIN PG_BRONZE.SMY_STMT_DAILY stmt ON crb.APP_ID = stmt.OUR_REFERENCE AND stmt.TRANSACTION_CODE = '402'</t>
        </is>
      </c>
      <c r="N71" s="377" t="inlineStr">
        <is>
          <t>TRIM(stmt.OUR_REFERENCE)</t>
        </is>
      </c>
      <c r="O71" s="377" t="inlineStr">
        <is>
          <t>Source -&gt; PG_BRONZE (1:1) -&gt; PG_SILVER (Temp 2)</t>
        </is>
      </c>
      <c r="P71" s="357" t="inlineStr">
        <is>
          <t>Ma tham chieu (Map từ PG_BRONZE.SMY_STMT_DAILY.OUR_REFERENCE -&gt; PG_SILVER.Saoke_GIAINGAN.OUR_REFERENCE)</t>
        </is>
      </c>
    </row>
    <row r="72" ht="14.25" customHeight="1" s="335">
      <c r="A72" s="416">
        <f>C72&amp;D72&amp;E72</f>
        <v/>
      </c>
      <c r="B72" s="416" t="inlineStr">
        <is>
          <t>Saoke_GIAINGAN</t>
        </is>
      </c>
      <c r="C72" s="416" t="inlineStr">
        <is>
          <t>SMY</t>
        </is>
      </c>
      <c r="D72" s="416" t="inlineStr">
        <is>
          <t>STMT_DAILY</t>
        </is>
      </c>
      <c r="E72" s="416" t="inlineStr">
        <is>
          <t>OUTSTANDING_BAL</t>
        </is>
      </c>
      <c r="F72" s="417" t="inlineStr">
        <is>
          <t>1:1</t>
        </is>
      </c>
      <c r="G72" s="417" t="inlineStr">
        <is>
          <t>PG_BRONZE</t>
        </is>
      </c>
      <c r="H72" s="377" t="inlineStr">
        <is>
          <t>SMY_STMT_DAILY</t>
        </is>
      </c>
      <c r="I72" s="377" t="inlineStr">
        <is>
          <t>OUTSTANDING_BAL</t>
        </is>
      </c>
      <c r="J72" s="417" t="inlineStr">
        <is>
          <t>PG_SILVER</t>
        </is>
      </c>
      <c r="K72" s="377" t="inlineStr">
        <is>
          <t>OUTSTANDING_BAL</t>
        </is>
      </c>
      <c r="L72" s="417" t="inlineStr">
        <is>
          <t>NUMBER(25.5)</t>
        </is>
      </c>
      <c r="M72" s="377" t="inlineStr">
        <is>
          <t>LEFT JOIN PG_BRONZE.SMY_STMT_DAILY stmt ON crb.APP_ID = stmt.OUR_REFERENCE AND stmt.TRANSACTION_CODE = '402'</t>
        </is>
      </c>
      <c r="N72" s="377" t="inlineStr">
        <is>
          <t>COALESCE(CAST(stmt.OUTSTANDING_BAL AS DECIMAL(25,5)), 0)</t>
        </is>
      </c>
      <c r="O72" s="377" t="inlineStr">
        <is>
          <t>Source -&gt; PG_BRONZE (1:1) -&gt; PG_SILVER (Temp 2)</t>
        </is>
      </c>
      <c r="P72" s="357" t="inlineStr">
        <is>
          <t>Dư nợ tín dụng của hợp đồng ( OUR_REFERENCE) (Map từ PG_BRONZE.SMY_STMT_DAILY.OUTSTANDING_BAL -&gt; PG_SILVER.Saoke_GIAINGAN.OUTSTANDING_BAL)</t>
        </is>
      </c>
    </row>
    <row r="73" ht="14.25" customHeight="1" s="335">
      <c r="A73" s="416">
        <f>C73&amp;D73&amp;E73</f>
        <v/>
      </c>
      <c r="B73" s="416" t="inlineStr">
        <is>
          <t>Saoke_GIAINGAN</t>
        </is>
      </c>
      <c r="C73" s="416" t="inlineStr">
        <is>
          <t>SMY</t>
        </is>
      </c>
      <c r="D73" s="416" t="inlineStr">
        <is>
          <t>STMT_DAILY</t>
        </is>
      </c>
      <c r="E73" s="416" t="inlineStr">
        <is>
          <t>OVERRIDE</t>
        </is>
      </c>
      <c r="F73" s="417" t="inlineStr">
        <is>
          <t>1:1</t>
        </is>
      </c>
      <c r="G73" s="417" t="inlineStr">
        <is>
          <t>PG_BRONZE</t>
        </is>
      </c>
      <c r="H73" s="377" t="inlineStr">
        <is>
          <t>SMY_STMT_DAILY</t>
        </is>
      </c>
      <c r="I73" s="377" t="inlineStr">
        <is>
          <t>OVERRIDE</t>
        </is>
      </c>
      <c r="J73" s="417" t="inlineStr">
        <is>
          <t>PG_SILVER</t>
        </is>
      </c>
      <c r="K73" s="377" t="inlineStr">
        <is>
          <t>OVERRIDE</t>
        </is>
      </c>
      <c r="L73" s="417" t="inlineStr">
        <is>
          <t>VARCHAR2(100)</t>
        </is>
      </c>
      <c r="M73" s="377" t="inlineStr">
        <is>
          <t>LEFT JOIN PG_BRONZE.SMY_STMT_DAILY stmt ON crb.APP_ID = stmt.OUR_REFERENCE AND stmt.TRANSACTION_CODE = '402'</t>
        </is>
      </c>
      <c r="N73" s="377" t="inlineStr">
        <is>
          <t>TRIM(stmt.OVERRIDE)</t>
        </is>
      </c>
      <c r="O73" s="377" t="inlineStr">
        <is>
          <t>Source -&gt; PG_BRONZE (1:1) -&gt; PG_SILVER (Temp 2)</t>
        </is>
      </c>
      <c r="P73" s="357" t="inlineStr">
        <is>
          <t>Cờ cảnh báo (Map từ PG_BRONZE.SMY_STMT_DAILY.OVERRIDE -&gt; PG_SILVER.Saoke_GIAINGAN.OVERRIDE)</t>
        </is>
      </c>
    </row>
    <row r="74" ht="14.25" customHeight="1" s="335">
      <c r="A74" s="416">
        <f>C74&amp;D74&amp;E74</f>
        <v/>
      </c>
      <c r="B74" s="416" t="inlineStr">
        <is>
          <t>Saoke_GIAINGAN</t>
        </is>
      </c>
      <c r="C74" s="416" t="inlineStr">
        <is>
          <t>SMY</t>
        </is>
      </c>
      <c r="D74" s="416" t="inlineStr">
        <is>
          <t>STMT_DAILY</t>
        </is>
      </c>
      <c r="E74" s="416" t="inlineStr">
        <is>
          <t>PROCESS_FORWARD</t>
        </is>
      </c>
      <c r="F74" s="417" t="inlineStr">
        <is>
          <t>1:1</t>
        </is>
      </c>
      <c r="G74" s="417" t="inlineStr">
        <is>
          <t>PG_BRONZE</t>
        </is>
      </c>
      <c r="H74" s="377" t="inlineStr">
        <is>
          <t>SMY_STMT_DAILY</t>
        </is>
      </c>
      <c r="I74" s="377" t="inlineStr">
        <is>
          <t>PROCESS_FORWARD</t>
        </is>
      </c>
      <c r="J74" s="417" t="inlineStr">
        <is>
          <t>PG_SILVER</t>
        </is>
      </c>
      <c r="K74" s="377" t="inlineStr">
        <is>
          <t>PROCESS_FORWARD</t>
        </is>
      </c>
      <c r="L74" s="417" t="inlineStr">
        <is>
          <t>VARCHAR2(100)</t>
        </is>
      </c>
      <c r="M74" s="377" t="inlineStr">
        <is>
          <t>LEFT JOIN PG_BRONZE.SMY_STMT_DAILY stmt ON crb.APP_ID = stmt.OUR_REFERENCE AND stmt.TRANSACTION_CODE = '402'</t>
        </is>
      </c>
      <c r="N74" s="377" t="inlineStr">
        <is>
          <t>TRIM(stmt.PROCESS_FORWARD)</t>
        </is>
      </c>
      <c r="O74" s="377" t="inlineStr">
        <is>
          <t>Source -&gt; PG_BRONZE (1:1) -&gt; PG_SILVER (Temp 2)</t>
        </is>
      </c>
      <c r="P74" s="357" t="inlineStr">
        <is>
          <t>Cờ xử lý chuyển tiếp bút toán hạch toán (Process Forward) (Map từ PG_BRONZE.SMY_STMT_DAILY.PROCESS_FORWARD -&gt; PG_SILVER.Saoke_GIAINGAN.PROCESS_FORWARD)</t>
        </is>
      </c>
    </row>
    <row r="75" ht="14.25" customHeight="1" s="335">
      <c r="A75" s="416">
        <f>C75&amp;D75&amp;E75</f>
        <v/>
      </c>
      <c r="B75" s="416" t="inlineStr">
        <is>
          <t>Saoke_GIAINGAN</t>
        </is>
      </c>
      <c r="C75" s="416" t="inlineStr">
        <is>
          <t>SMY</t>
        </is>
      </c>
      <c r="D75" s="416" t="inlineStr">
        <is>
          <t>STMT_DAILY</t>
        </is>
      </c>
      <c r="E75" s="416" t="inlineStr">
        <is>
          <t>PROCESSING_DATE</t>
        </is>
      </c>
      <c r="F75" s="417" t="inlineStr">
        <is>
          <t>1:1</t>
        </is>
      </c>
      <c r="G75" s="417" t="inlineStr">
        <is>
          <t>PG_BRONZE</t>
        </is>
      </c>
      <c r="H75" s="377" t="inlineStr">
        <is>
          <t>SMY_STMT_DAILY</t>
        </is>
      </c>
      <c r="I75" s="377" t="inlineStr">
        <is>
          <t>PROCESSING_DATE</t>
        </is>
      </c>
      <c r="J75" s="417" t="inlineStr">
        <is>
          <t>PG_SILVER</t>
        </is>
      </c>
      <c r="K75" s="377" t="inlineStr">
        <is>
          <t>PROCESSING_DATE</t>
        </is>
      </c>
      <c r="L75" s="417" t="inlineStr">
        <is>
          <t>DATE</t>
        </is>
      </c>
      <c r="M75" s="377" t="inlineStr">
        <is>
          <t>LEFT JOIN PG_BRONZE.SMY_STMT_DAILY stmt ON crb.APP_ID = stmt.OUR_REFERENCE AND stmt.TRANSACTION_CODE = '402'</t>
        </is>
      </c>
      <c r="N75" s="377" t="inlineStr">
        <is>
          <t>TO_DATE(CAST(stmt.PROCESSING_DATE AS VARCHAR(20)), 'YYYYMMDD')</t>
        </is>
      </c>
      <c r="O75" s="377" t="inlineStr">
        <is>
          <t>Source -&gt; PG_BRONZE (1:1) -&gt; PG_SILVER (Temp 2)</t>
        </is>
      </c>
      <c r="P75" s="357" t="inlineStr">
        <is>
          <t>Trường PROCESSING_DATE của bảng nguồn SMY.STMT_DAILY (Map từ PG_BRONZE.SMY_STMT_DAILY.PROCESSING_DATE -&gt; PG_SILVER.Saoke_GIAINGAN.PROCESSING_DATE)</t>
        </is>
      </c>
    </row>
    <row r="76" ht="14.25" customHeight="1" s="335">
      <c r="A76" s="416">
        <f>C76&amp;D76&amp;E76</f>
        <v/>
      </c>
      <c r="B76" s="416" t="inlineStr">
        <is>
          <t>Saoke_GIAINGAN</t>
        </is>
      </c>
      <c r="C76" s="416" t="inlineStr">
        <is>
          <t>SMY</t>
        </is>
      </c>
      <c r="D76" s="416" t="inlineStr">
        <is>
          <t>STMT_DAILY</t>
        </is>
      </c>
      <c r="E76" s="416" t="inlineStr">
        <is>
          <t>PRODUCT_CATEGORY</t>
        </is>
      </c>
      <c r="F76" s="417" t="inlineStr">
        <is>
          <t>1:1</t>
        </is>
      </c>
      <c r="G76" s="417" t="inlineStr">
        <is>
          <t>PG_BRONZE</t>
        </is>
      </c>
      <c r="H76" s="377" t="inlineStr">
        <is>
          <t>SMY_STMT_DAILY</t>
        </is>
      </c>
      <c r="I76" s="377" t="inlineStr">
        <is>
          <t>PRODUCT_CATEGORY</t>
        </is>
      </c>
      <c r="J76" s="417" t="inlineStr">
        <is>
          <t>PG_SILVER</t>
        </is>
      </c>
      <c r="K76" s="377" t="inlineStr">
        <is>
          <t>PRODUCT_CATEGORY</t>
        </is>
      </c>
      <c r="L76" s="417" t="inlineStr">
        <is>
          <t>VARCHAR2(100)</t>
        </is>
      </c>
      <c r="M76" s="377" t="inlineStr">
        <is>
          <t>LEFT JOIN PG_BRONZE.SMY_STMT_DAILY stmt ON crb.APP_ID = stmt.OUR_REFERENCE AND stmt.TRANSACTION_CODE = '402'</t>
        </is>
      </c>
      <c r="N76" s="377" t="inlineStr">
        <is>
          <t>TRIM(stmt.PRODUCT_CATEGORY)</t>
        </is>
      </c>
      <c r="O76" s="377" t="inlineStr">
        <is>
          <t>Source -&gt; PG_BRONZE (1:1) -&gt; PG_SILVER (Temp 2)</t>
        </is>
      </c>
      <c r="P76" s="357" t="inlineStr">
        <is>
          <t>Loại sản phẩm hạch toán (Map từ PG_BRONZE.SMY_STMT_DAILY.PRODUCT_CATEGORY -&gt; PG_SILVER.Saoke_GIAINGAN.PRODUCT_CATEGORY)</t>
        </is>
      </c>
    </row>
    <row r="77" ht="14.25" customHeight="1" s="335">
      <c r="A77" s="416">
        <f>C77&amp;D77&amp;E77</f>
        <v/>
      </c>
      <c r="B77" s="416" t="inlineStr">
        <is>
          <t>Saoke_GIAINGAN</t>
        </is>
      </c>
      <c r="C77" s="416" t="inlineStr">
        <is>
          <t>SMY</t>
        </is>
      </c>
      <c r="D77" s="416" t="inlineStr">
        <is>
          <t>STMT_DAILY</t>
        </is>
      </c>
      <c r="E77" s="416" t="inlineStr">
        <is>
          <t>RECID</t>
        </is>
      </c>
      <c r="F77" s="417" t="inlineStr">
        <is>
          <t>1:1</t>
        </is>
      </c>
      <c r="G77" s="417" t="inlineStr">
        <is>
          <t>PG_BRONZE</t>
        </is>
      </c>
      <c r="H77" s="377" t="inlineStr">
        <is>
          <t>SMY_STMT_DAILY</t>
        </is>
      </c>
      <c r="I77" s="377" t="inlineStr">
        <is>
          <t>RECID</t>
        </is>
      </c>
      <c r="J77" s="417" t="inlineStr">
        <is>
          <t>PG_SILVER</t>
        </is>
      </c>
      <c r="K77" s="377" t="inlineStr">
        <is>
          <t>STMT_RECID</t>
        </is>
      </c>
      <c r="L77" s="417" t="inlineStr">
        <is>
          <t>VARCHAR2(100)</t>
        </is>
      </c>
      <c r="M77" s="377" t="inlineStr">
        <is>
          <t>LEFT JOIN PG_BRONZE.SMY_STMT_DAILY stmt ON crb.APP_ID = stmt.OUR_REFERENCE AND stmt.TRANSACTION_CODE = '402'</t>
        </is>
      </c>
      <c r="N77" s="377" t="inlineStr">
        <is>
          <t>TRIM(stmt.RECID)</t>
        </is>
      </c>
      <c r="O77" s="377" t="inlineStr">
        <is>
          <t>Source -&gt; PG_BRONZE (1:1) -&gt; PG_SILVER (Temp 2)</t>
        </is>
      </c>
      <c r="P77" s="357" t="inlineStr">
        <is>
          <t>Mã giao dịch, Unique ID (Map từ PG_BRONZE.SMY_STMT_DAILY.RECID -&gt; PG_SILVER.Saoke_GIAINGAN.STMT_RECID)</t>
        </is>
      </c>
    </row>
    <row r="78" ht="14.25" customHeight="1" s="335">
      <c r="A78" s="416">
        <f>C78&amp;D78&amp;E78</f>
        <v/>
      </c>
      <c r="B78" s="416" t="inlineStr">
        <is>
          <t>Saoke_GIAINGAN</t>
        </is>
      </c>
      <c r="C78" s="416" t="inlineStr">
        <is>
          <t>SMY</t>
        </is>
      </c>
      <c r="D78" s="416" t="inlineStr">
        <is>
          <t>STMT_DAILY</t>
        </is>
      </c>
      <c r="E78" s="416" t="inlineStr">
        <is>
          <t>RECORD_STATUS</t>
        </is>
      </c>
      <c r="F78" s="417" t="inlineStr">
        <is>
          <t>1:1</t>
        </is>
      </c>
      <c r="G78" s="417" t="inlineStr">
        <is>
          <t>PG_BRONZE</t>
        </is>
      </c>
      <c r="H78" s="377" t="inlineStr">
        <is>
          <t>SMY_STMT_DAILY</t>
        </is>
      </c>
      <c r="I78" s="377" t="inlineStr">
        <is>
          <t>RECORD_STATUS</t>
        </is>
      </c>
      <c r="J78" s="417" t="inlineStr">
        <is>
          <t>PG_SILVER</t>
        </is>
      </c>
      <c r="K78" s="377" t="inlineStr">
        <is>
          <t>RECORD_STATUS</t>
        </is>
      </c>
      <c r="L78" s="417" t="inlineStr">
        <is>
          <t>VARCHAR2(100)</t>
        </is>
      </c>
      <c r="M78" s="377" t="inlineStr">
        <is>
          <t>LEFT JOIN PG_BRONZE.SMY_STMT_DAILY stmt ON crb.APP_ID = stmt.OUR_REFERENCE AND stmt.TRANSACTION_CODE = '402'</t>
        </is>
      </c>
      <c r="N78" s="377" t="inlineStr">
        <is>
          <t>TRIM(stmt.RECORD_STATUS)</t>
        </is>
      </c>
      <c r="O78" s="377" t="inlineStr">
        <is>
          <t>Source -&gt; PG_BRONZE (1:1) -&gt; PG_SILVER (Temp 2)</t>
        </is>
      </c>
      <c r="P78" s="357" t="inlineStr">
        <is>
          <t>Trạng Thái bản ghi (Map từ PG_BRONZE.SMY_STMT_DAILY.RECORD_STATUS -&gt; PG_SILVER.Saoke_GIAINGAN.RECORD_STATUS)</t>
        </is>
      </c>
    </row>
    <row r="79" ht="14.25" customHeight="1" s="335">
      <c r="A79" s="416">
        <f>C79&amp;D79&amp;E79</f>
        <v/>
      </c>
      <c r="B79" s="416" t="inlineStr">
        <is>
          <t>Saoke_GIAINGAN</t>
        </is>
      </c>
      <c r="C79" s="416" t="inlineStr">
        <is>
          <t>SMY</t>
        </is>
      </c>
      <c r="D79" s="416" t="inlineStr">
        <is>
          <t>STMT_DAILY</t>
        </is>
      </c>
      <c r="E79" s="416" t="inlineStr">
        <is>
          <t>REPAYMENT_AMT</t>
        </is>
      </c>
      <c r="F79" s="417" t="inlineStr">
        <is>
          <t>1:1</t>
        </is>
      </c>
      <c r="G79" s="417" t="inlineStr">
        <is>
          <t>PG_BRONZE</t>
        </is>
      </c>
      <c r="H79" s="377" t="inlineStr">
        <is>
          <t>SMY_STMT_DAILY</t>
        </is>
      </c>
      <c r="I79" s="377" t="inlineStr">
        <is>
          <t>REPAYMENT_AMT</t>
        </is>
      </c>
      <c r="J79" s="417" t="inlineStr">
        <is>
          <t>PG_SILVER</t>
        </is>
      </c>
      <c r="K79" s="377" t="inlineStr">
        <is>
          <t>REPAYMENT_AMT</t>
        </is>
      </c>
      <c r="L79" s="417" t="inlineStr">
        <is>
          <t>NUMBER(25.5)</t>
        </is>
      </c>
      <c r="M79" s="377" t="inlineStr">
        <is>
          <t>LEFT JOIN PG_BRONZE.SMY_STMT_DAILY stmt ON crb.APP_ID = stmt.OUR_REFERENCE AND stmt.TRANSACTION_CODE = '402'</t>
        </is>
      </c>
      <c r="N79" s="377" t="inlineStr">
        <is>
          <t>COALESCE(CAST(stmt.REPAYMENT_AMT AS DECIMAL(25,5)), 0)</t>
        </is>
      </c>
      <c r="O79" s="377" t="inlineStr">
        <is>
          <t>Source -&gt; PG_BRONZE (1:1) -&gt; PG_SILVER (Temp 2)</t>
        </is>
      </c>
      <c r="P79" s="357" t="inlineStr">
        <is>
          <t>Số tiền thu nợ (Map từ PG_BRONZE.SMY_STMT_DAILY.REPAYMENT_AMT -&gt; PG_SILVER.Saoke_GIAINGAN.REPAYMENT_AMT)</t>
        </is>
      </c>
    </row>
    <row r="80" ht="14.25" customHeight="1" s="335">
      <c r="A80" s="416">
        <f>C80&amp;D80&amp;E80</f>
        <v/>
      </c>
      <c r="B80" s="416" t="inlineStr">
        <is>
          <t>Saoke_GIAINGAN</t>
        </is>
      </c>
      <c r="C80" s="416" t="inlineStr">
        <is>
          <t>SMY</t>
        </is>
      </c>
      <c r="D80" s="416" t="inlineStr">
        <is>
          <t>STMT_DAILY</t>
        </is>
      </c>
      <c r="E80" s="416" t="inlineStr">
        <is>
          <t>REPAYMENT_DATE</t>
        </is>
      </c>
      <c r="F80" s="417" t="inlineStr">
        <is>
          <t>1:1</t>
        </is>
      </c>
      <c r="G80" s="417" t="inlineStr">
        <is>
          <t>PG_BRONZE</t>
        </is>
      </c>
      <c r="H80" s="377" t="inlineStr">
        <is>
          <t>SMY_STMT_DAILY</t>
        </is>
      </c>
      <c r="I80" s="377" t="inlineStr">
        <is>
          <t>REPAYMENT_DATE</t>
        </is>
      </c>
      <c r="J80" s="417" t="inlineStr">
        <is>
          <t>PG_SILVER</t>
        </is>
      </c>
      <c r="K80" s="377" t="inlineStr">
        <is>
          <t>REPAYMENT_DATE</t>
        </is>
      </c>
      <c r="L80" s="417" t="inlineStr">
        <is>
          <t>DATE</t>
        </is>
      </c>
      <c r="M80" s="377" t="inlineStr">
        <is>
          <t>LEFT JOIN PG_BRONZE.SMY_STMT_DAILY stmt ON crb.APP_ID = stmt.OUR_REFERENCE AND stmt.TRANSACTION_CODE = '402'</t>
        </is>
      </c>
      <c r="N80" s="377" t="inlineStr">
        <is>
          <t>TO_DATE(CAST(stmt.REPAYMENT_DATE AS VARCHAR(20)), 'YYYYMMDD')</t>
        </is>
      </c>
      <c r="O80" s="377" t="inlineStr">
        <is>
          <t>Source -&gt; PG_BRONZE (1:1) -&gt; PG_SILVER (Temp 2)</t>
        </is>
      </c>
      <c r="P80" s="357" t="inlineStr">
        <is>
          <t>Ngày thu (Map từ PG_BRONZE.SMY_STMT_DAILY.REPAYMENT_DATE -&gt; PG_SILVER.Saoke_GIAINGAN.REPAYMENT_DATE)</t>
        </is>
      </c>
    </row>
    <row r="81" ht="14.25" customHeight="1" s="335">
      <c r="A81" s="416">
        <f>C81&amp;D81&amp;E81</f>
        <v/>
      </c>
      <c r="B81" s="416" t="inlineStr">
        <is>
          <t>Saoke_GIAINGAN</t>
        </is>
      </c>
      <c r="C81" s="416" t="inlineStr">
        <is>
          <t>SMY</t>
        </is>
      </c>
      <c r="D81" s="416" t="inlineStr">
        <is>
          <t>STMT_DAILY</t>
        </is>
      </c>
      <c r="E81" s="416" t="inlineStr">
        <is>
          <t>REPAYMENT_TYPE</t>
        </is>
      </c>
      <c r="F81" s="417" t="inlineStr">
        <is>
          <t>1:1</t>
        </is>
      </c>
      <c r="G81" s="417" t="inlineStr">
        <is>
          <t>PG_BRONZE</t>
        </is>
      </c>
      <c r="H81" s="377" t="inlineStr">
        <is>
          <t>SMY_STMT_DAILY</t>
        </is>
      </c>
      <c r="I81" s="377" t="inlineStr">
        <is>
          <t>REPAYMENT_TYPE</t>
        </is>
      </c>
      <c r="J81" s="417" t="inlineStr">
        <is>
          <t>PG_SILVER</t>
        </is>
      </c>
      <c r="K81" s="377" t="inlineStr">
        <is>
          <t>REPAYMENT_TYPE</t>
        </is>
      </c>
      <c r="L81" s="417" t="inlineStr">
        <is>
          <t>VARCHAR2(100)</t>
        </is>
      </c>
      <c r="M81" s="377" t="inlineStr">
        <is>
          <t>LEFT JOIN PG_BRONZE.SMY_STMT_DAILY stmt ON crb.APP_ID = stmt.OUR_REFERENCE AND stmt.TRANSACTION_CODE = '402'</t>
        </is>
      </c>
      <c r="N81" s="377" t="inlineStr">
        <is>
          <t>TRIM(stmt.REPAYMENT_TYPE)</t>
        </is>
      </c>
      <c r="O81" s="377" t="inlineStr">
        <is>
          <t>Source -&gt; PG_BRONZE (1:1) -&gt; PG_SILVER (Temp 2)</t>
        </is>
      </c>
      <c r="P81" s="357" t="inlineStr">
        <is>
          <t>Loại thu nợ (Map từ PG_BRONZE.SMY_STMT_DAILY.REPAYMENT_TYPE -&gt; PG_SILVER.Saoke_GIAINGAN.REPAYMENT_TYPE)</t>
        </is>
      </c>
    </row>
    <row r="82" ht="14.25" customHeight="1" s="335">
      <c r="A82" s="416">
        <f>C82&amp;D82&amp;E82</f>
        <v/>
      </c>
      <c r="B82" s="416" t="inlineStr">
        <is>
          <t>Saoke_GIAINGAN</t>
        </is>
      </c>
      <c r="C82" s="416" t="inlineStr">
        <is>
          <t>SMY</t>
        </is>
      </c>
      <c r="D82" s="416" t="inlineStr">
        <is>
          <t>STMT_DAILY</t>
        </is>
      </c>
      <c r="E82" s="416" t="inlineStr">
        <is>
          <t>STMT_ENTRY_ID</t>
        </is>
      </c>
      <c r="F82" s="417" t="inlineStr">
        <is>
          <t>1:1</t>
        </is>
      </c>
      <c r="G82" s="417" t="inlineStr">
        <is>
          <t>PG_BRONZE</t>
        </is>
      </c>
      <c r="H82" s="377" t="inlineStr">
        <is>
          <t>SMY_STMT_DAILY</t>
        </is>
      </c>
      <c r="I82" s="377" t="inlineStr">
        <is>
          <t>STMT_ENTRY_ID</t>
        </is>
      </c>
      <c r="J82" s="417" t="inlineStr">
        <is>
          <t>PG_SILVER</t>
        </is>
      </c>
      <c r="K82" s="377" t="inlineStr">
        <is>
          <t>STMT_ENTRY_ID</t>
        </is>
      </c>
      <c r="L82" s="417" t="inlineStr">
        <is>
          <t>VARCHAR2(100)</t>
        </is>
      </c>
      <c r="M82" s="377" t="inlineStr">
        <is>
          <t>LEFT JOIN PG_BRONZE.SMY_STMT_DAILY stmt ON crb.APP_ID = stmt.OUR_REFERENCE AND stmt.TRANSACTION_CODE = '402'</t>
        </is>
      </c>
      <c r="N82" s="377" t="inlineStr">
        <is>
          <t>TRIM(stmt.STMT_ENTRY_ID)</t>
        </is>
      </c>
      <c r="O82" s="377" t="inlineStr">
        <is>
          <t>Source -&gt; PG_BRONZE (1:1) -&gt; PG_SILVER (Temp 2)</t>
        </is>
      </c>
      <c r="P82" s="357" t="inlineStr">
        <is>
          <t>Trường STMT_ENTRY_ID của bảng nguồn SMY.STMT_DAILY (Map từ PG_BRONZE.SMY_STMT_DAILY.STMT_ENTRY_ID -&gt; PG_SILVER.Saoke_GIAINGAN.STMT_ENTRY_ID)</t>
        </is>
      </c>
    </row>
    <row r="83" ht="14.25" customHeight="1" s="335">
      <c r="A83" s="416">
        <f>C83&amp;D83&amp;E83</f>
        <v/>
      </c>
      <c r="B83" s="416" t="inlineStr">
        <is>
          <t>Saoke_GIAINGAN</t>
        </is>
      </c>
      <c r="C83" s="416" t="inlineStr">
        <is>
          <t>SMY</t>
        </is>
      </c>
      <c r="D83" s="416" t="inlineStr">
        <is>
          <t>STMT_DAILY</t>
        </is>
      </c>
      <c r="E83" s="416" t="inlineStr">
        <is>
          <t>STMT_NO</t>
        </is>
      </c>
      <c r="F83" s="417" t="inlineStr">
        <is>
          <t>1:1</t>
        </is>
      </c>
      <c r="G83" s="417" t="inlineStr">
        <is>
          <t>PG_BRONZE</t>
        </is>
      </c>
      <c r="H83" s="377" t="inlineStr">
        <is>
          <t>SMY_STMT_DAILY</t>
        </is>
      </c>
      <c r="I83" s="377" t="inlineStr">
        <is>
          <t>STMT_NO</t>
        </is>
      </c>
      <c r="J83" s="417" t="inlineStr">
        <is>
          <t>PG_SILVER</t>
        </is>
      </c>
      <c r="K83" s="377" t="inlineStr">
        <is>
          <t>STMT_NO</t>
        </is>
      </c>
      <c r="L83" s="417" t="inlineStr">
        <is>
          <t>VARCHAR2(100)</t>
        </is>
      </c>
      <c r="M83" s="377" t="inlineStr">
        <is>
          <t>LEFT JOIN PG_BRONZE.SMY_STMT_DAILY stmt ON crb.APP_ID = stmt.OUR_REFERENCE AND stmt.TRANSACTION_CODE = '402'</t>
        </is>
      </c>
      <c r="N83" s="377" t="inlineStr">
        <is>
          <t>TRIM(stmt.STMT_NO)</t>
        </is>
      </c>
      <c r="O83" s="377" t="inlineStr">
        <is>
          <t>Source -&gt; PG_BRONZE (1:1) -&gt; PG_SILVER (Temp 2)</t>
        </is>
      </c>
      <c r="P83" s="357" t="inlineStr">
        <is>
          <t>Trường STMT_NO của bảng nguồn SMY.STMT_DAILY (Map từ PG_BRONZE.SMY_STMT_DAILY.STMT_NO -&gt; PG_SILVER.Saoke_GIAINGAN.STMT_NO)</t>
        </is>
      </c>
    </row>
    <row r="84" ht="14.25" customHeight="1" s="335">
      <c r="A84" s="416">
        <f>C84&amp;D84&amp;E84</f>
        <v/>
      </c>
      <c r="B84" s="416" t="inlineStr">
        <is>
          <t>Saoke_GIAINGAN</t>
        </is>
      </c>
      <c r="C84" s="416" t="inlineStr">
        <is>
          <t>SMY</t>
        </is>
      </c>
      <c r="D84" s="416" t="inlineStr">
        <is>
          <t>STMT_DAILY</t>
        </is>
      </c>
      <c r="E84" s="416" t="inlineStr">
        <is>
          <t>SUSPENSE_CATEGORY</t>
        </is>
      </c>
      <c r="F84" s="417" t="inlineStr">
        <is>
          <t>1:1</t>
        </is>
      </c>
      <c r="G84" s="417" t="inlineStr">
        <is>
          <t>PG_BRONZE</t>
        </is>
      </c>
      <c r="H84" s="377" t="inlineStr">
        <is>
          <t>SMY_STMT_DAILY</t>
        </is>
      </c>
      <c r="I84" s="377" t="inlineStr">
        <is>
          <t>SUSPENSE_CATEGORY</t>
        </is>
      </c>
      <c r="J84" s="417" t="inlineStr">
        <is>
          <t>PG_SILVER</t>
        </is>
      </c>
      <c r="K84" s="377" t="inlineStr">
        <is>
          <t>SUSPENSE_CATEGORY</t>
        </is>
      </c>
      <c r="L84" s="417" t="inlineStr">
        <is>
          <t>VARCHAR2(100)</t>
        </is>
      </c>
      <c r="M84" s="377" t="inlineStr">
        <is>
          <t>LEFT JOIN PG_BRONZE.SMY_STMT_DAILY stmt ON crb.APP_ID = stmt.OUR_REFERENCE AND stmt.TRANSACTION_CODE = '402'</t>
        </is>
      </c>
      <c r="N84" s="377" t="inlineStr">
        <is>
          <t>TRIM(stmt.SUSPENSE_CATEGORY)</t>
        </is>
      </c>
      <c r="O84" s="377" t="inlineStr">
        <is>
          <t>Source -&gt; PG_BRONZE (1:1) -&gt; PG_SILVER (Temp 2)</t>
        </is>
      </c>
      <c r="P84" s="357" t="inlineStr">
        <is>
          <t>Mã Category phân loại bút toán bị treo (Map từ PG_BRONZE.SMY_STMT_DAILY.SUSPENSE_CATEGORY -&gt; PG_SILVER.Saoke_GIAINGAN.SUSPENSE_CATEGORY)</t>
        </is>
      </c>
    </row>
    <row r="85" ht="14.25" customHeight="1" s="335">
      <c r="A85" s="416">
        <f>C85&amp;D85&amp;E85</f>
        <v/>
      </c>
      <c r="B85" s="416" t="inlineStr">
        <is>
          <t>Saoke_GIAINGAN</t>
        </is>
      </c>
      <c r="C85" s="416" t="inlineStr">
        <is>
          <t>SMY</t>
        </is>
      </c>
      <c r="D85" s="416" t="inlineStr">
        <is>
          <t>STMT_DAILY</t>
        </is>
      </c>
      <c r="E85" s="416" t="inlineStr">
        <is>
          <t>SUSPNSE_VALUE_DATE</t>
        </is>
      </c>
      <c r="F85" s="417" t="inlineStr">
        <is>
          <t>1:1</t>
        </is>
      </c>
      <c r="G85" s="417" t="inlineStr">
        <is>
          <t>PG_BRONZE</t>
        </is>
      </c>
      <c r="H85" s="377" t="inlineStr">
        <is>
          <t>SMY_STMT_DAILY</t>
        </is>
      </c>
      <c r="I85" s="377" t="inlineStr">
        <is>
          <t>SUSPNSE_VALUE_DATE</t>
        </is>
      </c>
      <c r="J85" s="417" t="inlineStr">
        <is>
          <t>PG_SILVER</t>
        </is>
      </c>
      <c r="K85" s="377" t="inlineStr">
        <is>
          <t>SUSPNSE_VALUE_DATE</t>
        </is>
      </c>
      <c r="L85" s="417" t="inlineStr">
        <is>
          <t>DATE</t>
        </is>
      </c>
      <c r="M85" s="377" t="inlineStr">
        <is>
          <t>LEFT JOIN PG_BRONZE.SMY_STMT_DAILY stmt ON crb.APP_ID = stmt.OUR_REFERENCE AND stmt.TRANSACTION_CODE = '402'</t>
        </is>
      </c>
      <c r="N85" s="377" t="inlineStr">
        <is>
          <t>TO_DATE(CAST(stmt.SUSPNSE_VALUE_DATE AS VARCHAR(20)), 'YYYYMMDD')</t>
        </is>
      </c>
      <c r="O85" s="377" t="inlineStr">
        <is>
          <t>Source -&gt; PG_BRONZE (1:1) -&gt; PG_SILVER (Temp 2)</t>
        </is>
      </c>
      <c r="P85" s="357" t="inlineStr">
        <is>
          <t>Ngày bút toán treo (Map từ PG_BRONZE.SMY_STMT_DAILY.SUSPNSE_VALUE_DATE -&gt; PG_SILVER.Saoke_GIAINGAN.SUSPNSE_VALUE_DATE)</t>
        </is>
      </c>
    </row>
    <row r="86" ht="14.25" customHeight="1" s="335">
      <c r="A86" s="416">
        <f>C86&amp;D86&amp;E86</f>
        <v/>
      </c>
      <c r="B86" s="416" t="inlineStr">
        <is>
          <t>Saoke_GIAINGAN</t>
        </is>
      </c>
      <c r="C86" s="416" t="inlineStr">
        <is>
          <t>SMY</t>
        </is>
      </c>
      <c r="D86" s="416" t="inlineStr">
        <is>
          <t>STMT_DAILY</t>
        </is>
      </c>
      <c r="E86" s="416" t="inlineStr">
        <is>
          <t>SYSTEM_ID</t>
        </is>
      </c>
      <c r="F86" s="417" t="inlineStr">
        <is>
          <t>1:1</t>
        </is>
      </c>
      <c r="G86" s="417" t="inlineStr">
        <is>
          <t>PG_BRONZE</t>
        </is>
      </c>
      <c r="H86" s="377" t="inlineStr">
        <is>
          <t>SMY_STMT_DAILY</t>
        </is>
      </c>
      <c r="I86" s="377" t="inlineStr">
        <is>
          <t>SYSTEM_ID</t>
        </is>
      </c>
      <c r="J86" s="417" t="inlineStr">
        <is>
          <t>PG_SILVER</t>
        </is>
      </c>
      <c r="K86" s="377" t="inlineStr">
        <is>
          <t>SYSTEM_ID</t>
        </is>
      </c>
      <c r="L86" s="417" t="inlineStr">
        <is>
          <t>VARCHAR2(100)</t>
        </is>
      </c>
      <c r="M86" s="377" t="inlineStr">
        <is>
          <t>LEFT JOIN PG_BRONZE.SMY_STMT_DAILY stmt ON crb.APP_ID = stmt.OUR_REFERENCE AND stmt.TRANSACTION_CODE = '402'</t>
        </is>
      </c>
      <c r="N86" s="377" t="inlineStr">
        <is>
          <t>TRIM(stmt.SYSTEM_ID)</t>
        </is>
      </c>
      <c r="O86" s="377" t="inlineStr">
        <is>
          <t>Source -&gt; PG_BRONZE (1:1) -&gt; PG_SILVER (Temp 2)</t>
        </is>
      </c>
      <c r="P86" s="357" t="inlineStr">
        <is>
          <t>Mã phân hệ (Map từ PG_BRONZE.SMY_STMT_DAILY.SYSTEM_ID -&gt; PG_SILVER.Saoke_GIAINGAN.SYSTEM_ID)</t>
        </is>
      </c>
    </row>
    <row r="87" ht="14.25" customHeight="1" s="335">
      <c r="A87" s="416">
        <f>C87&amp;D87&amp;E87</f>
        <v/>
      </c>
      <c r="B87" s="416" t="inlineStr">
        <is>
          <t>Saoke_GIAINGAN</t>
        </is>
      </c>
      <c r="C87" s="416" t="inlineStr">
        <is>
          <t>SMY</t>
        </is>
      </c>
      <c r="D87" s="416" t="inlineStr">
        <is>
          <t>STMT_DAILY</t>
        </is>
      </c>
      <c r="E87" s="416" t="inlineStr">
        <is>
          <t>THEIR_REFERENCE</t>
        </is>
      </c>
      <c r="F87" s="417" t="inlineStr">
        <is>
          <t>1:1</t>
        </is>
      </c>
      <c r="G87" s="417" t="inlineStr">
        <is>
          <t>PG_BRONZE</t>
        </is>
      </c>
      <c r="H87" s="377" t="inlineStr">
        <is>
          <t>SMY_STMT_DAILY</t>
        </is>
      </c>
      <c r="I87" s="377" t="inlineStr">
        <is>
          <t>THEIR_REFERENCE</t>
        </is>
      </c>
      <c r="J87" s="417" t="inlineStr">
        <is>
          <t>PG_SILVER</t>
        </is>
      </c>
      <c r="K87" s="377" t="inlineStr">
        <is>
          <t>THEIR_REFERENCE</t>
        </is>
      </c>
      <c r="L87" s="417" t="inlineStr">
        <is>
          <t>VARCHAR2(100)</t>
        </is>
      </c>
      <c r="M87" s="377" t="inlineStr">
        <is>
          <t>LEFT JOIN PG_BRONZE.SMY_STMT_DAILY stmt ON crb.APP_ID = stmt.OUR_REFERENCE AND stmt.TRANSACTION_CODE = '402'</t>
        </is>
      </c>
      <c r="N87" s="377" t="inlineStr">
        <is>
          <t>TRIM(stmt.THEIR_REFERENCE)</t>
        </is>
      </c>
      <c r="O87" s="377" t="inlineStr">
        <is>
          <t>Source -&gt; PG_BRONZE (1:1) -&gt; PG_SILVER (Temp 2)</t>
        </is>
      </c>
      <c r="P87" s="357" t="inlineStr">
        <is>
          <t>Trường THEIR_REFERENCE của bảng nguồn SMY.STMT_DAILY (Map từ PG_BRONZE.SMY_STMT_DAILY.THEIR_REFERENCE -&gt; PG_SILVER.Saoke_GIAINGAN.THEIR_REFERENCE)</t>
        </is>
      </c>
    </row>
    <row r="88" ht="14.25" customHeight="1" s="335">
      <c r="A88" s="416">
        <f>C88&amp;D88&amp;E88</f>
        <v/>
      </c>
      <c r="B88" s="416" t="inlineStr">
        <is>
          <t>Saoke_GIAINGAN</t>
        </is>
      </c>
      <c r="C88" s="416" t="inlineStr">
        <is>
          <t>SMY</t>
        </is>
      </c>
      <c r="D88" s="416" t="inlineStr">
        <is>
          <t>STMT_DAILY</t>
        </is>
      </c>
      <c r="E88" s="416" t="inlineStr">
        <is>
          <t>TRANS_REFERENCE</t>
        </is>
      </c>
      <c r="F88" s="417" t="inlineStr">
        <is>
          <t>1:1</t>
        </is>
      </c>
      <c r="G88" s="417" t="inlineStr">
        <is>
          <t>PG_BRONZE</t>
        </is>
      </c>
      <c r="H88" s="377" t="inlineStr">
        <is>
          <t>SMY_STMT_DAILY</t>
        </is>
      </c>
      <c r="I88" s="377" t="inlineStr">
        <is>
          <t>TRANS_REFERENCE</t>
        </is>
      </c>
      <c r="J88" s="417" t="inlineStr">
        <is>
          <t>PG_SILVER</t>
        </is>
      </c>
      <c r="K88" s="377" t="inlineStr">
        <is>
          <t>TRANS_REFERENCE</t>
        </is>
      </c>
      <c r="L88" s="417" t="inlineStr">
        <is>
          <t>VARCHAR2(100)</t>
        </is>
      </c>
      <c r="M88" s="377" t="inlineStr">
        <is>
          <t>LEFT JOIN PG_BRONZE.SMY_STMT_DAILY stmt ON crb.APP_ID = stmt.OUR_REFERENCE AND stmt.TRANSACTION_CODE = '402'</t>
        </is>
      </c>
      <c r="N88" s="377" t="inlineStr">
        <is>
          <t>TRIM(stmt.TRANS_REFERENCE)</t>
        </is>
      </c>
      <c r="O88" s="377" t="inlineStr">
        <is>
          <t>Source -&gt; PG_BRONZE (1:1) -&gt; PG_SILVER (Temp 2)</t>
        </is>
      </c>
      <c r="P88" s="357" t="inlineStr">
        <is>
          <t>Trường TRANS_REFERENCE của bảng nguồn SMY.STMT_DAILY (Map từ PG_BRONZE.SMY_STMT_DAILY.TRANS_REFERENCE -&gt; PG_SILVER.Saoke_GIAINGAN.TRANS_REFERENCE)</t>
        </is>
      </c>
    </row>
    <row r="89" ht="14.25" customHeight="1" s="335">
      <c r="A89" s="416">
        <f>C89&amp;D89&amp;E89</f>
        <v/>
      </c>
      <c r="B89" s="416" t="inlineStr">
        <is>
          <t>Saoke_GIAINGAN</t>
        </is>
      </c>
      <c r="C89" s="416" t="inlineStr">
        <is>
          <t>SMY</t>
        </is>
      </c>
      <c r="D89" s="416" t="inlineStr">
        <is>
          <t>STMT_DAILY</t>
        </is>
      </c>
      <c r="E89" s="416" t="inlineStr">
        <is>
          <t>TRANSACTION_CODE</t>
        </is>
      </c>
      <c r="F89" s="417" t="inlineStr">
        <is>
          <t>1:1</t>
        </is>
      </c>
      <c r="G89" s="417" t="inlineStr">
        <is>
          <t>PG_BRONZE</t>
        </is>
      </c>
      <c r="H89" s="377" t="inlineStr">
        <is>
          <t>SMY_STMT_DAILY</t>
        </is>
      </c>
      <c r="I89" s="377" t="inlineStr">
        <is>
          <t>TRANSACTION_CODE</t>
        </is>
      </c>
      <c r="J89" s="417" t="inlineStr">
        <is>
          <t>PG_SILVER</t>
        </is>
      </c>
      <c r="K89" s="377" t="inlineStr">
        <is>
          <t>TRANSACTION_CODE</t>
        </is>
      </c>
      <c r="L89" s="417" t="inlineStr">
        <is>
          <t>VARCHAR2(100)</t>
        </is>
      </c>
      <c r="M89" s="377" t="inlineStr">
        <is>
          <t>LEFT JOIN PG_BRONZE.SMY_STMT_DAILY stmt ON crb.APP_ID = stmt.OUR_REFERENCE AND stmt.TRANSACTION_CODE = '402'</t>
        </is>
      </c>
      <c r="N89" s="377" t="inlineStr">
        <is>
          <t>TRIM(stmt.TRANSACTION_CODE)</t>
        </is>
      </c>
      <c r="O89" s="377" t="inlineStr">
        <is>
          <t>Source -&gt; PG_BRONZE (1:1) -&gt; PG_SILVER (Temp 2)</t>
        </is>
      </c>
      <c r="P89" s="357" t="inlineStr">
        <is>
          <t>Mã giao dịch (Map từ PG_BRONZE.SMY_STMT_DAILY.TRANSACTION_CODE -&gt; PG_SILVER.Saoke_GIAINGAN.TRANSACTION_CODE)</t>
        </is>
      </c>
    </row>
    <row r="90" ht="14.25" customHeight="1" s="335">
      <c r="A90" s="416">
        <f>C90&amp;D90&amp;E90</f>
        <v/>
      </c>
      <c r="B90" s="416" t="inlineStr">
        <is>
          <t>Saoke_GIAINGAN</t>
        </is>
      </c>
      <c r="C90" s="416" t="inlineStr">
        <is>
          <t>SMY</t>
        </is>
      </c>
      <c r="D90" s="416" t="inlineStr">
        <is>
          <t>STMT_DAILY</t>
        </is>
      </c>
      <c r="E90" s="416" t="inlineStr">
        <is>
          <t>TXN_DATE</t>
        </is>
      </c>
      <c r="F90" s="417" t="inlineStr">
        <is>
          <t>1:1</t>
        </is>
      </c>
      <c r="G90" s="417" t="inlineStr">
        <is>
          <t>PG_BRONZE</t>
        </is>
      </c>
      <c r="H90" s="377" t="inlineStr">
        <is>
          <t>SMY_STMT_DAILY</t>
        </is>
      </c>
      <c r="I90" s="377" t="inlineStr">
        <is>
          <t>TXN_DATE</t>
        </is>
      </c>
      <c r="J90" s="417" t="inlineStr">
        <is>
          <t>PG_SILVER</t>
        </is>
      </c>
      <c r="K90" s="377" t="inlineStr">
        <is>
          <t>STMT_TXN_DATE</t>
        </is>
      </c>
      <c r="L90" s="417" t="inlineStr">
        <is>
          <t>DATE</t>
        </is>
      </c>
      <c r="M90" s="377" t="inlineStr">
        <is>
          <t>LEFT JOIN PG_BRONZE.SMY_STMT_DAILY stmt ON crb.APP_ID = stmt.OUR_REFERENCE AND stmt.TRANSACTION_CODE = '402'</t>
        </is>
      </c>
      <c r="N90" s="377" t="inlineStr">
        <is>
          <t>TO_DATE(CAST(stmt.TXN_DATE AS VARCHAR(20)), 'YYYYMMDD')</t>
        </is>
      </c>
      <c r="O90" s="377" t="inlineStr">
        <is>
          <t>Source -&gt; PG_BRONZE (1:1) -&gt; PG_SILVER (Temp 2)</t>
        </is>
      </c>
      <c r="P90" s="357" t="inlineStr">
        <is>
          <t>Trường TXN_DATE của bảng nguồn SMY.STMT_DAILY (Map từ PG_BRONZE.SMY_STMT_DAILY.TXN_DATE -&gt; PG_SILVER.Saoke_GIAINGAN.STMT_TXN_DATE)</t>
        </is>
      </c>
    </row>
    <row r="91" ht="14.25" customHeight="1" s="335">
      <c r="A91" s="416">
        <f>C91&amp;D91&amp;E91</f>
        <v/>
      </c>
      <c r="B91" s="416" t="inlineStr">
        <is>
          <t>Saoke_GIAINGAN</t>
        </is>
      </c>
      <c r="C91" s="416" t="inlineStr">
        <is>
          <t>SMY</t>
        </is>
      </c>
      <c r="D91" s="416" t="inlineStr">
        <is>
          <t>STMT_DAILY</t>
        </is>
      </c>
      <c r="E91" s="416" t="inlineStr">
        <is>
          <t>VALUE_DATE</t>
        </is>
      </c>
      <c r="F91" s="417" t="inlineStr">
        <is>
          <t>1:1</t>
        </is>
      </c>
      <c r="G91" s="417" t="inlineStr">
        <is>
          <t>PG_BRONZE</t>
        </is>
      </c>
      <c r="H91" s="377" t="inlineStr">
        <is>
          <t>SMY_STMT_DAILY</t>
        </is>
      </c>
      <c r="I91" s="377" t="inlineStr">
        <is>
          <t>VALUE_DATE</t>
        </is>
      </c>
      <c r="J91" s="417" t="inlineStr">
        <is>
          <t>PG_SILVER</t>
        </is>
      </c>
      <c r="K91" s="377" t="inlineStr">
        <is>
          <t>VALUE_DATE</t>
        </is>
      </c>
      <c r="L91" s="417" t="inlineStr">
        <is>
          <t>DATE</t>
        </is>
      </c>
      <c r="M91" s="377" t="inlineStr">
        <is>
          <t>LEFT JOIN PG_BRONZE.SMY_STMT_DAILY stmt ON crb.APP_ID = stmt.OUR_REFERENCE AND stmt.TRANSACTION_CODE = '402'</t>
        </is>
      </c>
      <c r="N91" s="377" t="inlineStr">
        <is>
          <t>TO_DATE(CAST(stmt.VALUE_DATE AS VARCHAR(20)), 'YYYYMMDD')</t>
        </is>
      </c>
      <c r="O91" s="377" t="inlineStr">
        <is>
          <t>Source -&gt; PG_BRONZE (1:1) -&gt; PG_SILVER (Temp 2)</t>
        </is>
      </c>
      <c r="P91" s="357" t="inlineStr">
        <is>
          <t>Ngay Hieu luc but toan (Map từ PG_BRONZE.SMY_STMT_DAILY.VALUE_DATE -&gt; PG_SILVER.Saoke_GIAINGAN.VALUE_DATE)</t>
        </is>
      </c>
    </row>
    <row r="92" ht="14.25" customHeight="1" s="335">
      <c r="A92" s="416">
        <f>C92&amp;D92&amp;E92</f>
        <v/>
      </c>
      <c r="B92" s="416" t="inlineStr">
        <is>
          <t>Saoke_GIAINGAN</t>
        </is>
      </c>
      <c r="C92" s="416" t="inlineStr">
        <is>
          <t>SOURCE</t>
        </is>
      </c>
      <c r="D92" s="416" t="inlineStr">
        <is>
          <t>SAOKE_CRB</t>
        </is>
      </c>
      <c r="E92" s="416" t="inlineStr">
        <is>
          <t>ACC_FCC</t>
        </is>
      </c>
      <c r="F92" s="417" t="inlineStr">
        <is>
          <t>1:1</t>
        </is>
      </c>
      <c r="G92" s="417" t="inlineStr">
        <is>
          <t>PG_BRONZE</t>
        </is>
      </c>
      <c r="H92" s="377" t="inlineStr">
        <is>
          <t>SOURCE_SAOKE_CRB</t>
        </is>
      </c>
      <c r="I92" s="377" t="inlineStr">
        <is>
          <t>ACC_FCC</t>
        </is>
      </c>
      <c r="J92" s="417" t="inlineStr">
        <is>
          <t>PG_SILVER</t>
        </is>
      </c>
      <c r="K92" s="377" t="inlineStr">
        <is>
          <t>ACC_FCC</t>
        </is>
      </c>
      <c r="L92" s="417" t="inlineStr">
        <is>
          <t>VARCHAR2(100)</t>
        </is>
      </c>
      <c r="M92" s="377" t="inlineStr">
        <is>
          <t>FROM PG_BRONZE.SOURCE_SAOKE_CRB crb WHERE crb.APP_CODE IN ('LD', 'PD') AND crb.TXN_DATE = ${ETL_DATE}</t>
        </is>
      </c>
      <c r="N92" s="377" t="inlineStr">
        <is>
          <t>TRIM(crb.ACC_FCC)</t>
        </is>
      </c>
      <c r="O92" s="377" t="inlineStr">
        <is>
          <t>Source -&gt; PG_BRONZE (1:1) -&gt; PG_SILVER (Temp 2)</t>
        </is>
      </c>
      <c r="P92" s="357" t="inlineStr">
        <is>
          <t>Mã hợp đồng FlexCube (Map từ PG_BRONZE.SOURCE_SAOKE_CRB.ACC_FCC -&gt; PG_SILVER.Saoke_GIAINGAN.ACC_FCC)</t>
        </is>
      </c>
    </row>
    <row r="93" ht="14.25" customHeight="1" s="335">
      <c r="A93" s="416">
        <f>C93&amp;D93&amp;E93</f>
        <v/>
      </c>
      <c r="B93" s="416" t="inlineStr">
        <is>
          <t>Saoke_GIAINGAN</t>
        </is>
      </c>
      <c r="C93" s="416" t="inlineStr">
        <is>
          <t>SOURCE</t>
        </is>
      </c>
      <c r="D93" s="416" t="inlineStr">
        <is>
          <t>SAOKE_CRB</t>
        </is>
      </c>
      <c r="E93" s="416" t="inlineStr">
        <is>
          <t>AMOUNT_CUR</t>
        </is>
      </c>
      <c r="F93" s="417" t="inlineStr">
        <is>
          <t>1:1</t>
        </is>
      </c>
      <c r="G93" s="417" t="inlineStr">
        <is>
          <t>PG_BRONZE</t>
        </is>
      </c>
      <c r="H93" s="377" t="inlineStr">
        <is>
          <t>SOURCE_SAOKE_CRB</t>
        </is>
      </c>
      <c r="I93" s="377" t="inlineStr">
        <is>
          <t>AMOUNT_CUR</t>
        </is>
      </c>
      <c r="J93" s="417" t="inlineStr">
        <is>
          <t>PG_SILVER</t>
        </is>
      </c>
      <c r="K93" s="377" t="inlineStr">
        <is>
          <t>AMOUNT_CUR</t>
        </is>
      </c>
      <c r="L93" s="417" t="inlineStr">
        <is>
          <t>NUMBER(25.5)</t>
        </is>
      </c>
      <c r="M93" s="377" t="inlineStr">
        <is>
          <t>FROM PG_BRONZE.SOURCE_SAOKE_CRB crb WHERE crb.APP_CODE IN ('LD', 'PD') AND crb.TXN_DATE = ${ETL_DATE}</t>
        </is>
      </c>
      <c r="N93" s="377" t="inlineStr">
        <is>
          <t>COALESCE(CAST(crb.AMOUNT_CUR AS DECIMAL(25,5)), 0)</t>
        </is>
      </c>
      <c r="O93" s="377" t="inlineStr">
        <is>
          <t>Source -&gt; PG_BRONZE (1:1) -&gt; PG_SILVER (Temp 2)</t>
        </is>
      </c>
      <c r="P93" s="357" t="inlineStr">
        <is>
          <t>Số tiền dự thu (Map từ PG_BRONZE.SOURCE_SAOKE_CRB.AMOUNT_CUR -&gt; PG_SILVER.Saoke_GIAINGAN.AMOUNT_CUR)</t>
        </is>
      </c>
    </row>
    <row r="94" ht="14.25" customHeight="1" s="335">
      <c r="A94" s="416">
        <f>C94&amp;D94&amp;E94</f>
        <v/>
      </c>
      <c r="B94" s="416" t="inlineStr">
        <is>
          <t>Saoke_GIAINGAN</t>
        </is>
      </c>
      <c r="C94" s="416" t="inlineStr">
        <is>
          <t>SOURCE</t>
        </is>
      </c>
      <c r="D94" s="416" t="inlineStr">
        <is>
          <t>SAOKE_CRB</t>
        </is>
      </c>
      <c r="E94" s="416" t="inlineStr">
        <is>
          <t>AMOUNT_LCY</t>
        </is>
      </c>
      <c r="F94" s="417" t="inlineStr">
        <is>
          <t>1:1</t>
        </is>
      </c>
      <c r="G94" s="417" t="inlineStr">
        <is>
          <t>PG_BRONZE</t>
        </is>
      </c>
      <c r="H94" s="377" t="inlineStr">
        <is>
          <t>SOURCE_SAOKE_CRB</t>
        </is>
      </c>
      <c r="I94" s="377" t="inlineStr">
        <is>
          <t>AMOUNT_LCY</t>
        </is>
      </c>
      <c r="J94" s="417" t="inlineStr">
        <is>
          <t>PG_SILVER</t>
        </is>
      </c>
      <c r="K94" s="377" t="inlineStr">
        <is>
          <t>AMOUNT_LCY</t>
        </is>
      </c>
      <c r="L94" s="417" t="inlineStr">
        <is>
          <t>NUMBER(25.5)</t>
        </is>
      </c>
      <c r="M94" s="377" t="inlineStr">
        <is>
          <t>FROM PG_BRONZE.SOURCE_SAOKE_CRB crb WHERE crb.APP_CODE IN ('LD', 'PD') AND crb.TXN_DATE = ${ETL_DATE}</t>
        </is>
      </c>
      <c r="N94" s="377" t="inlineStr">
        <is>
          <t>COALESCE(CAST(crb.AMOUNT_LCY AS DECIMAL(25,5)), 0)</t>
        </is>
      </c>
      <c r="O94" s="377" t="inlineStr">
        <is>
          <t>Source -&gt; PG_BRONZE (1:1) -&gt; PG_SILVER (Temp 2)</t>
        </is>
      </c>
      <c r="P94" s="357" t="inlineStr">
        <is>
          <t>Dư Nợ quy đổi (Map từ PG_BRONZE.SOURCE_SAOKE_CRB.AMOUNT_LCY -&gt; PG_SILVER.Saoke_GIAINGAN.AMOUNT_LCY)</t>
        </is>
      </c>
    </row>
    <row r="95" ht="14.25" customHeight="1" s="335">
      <c r="A95" s="416">
        <f>C95&amp;D95&amp;E95</f>
        <v/>
      </c>
      <c r="B95" s="416" t="inlineStr">
        <is>
          <t>Saoke_GIAINGAN</t>
        </is>
      </c>
      <c r="C95" s="416" t="inlineStr">
        <is>
          <t>SOURCE</t>
        </is>
      </c>
      <c r="D95" s="416" t="inlineStr">
        <is>
          <t>SAOKE_CRB</t>
        </is>
      </c>
      <c r="E95" s="416" t="inlineStr">
        <is>
          <t>APP_CODE</t>
        </is>
      </c>
      <c r="F95" s="417" t="inlineStr">
        <is>
          <t>1:1</t>
        </is>
      </c>
      <c r="G95" s="417" t="inlineStr">
        <is>
          <t>PG_BRONZE</t>
        </is>
      </c>
      <c r="H95" s="377" t="inlineStr">
        <is>
          <t>SOURCE_SAOKE_CRB</t>
        </is>
      </c>
      <c r="I95" s="377" t="inlineStr">
        <is>
          <t>APP_CODE</t>
        </is>
      </c>
      <c r="J95" s="417" t="inlineStr">
        <is>
          <t>PG_SILVER</t>
        </is>
      </c>
      <c r="K95" s="377" t="inlineStr">
        <is>
          <t>APP_CODE</t>
        </is>
      </c>
      <c r="L95" s="417" t="inlineStr">
        <is>
          <t>VARCHAR2(100)</t>
        </is>
      </c>
      <c r="M95" s="377" t="inlineStr">
        <is>
          <t>FROM PG_BRONZE.SOURCE_SAOKE_CRB crb WHERE crb.APP_CODE IN ('LD', 'PD') AND crb.TXN_DATE = ${ETL_DATE}</t>
        </is>
      </c>
      <c r="N95" s="377" t="inlineStr">
        <is>
          <t>TRIM(crb.APP_CODE)</t>
        </is>
      </c>
      <c r="O95" s="377" t="inlineStr">
        <is>
          <t>Source -&gt; PG_BRONZE (1:1) -&gt; PG_SILVER (Temp 2)</t>
        </is>
      </c>
      <c r="P95" s="357" t="inlineStr">
        <is>
          <t>Mã phân hệ: LD, MD, AC, PD (Map từ PG_BRONZE.SOURCE_SAOKE_CRB.APP_CODE -&gt; PG_SILVER.Saoke_GIAINGAN.APP_CODE)</t>
        </is>
      </c>
    </row>
    <row r="96" ht="14.25" customHeight="1" s="335">
      <c r="A96" s="416">
        <f>C96&amp;D96&amp;E96</f>
        <v/>
      </c>
      <c r="B96" s="416" t="inlineStr">
        <is>
          <t>Saoke_GIAINGAN</t>
        </is>
      </c>
      <c r="C96" s="416" t="inlineStr">
        <is>
          <t>SOURCE</t>
        </is>
      </c>
      <c r="D96" s="416" t="inlineStr">
        <is>
          <t>SAOKE_CRB</t>
        </is>
      </c>
      <c r="E96" s="416" t="inlineStr">
        <is>
          <t>APP_ID</t>
        </is>
      </c>
      <c r="F96" s="417" t="inlineStr">
        <is>
          <t>1:1</t>
        </is>
      </c>
      <c r="G96" s="417" t="inlineStr">
        <is>
          <t>PG_BRONZE</t>
        </is>
      </c>
      <c r="H96" s="377" t="inlineStr">
        <is>
          <t>SOURCE_SAOKE_CRB</t>
        </is>
      </c>
      <c r="I96" s="377" t="inlineStr">
        <is>
          <t>APP_ID</t>
        </is>
      </c>
      <c r="J96" s="417" t="inlineStr">
        <is>
          <t>PG_SILVER</t>
        </is>
      </c>
      <c r="K96" s="377" t="inlineStr">
        <is>
          <t>APP_ID</t>
        </is>
      </c>
      <c r="L96" s="417" t="inlineStr">
        <is>
          <t>VARCHAR2(100)</t>
        </is>
      </c>
      <c r="M96" s="377" t="inlineStr">
        <is>
          <t>FROM PG_BRONZE.SOURCE_SAOKE_CRB crb WHERE crb.APP_CODE IN ('LD', 'PD') AND crb.TXN_DATE = ${ETL_DATE}</t>
        </is>
      </c>
      <c r="N96" s="377" t="inlineStr">
        <is>
          <t>TRIM(crb.APP_ID)</t>
        </is>
      </c>
      <c r="O96" s="377" t="inlineStr">
        <is>
          <t>Source -&gt; PG_BRONZE (1:1) -&gt; PG_SILVER (Temp 2)</t>
        </is>
      </c>
      <c r="P96" s="357" t="inlineStr">
        <is>
          <t>Mã hợp đồng (Map từ PG_BRONZE.SOURCE_SAOKE_CRB.APP_ID -&gt; PG_SILVER.Saoke_GIAINGAN.APP_ID)</t>
        </is>
      </c>
    </row>
    <row r="97" ht="14.25" customHeight="1" s="335">
      <c r="A97" s="416">
        <f>C97&amp;D97&amp;E97</f>
        <v/>
      </c>
      <c r="B97" s="416" t="inlineStr">
        <is>
          <t>Saoke_GIAINGAN</t>
        </is>
      </c>
      <c r="C97" s="416" t="inlineStr">
        <is>
          <t>T24CORE</t>
        </is>
      </c>
      <c r="D97" s="416" t="inlineStr">
        <is>
          <t>CUSTOMER</t>
        </is>
      </c>
      <c r="E97" s="416" t="inlineStr">
        <is>
          <t>ASSET_CLASS</t>
        </is>
      </c>
      <c r="F97" s="417" t="inlineStr">
        <is>
          <t>1:1</t>
        </is>
      </c>
      <c r="G97" s="417" t="inlineStr">
        <is>
          <t>PG_BRONZE</t>
        </is>
      </c>
      <c r="H97" s="377" t="inlineStr">
        <is>
          <t>T24CORE_CUSTOMER</t>
        </is>
      </c>
      <c r="I97" s="377" t="inlineStr">
        <is>
          <t>ASSET_CLASS</t>
        </is>
      </c>
      <c r="J97" s="417" t="inlineStr">
        <is>
          <t>PG_SILVER</t>
        </is>
      </c>
      <c r="K97" s="377" t="inlineStr">
        <is>
          <t>ASSET_CLASS</t>
        </is>
      </c>
      <c r="L97" s="417" t="inlineStr">
        <is>
          <t>VARCHAR2(100)</t>
        </is>
      </c>
      <c r="M97" s="377" t="inlineStr">
        <is>
          <t>LEFT JOIN PG_BRONZE.T24CORE_CUSTOMER cus ON crb.CUS_ID = cus.RECID</t>
        </is>
      </c>
      <c r="N97" s="377" t="inlineStr">
        <is>
          <t>TRIM(cus.ASSET_CLASS)</t>
        </is>
      </c>
      <c r="O97" s="377" t="inlineStr">
        <is>
          <t>Source -&gt; PG_BRONZE (1:1) -&gt; PG_SILVER (Temp 2)</t>
        </is>
      </c>
      <c r="P97" s="357" t="inlineStr">
        <is>
          <t>Nhóm nợ khách hàng Core tính (Map từ PG_BRONZE.T24CORE_CUSTOMER.ASSET_CLASS -&gt; PG_SILVER.Saoke_GIAINGAN.ASSET_CLASS)</t>
        </is>
      </c>
    </row>
    <row r="98" ht="14.25" customHeight="1" s="335">
      <c r="A98" s="416">
        <f>C98&amp;D98&amp;E98</f>
        <v/>
      </c>
      <c r="B98" s="416" t="inlineStr">
        <is>
          <t>Saoke_GIAINGAN</t>
        </is>
      </c>
      <c r="C98" s="416" t="inlineStr">
        <is>
          <t>SOURCE</t>
        </is>
      </c>
      <c r="D98" s="416" t="inlineStr">
        <is>
          <t>SAOKE_CRB</t>
        </is>
      </c>
      <c r="E98" s="416" t="inlineStr">
        <is>
          <t>ASSET_TYPE</t>
        </is>
      </c>
      <c r="F98" s="417" t="inlineStr">
        <is>
          <t>1:1</t>
        </is>
      </c>
      <c r="G98" s="417" t="inlineStr">
        <is>
          <t>PG_BRONZE</t>
        </is>
      </c>
      <c r="H98" s="377" t="inlineStr">
        <is>
          <t>SOURCE_SAOKE_CRB</t>
        </is>
      </c>
      <c r="I98" s="377" t="inlineStr">
        <is>
          <t>ASSET_TYPE</t>
        </is>
      </c>
      <c r="J98" s="417" t="inlineStr">
        <is>
          <t>PG_SILVER</t>
        </is>
      </c>
      <c r="K98" s="377" t="inlineStr">
        <is>
          <t>ASSET_TYPE</t>
        </is>
      </c>
      <c r="L98" s="417" t="inlineStr">
        <is>
          <t>VARCHAR2(100)</t>
        </is>
      </c>
      <c r="M98" s="377" t="inlineStr">
        <is>
          <t>FROM PG_BRONZE.SOURCE_SAOKE_CRB crb WHERE crb.APP_CODE IN ('LD', 'PD') AND crb.TXN_DATE = ${ETL_DATE}</t>
        </is>
      </c>
      <c r="N98" s="377" t="inlineStr">
        <is>
          <t>TRIM(crb.ASSET_TYPE)</t>
        </is>
      </c>
      <c r="O98" s="377" t="inlineStr">
        <is>
          <t>Source -&gt; PG_BRONZE (1:1) -&gt; PG_SILVER (Temp 2)</t>
        </is>
      </c>
      <c r="P98" s="357" t="inlineStr">
        <is>
          <t>Loại dư nợ, hạch toán (Map từ PG_BRONZE.SOURCE_SAOKE_CRB.ASSET_TYPE -&gt; PG_SILVER.Saoke_GIAINGAN.ASSET_TYPE)</t>
        </is>
      </c>
    </row>
    <row r="99" ht="14.25" customHeight="1" s="335">
      <c r="A99" s="416">
        <f>C99&amp;D99&amp;E99</f>
        <v/>
      </c>
      <c r="B99" s="416" t="inlineStr">
        <is>
          <t>Saoke_GIAINGAN</t>
        </is>
      </c>
      <c r="C99" s="416" t="inlineStr">
        <is>
          <t>SOURCE</t>
        </is>
      </c>
      <c r="D99" s="416" t="inlineStr">
        <is>
          <t>SAOKE_CRB</t>
        </is>
      </c>
      <c r="E99" s="416" t="inlineStr">
        <is>
          <t>CATEG_CODE</t>
        </is>
      </c>
      <c r="F99" s="417" t="inlineStr">
        <is>
          <t>1:1</t>
        </is>
      </c>
      <c r="G99" s="417" t="inlineStr">
        <is>
          <t>PG_BRONZE</t>
        </is>
      </c>
      <c r="H99" s="377" t="inlineStr">
        <is>
          <t>SOURCE_SAOKE_CRB</t>
        </is>
      </c>
      <c r="I99" s="377" t="inlineStr">
        <is>
          <t>CATEG_CODE</t>
        </is>
      </c>
      <c r="J99" s="417" t="inlineStr">
        <is>
          <t>PG_SILVER</t>
        </is>
      </c>
      <c r="K99" s="377" t="inlineStr">
        <is>
          <t>CATEG_CODE</t>
        </is>
      </c>
      <c r="L99" s="417" t="inlineStr">
        <is>
          <t>VARCHAR2(100)</t>
        </is>
      </c>
      <c r="M99" s="377" t="inlineStr">
        <is>
          <t>FROM PG_BRONZE.SOURCE_SAOKE_CRB crb WHERE crb.APP_CODE IN ('LD', 'PD') AND crb.TXN_DATE = ${ETL_DATE}</t>
        </is>
      </c>
      <c r="N99" s="377" t="inlineStr">
        <is>
          <t>TRIM(crb.CATEG_CODE)</t>
        </is>
      </c>
      <c r="O99" s="377" t="inlineStr">
        <is>
          <t>Source -&gt; PG_BRONZE (1:1) -&gt; PG_SILVER (Temp 2)</t>
        </is>
      </c>
      <c r="P99" s="357" t="inlineStr">
        <is>
          <t>Mã phân loại sản phẩm (Map từ PG_BRONZE.SOURCE_SAOKE_CRB.CATEG_CODE -&gt; PG_SILVER.Saoke_GIAINGAN.CATEG_CODE)</t>
        </is>
      </c>
    </row>
    <row r="100" ht="14.25" customHeight="1" s="335">
      <c r="A100" s="416">
        <f>C100&amp;D100&amp;E100</f>
        <v/>
      </c>
      <c r="B100" s="416" t="inlineStr">
        <is>
          <t>Saoke_GIAINGAN</t>
        </is>
      </c>
      <c r="C100" s="416" t="inlineStr">
        <is>
          <t>SOURCE</t>
        </is>
      </c>
      <c r="D100" s="416" t="inlineStr">
        <is>
          <t>SAOKE_CRB</t>
        </is>
      </c>
      <c r="E100" s="416" t="inlineStr">
        <is>
          <t>CO_CODE</t>
        </is>
      </c>
      <c r="F100" s="417" t="inlineStr">
        <is>
          <t>1:1</t>
        </is>
      </c>
      <c r="G100" s="417" t="inlineStr">
        <is>
          <t>PG_BRONZE</t>
        </is>
      </c>
      <c r="H100" s="377" t="inlineStr">
        <is>
          <t>SOURCE_SAOKE_CRB</t>
        </is>
      </c>
      <c r="I100" s="377" t="inlineStr">
        <is>
          <t>CO_CODE</t>
        </is>
      </c>
      <c r="J100" s="417" t="inlineStr">
        <is>
          <t>PG_SILVER</t>
        </is>
      </c>
      <c r="K100" s="377" t="inlineStr">
        <is>
          <t>CO_CODE</t>
        </is>
      </c>
      <c r="L100" s="417" t="inlineStr">
        <is>
          <t>VARCHAR2(100)</t>
        </is>
      </c>
      <c r="M100" s="377" t="inlineStr">
        <is>
          <t>FROM PG_BRONZE.SOURCE_SAOKE_CRB crb WHERE crb.APP_CODE IN ('LD', 'PD') AND crb.TXN_DATE = ${ETL_DATE}</t>
        </is>
      </c>
      <c r="N100" s="377" t="inlineStr">
        <is>
          <t>TRIM(crb.CO_CODE)</t>
        </is>
      </c>
      <c r="O100" s="377" t="inlineStr">
        <is>
          <t>Source -&gt; PG_BRONZE (1:1) -&gt; PG_SILVER (Temp 2)</t>
        </is>
      </c>
      <c r="P100" s="357" t="inlineStr">
        <is>
          <t>Mã chi nhánh hạch toán (Map từ PG_BRONZE.SOURCE_SAOKE_CRB.CO_CODE -&gt; PG_SILVER.Saoke_GIAINGAN.CO_CODE)</t>
        </is>
      </c>
    </row>
    <row r="101" ht="14.25" customHeight="1" s="335">
      <c r="A101" s="416">
        <f>C101&amp;D101&amp;E101</f>
        <v/>
      </c>
      <c r="B101" s="416" t="inlineStr">
        <is>
          <t>Saoke_GIAINGAN</t>
        </is>
      </c>
      <c r="C101" s="416" t="inlineStr">
        <is>
          <t>SOURCE</t>
        </is>
      </c>
      <c r="D101" s="416" t="inlineStr">
        <is>
          <t>SAOKE_CRB</t>
        </is>
      </c>
      <c r="E101" s="416" t="inlineStr">
        <is>
          <t>CURR</t>
        </is>
      </c>
      <c r="F101" s="417" t="inlineStr">
        <is>
          <t>1:1</t>
        </is>
      </c>
      <c r="G101" s="417" t="inlineStr">
        <is>
          <t>PG_BRONZE</t>
        </is>
      </c>
      <c r="H101" s="377" t="inlineStr">
        <is>
          <t>SOURCE_SAOKE_CRB</t>
        </is>
      </c>
      <c r="I101" s="377" t="inlineStr">
        <is>
          <t>CURR</t>
        </is>
      </c>
      <c r="J101" s="417" t="inlineStr">
        <is>
          <t>PG_SILVER</t>
        </is>
      </c>
      <c r="K101" s="377" t="inlineStr">
        <is>
          <t>CURR</t>
        </is>
      </c>
      <c r="L101" s="417" t="inlineStr">
        <is>
          <t>VARCHAR2(100)</t>
        </is>
      </c>
      <c r="M101" s="377" t="inlineStr">
        <is>
          <t>FROM PG_BRONZE.SOURCE_SAOKE_CRB crb WHERE crb.APP_CODE IN ('LD', 'PD') AND crb.TXN_DATE = ${ETL_DATE}</t>
        </is>
      </c>
      <c r="N101" s="377" t="inlineStr">
        <is>
          <t>TRIM(crb.CURR)</t>
        </is>
      </c>
      <c r="O101" s="377" t="inlineStr">
        <is>
          <t>Source -&gt; PG_BRONZE (1:1) -&gt; PG_SILVER (Temp 2)</t>
        </is>
      </c>
      <c r="P101" s="357" t="inlineStr">
        <is>
          <t>Loại tiền (Map từ PG_BRONZE.SOURCE_SAOKE_CRB.CURR -&gt; PG_SILVER.Saoke_GIAINGAN.CURR)</t>
        </is>
      </c>
    </row>
    <row r="102" ht="14.25" customHeight="1" s="335">
      <c r="A102" s="416">
        <f>C102&amp;D102&amp;E102</f>
        <v/>
      </c>
      <c r="B102" s="416" t="inlineStr">
        <is>
          <t>Saoke_GIAINGAN</t>
        </is>
      </c>
      <c r="C102" s="416" t="inlineStr">
        <is>
          <t>SOURCE</t>
        </is>
      </c>
      <c r="D102" s="416" t="inlineStr">
        <is>
          <t>SAOKE_CRB</t>
        </is>
      </c>
      <c r="E102" s="416" t="inlineStr">
        <is>
          <t>CUS_ID</t>
        </is>
      </c>
      <c r="F102" s="417" t="inlineStr">
        <is>
          <t>1:1</t>
        </is>
      </c>
      <c r="G102" s="417" t="inlineStr">
        <is>
          <t>PG_BRONZE</t>
        </is>
      </c>
      <c r="H102" s="377" t="inlineStr">
        <is>
          <t>SOURCE_SAOKE_CRB</t>
        </is>
      </c>
      <c r="I102" s="377" t="inlineStr">
        <is>
          <t>CUS_ID</t>
        </is>
      </c>
      <c r="J102" s="417" t="inlineStr">
        <is>
          <t>PG_SILVER</t>
        </is>
      </c>
      <c r="K102" s="377" t="inlineStr">
        <is>
          <t>CUS_ID</t>
        </is>
      </c>
      <c r="L102" s="417" t="inlineStr">
        <is>
          <t>VARCHAR2(100)</t>
        </is>
      </c>
      <c r="M102" s="377" t="inlineStr">
        <is>
          <t>FROM PG_BRONZE.SOURCE_SAOKE_CRB crb WHERE crb.APP_CODE IN ('LD', 'PD') AND crb.TXN_DATE = ${ETL_DATE}</t>
        </is>
      </c>
      <c r="N102" s="377" t="inlineStr">
        <is>
          <t>TRIM(crb.CUS_ID)</t>
        </is>
      </c>
      <c r="O102" s="377" t="inlineStr">
        <is>
          <t>Source -&gt; PG_BRONZE (1:1) -&gt; PG_SILVER (Temp 2)</t>
        </is>
      </c>
      <c r="P102" s="357" t="inlineStr">
        <is>
          <t>Mã khách hàng (Map từ PG_BRONZE.SOURCE_SAOKE_CRB.CUS_ID -&gt; PG_SILVER.Saoke_GIAINGAN.CUS_ID)</t>
        </is>
      </c>
    </row>
    <row r="103" ht="14.25" customHeight="1" s="335">
      <c r="A103" s="416">
        <f>C103&amp;D103&amp;E103</f>
        <v/>
      </c>
      <c r="B103" s="416" t="inlineStr">
        <is>
          <t>Saoke_GIAINGAN</t>
        </is>
      </c>
      <c r="C103" s="416" t="inlineStr">
        <is>
          <t>SOURCE</t>
        </is>
      </c>
      <c r="D103" s="416" t="inlineStr">
        <is>
          <t>SAOKE_CRB</t>
        </is>
      </c>
      <c r="E103" s="416" t="inlineStr">
        <is>
          <t>DATE</t>
        </is>
      </c>
      <c r="F103" s="417" t="inlineStr">
        <is>
          <t>1:1</t>
        </is>
      </c>
      <c r="G103" s="417" t="inlineStr">
        <is>
          <t>PG_BRONZE</t>
        </is>
      </c>
      <c r="H103" s="377" t="inlineStr">
        <is>
          <t>SOURCE_SAOKE_CRB</t>
        </is>
      </c>
      <c r="I103" s="377" t="inlineStr">
        <is>
          <t>DATE</t>
        </is>
      </c>
      <c r="J103" s="417" t="inlineStr">
        <is>
          <t>PG_SILVER</t>
        </is>
      </c>
      <c r="K103" s="377" t="inlineStr">
        <is>
          <t>DATE</t>
        </is>
      </c>
      <c r="L103" s="417" t="inlineStr">
        <is>
          <t>DATE</t>
        </is>
      </c>
      <c r="M103" s="377" t="inlineStr">
        <is>
          <t>FROM PG_BRONZE.SOURCE_SAOKE_CRB crb WHERE crb.APP_CODE IN ('LD', 'PD') AND crb.TXN_DATE = ${ETL_DATE}</t>
        </is>
      </c>
      <c r="N103" s="377" t="inlineStr">
        <is>
          <t>TO_DATE(CAST(crb.DATE AS VARCHAR(20)), 'YYYYMMDD')</t>
        </is>
      </c>
      <c r="O103" s="377" t="inlineStr">
        <is>
          <t>Source -&gt; PG_BRONZE (1:1) -&gt; PG_SILVER (Temp 2)</t>
        </is>
      </c>
      <c r="P103" s="357" t="inlineStr">
        <is>
          <t>Ngày giao dịch YYYYMMDD (Map từ PG_BRONZE.SOURCE_SAOKE_CRB.DATE -&gt; PG_SILVER.Saoke_GIAINGAN.DATE)</t>
        </is>
      </c>
    </row>
    <row r="104" ht="14.25" customHeight="1" s="335">
      <c r="A104" s="416">
        <f>C104&amp;D104&amp;E104</f>
        <v/>
      </c>
      <c r="B104" s="416" t="inlineStr">
        <is>
          <t>Saoke_GIAINGAN</t>
        </is>
      </c>
      <c r="C104" s="416" t="inlineStr">
        <is>
          <t>SOURCE</t>
        </is>
      </c>
      <c r="D104" s="416" t="inlineStr">
        <is>
          <t>SAOKE_CRB</t>
        </is>
      </c>
      <c r="E104" s="416" t="inlineStr">
        <is>
          <t>LOC_TERM</t>
        </is>
      </c>
      <c r="F104" s="417" t="inlineStr">
        <is>
          <t>1:1</t>
        </is>
      </c>
      <c r="G104" s="417" t="inlineStr">
        <is>
          <t>PG_BRONZE</t>
        </is>
      </c>
      <c r="H104" s="377" t="inlineStr">
        <is>
          <t>SOURCE_SAOKE_CRB</t>
        </is>
      </c>
      <c r="I104" s="377" t="inlineStr">
        <is>
          <t>LOC_TERM</t>
        </is>
      </c>
      <c r="J104" s="417" t="inlineStr">
        <is>
          <t>PG_SILVER</t>
        </is>
      </c>
      <c r="K104" s="377" t="inlineStr">
        <is>
          <t>LOC_TERM</t>
        </is>
      </c>
      <c r="L104" s="417" t="inlineStr">
        <is>
          <t>VARCHAR2(100)</t>
        </is>
      </c>
      <c r="M104" s="377" t="inlineStr">
        <is>
          <t>FROM PG_BRONZE.SOURCE_SAOKE_CRB crb WHERE crb.APP_CODE IN ('LD', 'PD') AND crb.TXN_DATE = ${ETL_DATE}</t>
        </is>
      </c>
      <c r="N104" s="377" t="inlineStr">
        <is>
          <t>TRIM(crb.LOC_TERM)</t>
        </is>
      </c>
      <c r="O104" s="377" t="inlineStr">
        <is>
          <t>Source -&gt; PG_BRONZE (1:1) -&gt; PG_SILVER (Temp 2)</t>
        </is>
      </c>
      <c r="P104" s="357" t="inlineStr">
        <is>
          <t>Trường LOC_TERM của bảng nguồn SOURCE.SAOKE_CRB (Map từ PG_BRONZE.SOURCE_SAOKE_CRB.LOC_TERM -&gt; PG_SILVER.Saoke_GIAINGAN.LOC_TERM)</t>
        </is>
      </c>
    </row>
    <row r="105" ht="14.25" customHeight="1" s="335">
      <c r="A105" s="416">
        <f>C105&amp;D105&amp;E105</f>
        <v/>
      </c>
      <c r="B105" s="416" t="inlineStr">
        <is>
          <t>Saoke_GIAINGAN</t>
        </is>
      </c>
      <c r="C105" s="416" t="inlineStr">
        <is>
          <t>SOURCE</t>
        </is>
      </c>
      <c r="D105" s="416" t="inlineStr">
        <is>
          <t>SAOKE_CRB</t>
        </is>
      </c>
      <c r="E105" s="416" t="inlineStr">
        <is>
          <t>MAT_DATE</t>
        </is>
      </c>
      <c r="F105" s="417" t="inlineStr">
        <is>
          <t>1:1</t>
        </is>
      </c>
      <c r="G105" s="417" t="inlineStr">
        <is>
          <t>PG_BRONZE</t>
        </is>
      </c>
      <c r="H105" s="377" t="inlineStr">
        <is>
          <t>SOURCE_SAOKE_CRB</t>
        </is>
      </c>
      <c r="I105" s="377" t="inlineStr">
        <is>
          <t>MAT_DATE</t>
        </is>
      </c>
      <c r="J105" s="417" t="inlineStr">
        <is>
          <t>PG_SILVER</t>
        </is>
      </c>
      <c r="K105" s="377" t="inlineStr">
        <is>
          <t>MAT_DATE</t>
        </is>
      </c>
      <c r="L105" s="417" t="inlineStr">
        <is>
          <t>DATE</t>
        </is>
      </c>
      <c r="M105" s="377" t="inlineStr">
        <is>
          <t>FROM PG_BRONZE.SOURCE_SAOKE_CRB crb WHERE crb.APP_CODE IN ('LD', 'PD') AND crb.TXN_DATE = ${ETL_DATE}</t>
        </is>
      </c>
      <c r="N105" s="377" t="inlineStr">
        <is>
          <t>TO_DATE(CAST(crb.MAT_DATE AS VARCHAR(20)), 'YYYYMMDD')</t>
        </is>
      </c>
      <c r="O105" s="377" t="inlineStr">
        <is>
          <t>Source -&gt; PG_BRONZE (1:1) -&gt; PG_SILVER (Temp 2)</t>
        </is>
      </c>
      <c r="P105" s="357" t="inlineStr">
        <is>
          <t>Ngày đáo hạn hợp đồng (Map từ PG_BRONZE.SOURCE_SAOKE_CRB.MAT_DATE -&gt; PG_SILVER.Saoke_GIAINGAN.MAT_DATE)</t>
        </is>
      </c>
    </row>
    <row r="106" ht="14.25" customHeight="1" s="335">
      <c r="A106" s="416">
        <f>C106&amp;D106&amp;E106</f>
        <v/>
      </c>
      <c r="B106" s="416" t="inlineStr">
        <is>
          <t>Saoke_GIAINGAN</t>
        </is>
      </c>
      <c r="C106" s="416" t="inlineStr">
        <is>
          <t>SOURCE</t>
        </is>
      </c>
      <c r="D106" s="416" t="inlineStr">
        <is>
          <t>SAOKE_CRB</t>
        </is>
      </c>
      <c r="E106" s="416" t="inlineStr">
        <is>
          <t>SBV_CODE</t>
        </is>
      </c>
      <c r="F106" s="417" t="inlineStr">
        <is>
          <t>1:1</t>
        </is>
      </c>
      <c r="G106" s="417" t="inlineStr">
        <is>
          <t>PG_BRONZE</t>
        </is>
      </c>
      <c r="H106" s="377" t="inlineStr">
        <is>
          <t>SOURCE_SAOKE_CRB</t>
        </is>
      </c>
      <c r="I106" s="377" t="inlineStr">
        <is>
          <t>SBV_CODE</t>
        </is>
      </c>
      <c r="J106" s="417" t="inlineStr">
        <is>
          <t>PG_SILVER</t>
        </is>
      </c>
      <c r="K106" s="377" t="inlineStr">
        <is>
          <t>SBV_CODE</t>
        </is>
      </c>
      <c r="L106" s="417" t="inlineStr">
        <is>
          <t>VARCHAR2(100)</t>
        </is>
      </c>
      <c r="M106" s="377" t="inlineStr">
        <is>
          <t>FROM PG_BRONZE.SOURCE_SAOKE_CRB crb WHERE crb.APP_CODE IN ('LD', 'PD') AND crb.TXN_DATE = ${ETL_DATE}</t>
        </is>
      </c>
      <c r="N106" s="377" t="inlineStr">
        <is>
          <t>TRIM(crb.SBV_CODE)</t>
        </is>
      </c>
      <c r="O106" s="377" t="inlineStr">
        <is>
          <t>Source -&gt; PG_BRONZE (1:1) -&gt; PG_SILVER (Temp 2)</t>
        </is>
      </c>
      <c r="P106" s="357" t="inlineStr">
        <is>
          <t>Mã hạch toán theo SBV (Map từ PG_BRONZE.SOURCE_SAOKE_CRB.SBV_CODE -&gt; PG_SILVER.Saoke_GIAINGAN.SBV_CODE)</t>
        </is>
      </c>
    </row>
    <row r="107" ht="14.25" customHeight="1" s="335">
      <c r="A107" s="416">
        <f>C107&amp;D107&amp;E107</f>
        <v/>
      </c>
      <c r="B107" s="416" t="inlineStr">
        <is>
          <t>Saoke_GIAINGAN</t>
        </is>
      </c>
      <c r="C107" s="416" t="inlineStr">
        <is>
          <t>SOURCE</t>
        </is>
      </c>
      <c r="D107" s="416" t="inlineStr">
        <is>
          <t>SAOKE_CRB</t>
        </is>
      </c>
      <c r="E107" s="416" t="inlineStr">
        <is>
          <t>SUB_PRO</t>
        </is>
      </c>
      <c r="F107" s="417" t="inlineStr">
        <is>
          <t>1:1</t>
        </is>
      </c>
      <c r="G107" s="417" t="inlineStr">
        <is>
          <t>PG_BRONZE</t>
        </is>
      </c>
      <c r="H107" s="377" t="inlineStr">
        <is>
          <t>SOURCE_SAOKE_CRB</t>
        </is>
      </c>
      <c r="I107" s="377" t="inlineStr">
        <is>
          <t>SUB_PRO</t>
        </is>
      </c>
      <c r="J107" s="417" t="inlineStr">
        <is>
          <t>PG_SILVER</t>
        </is>
      </c>
      <c r="K107" s="377" t="inlineStr">
        <is>
          <t>SUB_PRO</t>
        </is>
      </c>
      <c r="L107" s="417" t="inlineStr">
        <is>
          <t>VARCHAR2(100)</t>
        </is>
      </c>
      <c r="M107" s="377" t="inlineStr">
        <is>
          <t>FROM PG_BRONZE.SOURCE_SAOKE_CRB crb WHERE crb.APP_CODE IN ('LD', 'PD') AND crb.TXN_DATE = ${ETL_DATE}</t>
        </is>
      </c>
      <c r="N107" s="377" t="inlineStr">
        <is>
          <t>TRIM(crb.SUB_PRO)</t>
        </is>
      </c>
      <c r="O107" s="377" t="inlineStr">
        <is>
          <t>Source -&gt; PG_BRONZE (1:1) -&gt; PG_SILVER (Temp 2)</t>
        </is>
      </c>
      <c r="P107" s="357" t="inlineStr">
        <is>
          <t>Mã sản phẩm con (Map từ PG_BRONZE.SOURCE_SAOKE_CRB.SUB_PRO -&gt; PG_SILVER.Saoke_GIAINGAN.SUB_PRO)</t>
        </is>
      </c>
    </row>
    <row r="108" ht="14.25" customHeight="1" s="335">
      <c r="A108" s="416">
        <f>C108&amp;D108&amp;E108</f>
        <v/>
      </c>
      <c r="B108" s="416" t="inlineStr">
        <is>
          <t>Saoke_GIAINGAN</t>
        </is>
      </c>
      <c r="C108" s="416" t="inlineStr">
        <is>
          <t>SOURCE</t>
        </is>
      </c>
      <c r="D108" s="416" t="inlineStr">
        <is>
          <t>SAOKE_CRB</t>
        </is>
      </c>
      <c r="E108" s="416" t="inlineStr">
        <is>
          <t>TXN_DATE</t>
        </is>
      </c>
      <c r="F108" s="417" t="inlineStr">
        <is>
          <t>1:1</t>
        </is>
      </c>
      <c r="G108" s="417" t="inlineStr">
        <is>
          <t>PG_BRONZE</t>
        </is>
      </c>
      <c r="H108" s="377" t="inlineStr">
        <is>
          <t>SOURCE_SAOKE_CRB</t>
        </is>
      </c>
      <c r="I108" s="377" t="inlineStr">
        <is>
          <t>TXN_DATE</t>
        </is>
      </c>
      <c r="J108" s="417" t="inlineStr">
        <is>
          <t>PG_SILVER</t>
        </is>
      </c>
      <c r="K108" s="377" t="inlineStr">
        <is>
          <t>TXN_DATE</t>
        </is>
      </c>
      <c r="L108" s="417" t="inlineStr">
        <is>
          <t>DATE</t>
        </is>
      </c>
      <c r="M108" s="377" t="inlineStr">
        <is>
          <t>FROM PG_BRONZE.SOURCE_SAOKE_CRB crb WHERE crb.APP_CODE IN ('LD', 'PD') AND crb.TXN_DATE = ${ETL_DATE}</t>
        </is>
      </c>
      <c r="N108" s="377" t="inlineStr">
        <is>
          <t>TO_DATE(CAST(crb.TXN_DATE AS VARCHAR(20)), 'YYYYMMDD')</t>
        </is>
      </c>
      <c r="O108" s="377" t="inlineStr">
        <is>
          <t>Source -&gt; PG_BRONZE (1:1) -&gt; PG_SILVER (Temp 2)</t>
        </is>
      </c>
      <c r="P108" s="357" t="inlineStr">
        <is>
          <t>Ngày giao dịch (Map từ PG_BRONZE.SOURCE_SAOKE_CRB.TXN_DATE -&gt; PG_SILVER.Saoke_GIAINGAN.TXN_DATE)</t>
        </is>
      </c>
    </row>
    <row r="109" ht="14.25" customHeight="1" s="335">
      <c r="A109" s="416">
        <f>C109&amp;D109&amp;E109</f>
        <v/>
      </c>
      <c r="B109" s="416" t="inlineStr">
        <is>
          <t>Saoke_GIAINGAN</t>
        </is>
      </c>
      <c r="C109" s="416" t="inlineStr">
        <is>
          <t>SOURCE</t>
        </is>
      </c>
      <c r="D109" s="416" t="inlineStr">
        <is>
          <t>SAOKE_CRB</t>
        </is>
      </c>
      <c r="E109" s="416" t="inlineStr">
        <is>
          <t>VAL_DATE</t>
        </is>
      </c>
      <c r="F109" s="417" t="inlineStr">
        <is>
          <t>1:1</t>
        </is>
      </c>
      <c r="G109" s="417" t="inlineStr">
        <is>
          <t>PG_BRONZE</t>
        </is>
      </c>
      <c r="H109" s="377" t="inlineStr">
        <is>
          <t>SOURCE_SAOKE_CRB</t>
        </is>
      </c>
      <c r="I109" s="377" t="inlineStr">
        <is>
          <t>VAL_DATE</t>
        </is>
      </c>
      <c r="J109" s="417" t="inlineStr">
        <is>
          <t>PG_SILVER</t>
        </is>
      </c>
      <c r="K109" s="377" t="inlineStr">
        <is>
          <t>VAL_DATE</t>
        </is>
      </c>
      <c r="L109" s="417" t="inlineStr">
        <is>
          <t>DATE</t>
        </is>
      </c>
      <c r="M109" s="377" t="inlineStr">
        <is>
          <t>FROM PG_BRONZE.SOURCE_SAOKE_CRB crb WHERE crb.APP_CODE IN ('LD', 'PD') AND crb.TXN_DATE = ${ETL_DATE}</t>
        </is>
      </c>
      <c r="N109" s="377" t="inlineStr">
        <is>
          <t>TO_DATE(CAST(crb.VAL_DATE AS VARCHAR(20)), 'YYYYMMDD')</t>
        </is>
      </c>
      <c r="O109" s="377" t="inlineStr">
        <is>
          <t>Source -&gt; PG_BRONZE (1:1) -&gt; PG_SILVER (Temp 2)</t>
        </is>
      </c>
      <c r="P109" s="357" t="inlineStr">
        <is>
          <t>Ngày hiệu lực hợp đồng (Map từ PG_BRONZE.SOURCE_SAOKE_CRB.VAL_DATE -&gt; PG_SILVER.Saoke_GIAINGAN.VAL_DATE)</t>
        </is>
      </c>
    </row>
    <row r="110" ht="14.25" customHeight="1" s="335">
      <c r="A110" s="416">
        <f>C110&amp;D110&amp;E110</f>
        <v/>
      </c>
      <c r="B110" s="416" t="inlineStr">
        <is>
          <t>Saoke_GIAINGAN</t>
        </is>
      </c>
      <c r="C110" s="416" t="inlineStr">
        <is>
          <t>SOURCE</t>
        </is>
      </c>
      <c r="D110" s="416" t="inlineStr">
        <is>
          <t>SAOKE_MVMT</t>
        </is>
      </c>
      <c r="E110" s="416" t="inlineStr">
        <is>
          <t>SBV_CODE</t>
        </is>
      </c>
      <c r="F110" s="417" t="inlineStr">
        <is>
          <t>1:1</t>
        </is>
      </c>
      <c r="G110" s="417" t="inlineStr">
        <is>
          <t>PG_BRONZE</t>
        </is>
      </c>
      <c r="H110" s="377" t="inlineStr">
        <is>
          <t>SOURCE_SAOKE_MVMT</t>
        </is>
      </c>
      <c r="I110" s="377" t="inlineStr">
        <is>
          <t>SBV_CODE</t>
        </is>
      </c>
      <c r="J110" s="417" t="inlineStr">
        <is>
          <t>PG_SILVER</t>
        </is>
      </c>
      <c r="K110" s="377" t="inlineStr">
        <is>
          <t>MVMT_SBV_CODE</t>
        </is>
      </c>
      <c r="L110" s="417" t="inlineStr">
        <is>
          <t>VARCHAR2(100)</t>
        </is>
      </c>
      <c r="M110" s="377" t="inlineStr">
        <is>
          <t>LEFT JOIN PG_BRONZE.SOURCE_SAOKE_MVMT mvmt ON crb.APP_ID = mvmt.TRANS_REF</t>
        </is>
      </c>
      <c r="N110" s="377" t="inlineStr">
        <is>
          <t>TRIM(mvmt.SBV_CODE)</t>
        </is>
      </c>
      <c r="O110" s="377" t="inlineStr">
        <is>
          <t>Source -&gt; PG_BRONZE (1:1) -&gt; PG_SILVER (Temp 2)</t>
        </is>
      </c>
      <c r="P110" s="357" t="inlineStr">
        <is>
          <t>Mã hạch toán theo SBV (Map từ PG_BRONZE.SOURCE_SAOKE_MVMT.SBV_CODE -&gt; PG_SILVER.Saoke_GIAINGAN.MVMT_SBV_CODE)</t>
        </is>
      </c>
    </row>
    <row r="111" ht="14.25" customHeight="1" s="335">
      <c r="A111" s="416">
        <f>C111&amp;D111&amp;E111</f>
        <v/>
      </c>
      <c r="B111" s="416" t="inlineStr">
        <is>
          <t>Saoke_GIAINGAN</t>
        </is>
      </c>
      <c r="C111" s="416" t="inlineStr">
        <is>
          <t>SOURCE</t>
        </is>
      </c>
      <c r="D111" s="416" t="inlineStr">
        <is>
          <t>SAOKE_MVMT</t>
        </is>
      </c>
      <c r="E111" s="416" t="inlineStr">
        <is>
          <t>TRANS_REF</t>
        </is>
      </c>
      <c r="F111" s="417" t="inlineStr">
        <is>
          <t>1:1</t>
        </is>
      </c>
      <c r="G111" s="417" t="inlineStr">
        <is>
          <t>PG_BRONZE</t>
        </is>
      </c>
      <c r="H111" s="377" t="inlineStr">
        <is>
          <t>SOURCE_SAOKE_MVMT</t>
        </is>
      </c>
      <c r="I111" s="377" t="inlineStr">
        <is>
          <t>TRANS_REF</t>
        </is>
      </c>
      <c r="J111" s="417" t="inlineStr">
        <is>
          <t>PG_SILVER</t>
        </is>
      </c>
      <c r="K111" s="377" t="inlineStr">
        <is>
          <t>TRANS_REF</t>
        </is>
      </c>
      <c r="L111" s="417" t="inlineStr">
        <is>
          <t>VARCHAR2(100)</t>
        </is>
      </c>
      <c r="M111" s="377" t="inlineStr">
        <is>
          <t>LEFT JOIN PG_BRONZE.SOURCE_SAOKE_MVMT mvmt ON crb.APP_ID = mvmt.TRANS_REF</t>
        </is>
      </c>
      <c r="N111" s="377" t="inlineStr">
        <is>
          <t>TRIM(mvmt.TRANS_REF)</t>
        </is>
      </c>
      <c r="O111" s="377" t="inlineStr">
        <is>
          <t>Source -&gt; PG_BRONZE (1:1) -&gt; PG_SILVER (Temp 2)</t>
        </is>
      </c>
      <c r="P111" s="357" t="inlineStr">
        <is>
          <t>Mã tham chiếu giao dịch (Map từ PG_BRONZE.SOURCE_SAOKE_MVMT.TRANS_REF -&gt; PG_SILVER.Saoke_GIAINGAN.TRANS_REF)</t>
        </is>
      </c>
    </row>
    <row r="112" ht="14.25" customHeight="1" s="335">
      <c r="A112" s="416">
        <f>C112&amp;D112&amp;E112</f>
        <v/>
      </c>
      <c r="B112" s="416" t="inlineStr">
        <is>
          <t>Saoke_GIAINGAN</t>
        </is>
      </c>
      <c r="C112" s="416" t="inlineStr">
        <is>
          <t>SOURCE</t>
        </is>
      </c>
      <c r="D112" s="416" t="inlineStr">
        <is>
          <t>SAOKE_MVMT</t>
        </is>
      </c>
      <c r="E112" s="416" t="inlineStr">
        <is>
          <t>TXN_DATE</t>
        </is>
      </c>
      <c r="F112" s="417" t="inlineStr">
        <is>
          <t>1:1</t>
        </is>
      </c>
      <c r="G112" s="417" t="inlineStr">
        <is>
          <t>PG_BRONZE</t>
        </is>
      </c>
      <c r="H112" s="377" t="inlineStr">
        <is>
          <t>SOURCE_SAOKE_MVMT</t>
        </is>
      </c>
      <c r="I112" s="377" t="inlineStr">
        <is>
          <t>TXN_DATE</t>
        </is>
      </c>
      <c r="J112" s="417" t="inlineStr">
        <is>
          <t>PG_SILVER</t>
        </is>
      </c>
      <c r="K112" s="377" t="inlineStr">
        <is>
          <t>MVMT_TXN_DATE</t>
        </is>
      </c>
      <c r="L112" s="417" t="inlineStr">
        <is>
          <t>DATE</t>
        </is>
      </c>
      <c r="M112" s="377" t="inlineStr">
        <is>
          <t>LEFT JOIN PG_BRONZE.SOURCE_SAOKE_MVMT mvmt ON crb.APP_ID = mvmt.TRANS_REF</t>
        </is>
      </c>
      <c r="N112" s="377" t="inlineStr">
        <is>
          <t>TO_DATE(CAST(mvmt.TXN_DATE AS VARCHAR(20)), 'YYYYMMDD')</t>
        </is>
      </c>
      <c r="O112" s="377" t="inlineStr">
        <is>
          <t>Source -&gt; PG_BRONZE (1:1) -&gt; PG_SILVER (Temp 2)</t>
        </is>
      </c>
      <c r="P112" s="357" t="inlineStr">
        <is>
          <t>Ngày thực hiện giao dịch (Map từ PG_BRONZE.SOURCE_SAOKE_MVMT.TXN_DATE -&gt; PG_SILVER.Saoke_GIAINGAN.MVMT_TXN_DATE)</t>
        </is>
      </c>
    </row>
    <row r="113" ht="14.25" customHeight="1" s="335">
      <c r="A113" s="416">
        <f>C113&amp;D113&amp;E113</f>
        <v/>
      </c>
      <c r="B113" s="416" t="inlineStr">
        <is>
          <t>Saoke_GIAINGAN</t>
        </is>
      </c>
      <c r="C113" s="416" t="inlineStr">
        <is>
          <t>T24CORE</t>
        </is>
      </c>
      <c r="D113" s="416" t="inlineStr">
        <is>
          <t>COMPANY</t>
        </is>
      </c>
      <c r="E113" s="416" t="inlineStr">
        <is>
          <t>COMPANY_NAME</t>
        </is>
      </c>
      <c r="F113" s="417" t="inlineStr">
        <is>
          <t>1:1</t>
        </is>
      </c>
      <c r="G113" s="417" t="inlineStr">
        <is>
          <t>PG_BRONZE</t>
        </is>
      </c>
      <c r="H113" s="377" t="inlineStr">
        <is>
          <t>T24CORE_COMPANY</t>
        </is>
      </c>
      <c r="I113" s="377" t="inlineStr">
        <is>
          <t>COMPANY_NAME</t>
        </is>
      </c>
      <c r="J113" s="417" t="inlineStr">
        <is>
          <t>PG_SILVER</t>
        </is>
      </c>
      <c r="K113" s="377" t="inlineStr">
        <is>
          <t>COMPANY_NAME</t>
        </is>
      </c>
      <c r="L113" s="417" t="inlineStr">
        <is>
          <t>VARCHAR2(255)</t>
        </is>
      </c>
      <c r="M113" s="377" t="inlineStr">
        <is>
          <t>LEFT JOIN PG_BRONZE.T24CORE_COMPANY comp ON crb.CO_CODE = comp.RECID</t>
        </is>
      </c>
      <c r="N113" s="377" t="inlineStr">
        <is>
          <t>TRIM(comp.COMPANY_NAME)</t>
        </is>
      </c>
      <c r="O113" s="377" t="inlineStr">
        <is>
          <t>Source -&gt; PG_BRONZE (1:1) -&gt; PG_SILVER (Temp 2)</t>
        </is>
      </c>
      <c r="P113" s="357" t="inlineStr">
        <is>
          <t>Tên chi nhánh (Map từ PG_BRONZE.T24CORE_COMPANY.COMPANY_NAME -&gt; PG_SILVER.Saoke_GIAINGAN.COMPANY_NAME)</t>
        </is>
      </c>
    </row>
    <row r="114" ht="14.25" customHeight="1" s="335">
      <c r="A114" s="416">
        <f>C114&amp;D114&amp;E114</f>
        <v/>
      </c>
      <c r="B114" s="416" t="inlineStr">
        <is>
          <t>Saoke_GIAINGAN</t>
        </is>
      </c>
      <c r="C114" s="416" t="inlineStr">
        <is>
          <t>T24CORE</t>
        </is>
      </c>
      <c r="D114" s="416" t="inlineStr">
        <is>
          <t>COMPANY</t>
        </is>
      </c>
      <c r="E114" s="416" t="inlineStr">
        <is>
          <t>RECID</t>
        </is>
      </c>
      <c r="F114" s="417" t="inlineStr">
        <is>
          <t>1:1</t>
        </is>
      </c>
      <c r="G114" s="417" t="inlineStr">
        <is>
          <t>PG_BRONZE</t>
        </is>
      </c>
      <c r="H114" s="377" t="inlineStr">
        <is>
          <t>T24CORE_COMPANY</t>
        </is>
      </c>
      <c r="I114" s="377" t="inlineStr">
        <is>
          <t>RECID</t>
        </is>
      </c>
      <c r="J114" s="417" t="inlineStr">
        <is>
          <t>PG_SILVER</t>
        </is>
      </c>
      <c r="K114" s="377" t="inlineStr">
        <is>
          <t>COMP_RECID</t>
        </is>
      </c>
      <c r="L114" s="417" t="inlineStr">
        <is>
          <t>VARCHAR2(100)</t>
        </is>
      </c>
      <c r="M114" s="377" t="inlineStr">
        <is>
          <t>LEFT JOIN PG_BRONZE.T24CORE_COMPANY comp ON crb.CO_CODE = comp.RECID</t>
        </is>
      </c>
      <c r="N114" s="377" t="inlineStr">
        <is>
          <t>TRIM(comp.RECID)</t>
        </is>
      </c>
      <c r="O114" s="377" t="inlineStr">
        <is>
          <t>Source -&gt; PG_BRONZE (1:1) -&gt; PG_SILVER (Temp 2)</t>
        </is>
      </c>
      <c r="P114" s="357" t="inlineStr">
        <is>
          <t>Mã chi nhánh (Map từ PG_BRONZE.T24CORE_COMPANY.RECID -&gt; PG_SILVER.Saoke_GIAINGAN.COMP_RECID)</t>
        </is>
      </c>
    </row>
    <row r="115" ht="14.25" customHeight="1" s="335">
      <c r="A115" s="416">
        <f>C115&amp;D115&amp;E115</f>
        <v/>
      </c>
      <c r="B115" s="416" t="inlineStr">
        <is>
          <t>Saoke_GIAINGAN</t>
        </is>
      </c>
      <c r="C115" s="416" t="inlineStr">
        <is>
          <t>T24CORE</t>
        </is>
      </c>
      <c r="D115" s="416" t="inlineStr">
        <is>
          <t>CUSTOMER</t>
        </is>
      </c>
      <c r="E115" s="416" t="inlineStr">
        <is>
          <t>ACCOUNT_OFFICER</t>
        </is>
      </c>
      <c r="F115" s="417" t="inlineStr">
        <is>
          <t>1:1</t>
        </is>
      </c>
      <c r="G115" s="417" t="inlineStr">
        <is>
          <t>PG_BRONZE</t>
        </is>
      </c>
      <c r="H115" s="377" t="inlineStr">
        <is>
          <t>T24CORE_CUSTOMER</t>
        </is>
      </c>
      <c r="I115" s="377" t="inlineStr">
        <is>
          <t>ACCOUNT_OFFICER</t>
        </is>
      </c>
      <c r="J115" s="417" t="inlineStr">
        <is>
          <t>PG_SILVER</t>
        </is>
      </c>
      <c r="K115" s="377" t="inlineStr">
        <is>
          <t>ACCOUNT_OFFICER</t>
        </is>
      </c>
      <c r="L115" s="417" t="inlineStr">
        <is>
          <t>VARCHAR2(100)</t>
        </is>
      </c>
      <c r="M115" s="377" t="inlineStr">
        <is>
          <t>LEFT JOIN PG_BRONZE.T24CORE_CUSTOMER cus ON crb.CUS_ID = cus.RECID</t>
        </is>
      </c>
      <c r="N115" s="377" t="inlineStr">
        <is>
          <t>TRIM(cus.ACCOUNT_OFFICER)</t>
        </is>
      </c>
      <c r="O115" s="377" t="inlineStr">
        <is>
          <t>Source -&gt; PG_BRONZE (1:1) -&gt; PG_SILVER (Temp 2)</t>
        </is>
      </c>
      <c r="P115" s="357" t="inlineStr">
        <is>
          <t>Mã nhân viên hạch toán (Map từ PG_BRONZE.T24CORE_CUSTOMER.ACCOUNT_OFFICER -&gt; PG_SILVER.Saoke_GIAINGAN.ACCOUNT_OFFICER)</t>
        </is>
      </c>
    </row>
    <row r="116" ht="14.25" customHeight="1" s="335">
      <c r="A116" s="416">
        <f>C116&amp;D116&amp;E116</f>
        <v/>
      </c>
      <c r="B116" s="416" t="inlineStr">
        <is>
          <t>Saoke_GIAINGAN</t>
        </is>
      </c>
      <c r="C116" s="416" t="inlineStr">
        <is>
          <t>T24CORE</t>
        </is>
      </c>
      <c r="D116" s="416" t="inlineStr">
        <is>
          <t>CUSTOMER</t>
        </is>
      </c>
      <c r="E116" s="416" t="inlineStr">
        <is>
          <t>ACTIVE_STATUS</t>
        </is>
      </c>
      <c r="F116" s="417" t="inlineStr">
        <is>
          <t>1:1</t>
        </is>
      </c>
      <c r="G116" s="417" t="inlineStr">
        <is>
          <t>PG_BRONZE</t>
        </is>
      </c>
      <c r="H116" s="377" t="inlineStr">
        <is>
          <t>T24CORE_CUSTOMER</t>
        </is>
      </c>
      <c r="I116" s="377" t="inlineStr">
        <is>
          <t>ACTIVE_STATUS</t>
        </is>
      </c>
      <c r="J116" s="417" t="inlineStr">
        <is>
          <t>PG_SILVER</t>
        </is>
      </c>
      <c r="K116" s="377" t="inlineStr">
        <is>
          <t>ACTIVE_STATUS</t>
        </is>
      </c>
      <c r="L116" s="417" t="inlineStr">
        <is>
          <t>VARCHAR2(100)</t>
        </is>
      </c>
      <c r="M116" s="377" t="inlineStr">
        <is>
          <t>LEFT JOIN PG_BRONZE.T24CORE_CUSTOMER cus ON crb.CUS_ID = cus.RECID</t>
        </is>
      </c>
      <c r="N116" s="377" t="inlineStr">
        <is>
          <t>TRIM(cus.ACTIVE_STATUS)</t>
        </is>
      </c>
      <c r="O116" s="377" t="inlineStr">
        <is>
          <t>Source -&gt; PG_BRONZE (1:1) -&gt; PG_SILVER (Temp 2)</t>
        </is>
      </c>
      <c r="P116" s="357" t="inlineStr">
        <is>
          <t>Trạng thái bản ghi (Map từ PG_BRONZE.T24CORE_CUSTOMER.ACTIVE_STATUS -&gt; PG_SILVER.Saoke_GIAINGAN.ACTIVE_STATUS)</t>
        </is>
      </c>
    </row>
    <row r="117" ht="14.25" customHeight="1" s="335">
      <c r="A117" s="416">
        <f>C117&amp;D117&amp;E117</f>
        <v/>
      </c>
      <c r="B117" s="416" t="inlineStr">
        <is>
          <t>Saoke_GIAINGAN</t>
        </is>
      </c>
      <c r="C117" s="416" t="inlineStr">
        <is>
          <t>T24CORE</t>
        </is>
      </c>
      <c r="D117" s="416" t="inlineStr">
        <is>
          <t>CUSTOMER</t>
        </is>
      </c>
      <c r="E117" s="416" t="inlineStr">
        <is>
          <t>AML_CHECK</t>
        </is>
      </c>
      <c r="F117" s="417" t="inlineStr">
        <is>
          <t>1:1</t>
        </is>
      </c>
      <c r="G117" s="417" t="inlineStr">
        <is>
          <t>PG_BRONZE</t>
        </is>
      </c>
      <c r="H117" s="377" t="inlineStr">
        <is>
          <t>T24CORE_CUSTOMER</t>
        </is>
      </c>
      <c r="I117" s="377" t="inlineStr">
        <is>
          <t>AML_CHECK</t>
        </is>
      </c>
      <c r="J117" s="417" t="inlineStr">
        <is>
          <t>PG_SILVER</t>
        </is>
      </c>
      <c r="K117" s="377" t="inlineStr">
        <is>
          <t>AML_CHECK</t>
        </is>
      </c>
      <c r="L117" s="417" t="inlineStr">
        <is>
          <t>VARCHAR2(100)</t>
        </is>
      </c>
      <c r="M117" s="377" t="inlineStr">
        <is>
          <t>LEFT JOIN PG_BRONZE.T24CORE_CUSTOMER cus ON crb.CUS_ID = cus.RECID</t>
        </is>
      </c>
      <c r="N117" s="377" t="inlineStr">
        <is>
          <t>TRIM(cus.AML_CHECK)</t>
        </is>
      </c>
      <c r="O117" s="377" t="inlineStr">
        <is>
          <t>Source -&gt; PG_BRONZE (1:1) -&gt; PG_SILVER (Temp 2)</t>
        </is>
      </c>
      <c r="P117" s="357" t="inlineStr">
        <is>
          <t>Liên quan tới hệ thống Phòng Chống rửa tiền (Map từ PG_BRONZE.T24CORE_CUSTOMER.AML_CHECK -&gt; PG_SILVER.Saoke_GIAINGAN.AML_CHECK)</t>
        </is>
      </c>
    </row>
    <row r="118" ht="14.25" customHeight="1" s="335">
      <c r="A118" s="416">
        <f>C118&amp;D118&amp;E118</f>
        <v/>
      </c>
      <c r="B118" s="416" t="inlineStr">
        <is>
          <t>Saoke_GIAINGAN</t>
        </is>
      </c>
      <c r="C118" s="416" t="inlineStr">
        <is>
          <t>T24CORE</t>
        </is>
      </c>
      <c r="D118" s="416" t="inlineStr">
        <is>
          <t>CUSTOMER</t>
        </is>
      </c>
      <c r="E118" s="416" t="inlineStr">
        <is>
          <t>AML_RESULT</t>
        </is>
      </c>
      <c r="F118" s="417" t="inlineStr">
        <is>
          <t>1:1</t>
        </is>
      </c>
      <c r="G118" s="417" t="inlineStr">
        <is>
          <t>PG_BRONZE</t>
        </is>
      </c>
      <c r="H118" s="377" t="inlineStr">
        <is>
          <t>T24CORE_CUSTOMER</t>
        </is>
      </c>
      <c r="I118" s="377" t="inlineStr">
        <is>
          <t>AML_RESULT</t>
        </is>
      </c>
      <c r="J118" s="417" t="inlineStr">
        <is>
          <t>PG_SILVER</t>
        </is>
      </c>
      <c r="K118" s="377" t="inlineStr">
        <is>
          <t>AML_RESULT</t>
        </is>
      </c>
      <c r="L118" s="417" t="inlineStr">
        <is>
          <t>VARCHAR2(100)</t>
        </is>
      </c>
      <c r="M118" s="377" t="inlineStr">
        <is>
          <t>LEFT JOIN PG_BRONZE.T24CORE_CUSTOMER cus ON crb.CUS_ID = cus.RECID</t>
        </is>
      </c>
      <c r="N118" s="377" t="inlineStr">
        <is>
          <t>TRIM(cus.AML_RESULT)</t>
        </is>
      </c>
      <c r="O118" s="377" t="inlineStr">
        <is>
          <t>Source -&gt; PG_BRONZE (1:1) -&gt; PG_SILVER (Temp 2)</t>
        </is>
      </c>
      <c r="P118" s="357" t="inlineStr">
        <is>
          <t>Liên quan tới hệ thống Phòng Chống rửa tiền (Map từ PG_BRONZE.T24CORE_CUSTOMER.AML_RESULT -&gt; PG_SILVER.Saoke_GIAINGAN.AML_RESULT)</t>
        </is>
      </c>
    </row>
    <row r="119" ht="14.25" customHeight="1" s="335">
      <c r="A119" s="416">
        <f>C119&amp;D119&amp;E119</f>
        <v/>
      </c>
      <c r="B119" s="416" t="inlineStr">
        <is>
          <t>Saoke_GIAINGAN</t>
        </is>
      </c>
      <c r="C119" s="416" t="inlineStr">
        <is>
          <t>T24CORE</t>
        </is>
      </c>
      <c r="D119" s="416" t="inlineStr">
        <is>
          <t>CUSTOMER</t>
        </is>
      </c>
      <c r="E119" s="416" t="inlineStr">
        <is>
          <t>BDATE_LEGAL</t>
        </is>
      </c>
      <c r="F119" s="417" t="inlineStr">
        <is>
          <t>1:1</t>
        </is>
      </c>
      <c r="G119" s="417" t="inlineStr">
        <is>
          <t>PG_BRONZE</t>
        </is>
      </c>
      <c r="H119" s="377" t="inlineStr">
        <is>
          <t>T24CORE_CUSTOMER</t>
        </is>
      </c>
      <c r="I119" s="377" t="inlineStr">
        <is>
          <t>BDATE_LEGAL</t>
        </is>
      </c>
      <c r="J119" s="417" t="inlineStr">
        <is>
          <t>PG_SILVER</t>
        </is>
      </c>
      <c r="K119" s="377" t="inlineStr">
        <is>
          <t>BDATE_LEGAL</t>
        </is>
      </c>
      <c r="L119" s="417" t="inlineStr">
        <is>
          <t>DATE</t>
        </is>
      </c>
      <c r="M119" s="377" t="inlineStr">
        <is>
          <t>LEFT JOIN PG_BRONZE.T24CORE_CUSTOMER cus ON crb.CUS_ID = cus.RECID</t>
        </is>
      </c>
      <c r="N119" s="377" t="inlineStr">
        <is>
          <t>TO_DATE(CAST(cus.BDATE_LEGAL AS VARCHAR(20)), 'YYYYMMDD')</t>
        </is>
      </c>
      <c r="O119" s="377" t="inlineStr">
        <is>
          <t>Source -&gt; PG_BRONZE (1:1) -&gt; PG_SILVER (Temp 2)</t>
        </is>
      </c>
      <c r="P119" s="357" t="inlineStr">
        <is>
          <t>Ngày sinh của người đại diện theo pháp luật (Map từ PG_BRONZE.T24CORE_CUSTOMER.BDATE_LEGAL -&gt; PG_SILVER.Saoke_GIAINGAN.BDATE_LEGAL)</t>
        </is>
      </c>
    </row>
    <row r="120" ht="14.25" customHeight="1" s="335">
      <c r="A120" s="416">
        <f>C120&amp;D120&amp;E120</f>
        <v/>
      </c>
      <c r="B120" s="416" t="inlineStr">
        <is>
          <t>Saoke_GIAINGAN</t>
        </is>
      </c>
      <c r="C120" s="416" t="inlineStr">
        <is>
          <t>T24CORE</t>
        </is>
      </c>
      <c r="D120" s="416" t="inlineStr">
        <is>
          <t>CUSTOMER</t>
        </is>
      </c>
      <c r="E120" s="416" t="inlineStr">
        <is>
          <t>BDAY_DIRECTOR</t>
        </is>
      </c>
      <c r="F120" s="417" t="inlineStr">
        <is>
          <t>1:1</t>
        </is>
      </c>
      <c r="G120" s="417" t="inlineStr">
        <is>
          <t>PG_BRONZE</t>
        </is>
      </c>
      <c r="H120" s="377" t="inlineStr">
        <is>
          <t>T24CORE_CUSTOMER</t>
        </is>
      </c>
      <c r="I120" s="377" t="inlineStr">
        <is>
          <t>BDAY_DIRECTOR</t>
        </is>
      </c>
      <c r="J120" s="417" t="inlineStr">
        <is>
          <t>PG_SILVER</t>
        </is>
      </c>
      <c r="K120" s="377" t="inlineStr">
        <is>
          <t>BDAY_DIRECTOR</t>
        </is>
      </c>
      <c r="L120" s="417" t="inlineStr">
        <is>
          <t>DATE</t>
        </is>
      </c>
      <c r="M120" s="377" t="inlineStr">
        <is>
          <t>LEFT JOIN PG_BRONZE.T24CORE_CUSTOMER cus ON crb.CUS_ID = cus.RECID</t>
        </is>
      </c>
      <c r="N120" s="377" t="inlineStr">
        <is>
          <t>TO_DATE(CAST(cus.BDAY_DIRECTOR AS VARCHAR(20)), 'YYYYMMDD')</t>
        </is>
      </c>
      <c r="O120" s="377" t="inlineStr">
        <is>
          <t>Source -&gt; PG_BRONZE (1:1) -&gt; PG_SILVER (Temp 2)</t>
        </is>
      </c>
      <c r="P120" s="357" t="inlineStr">
        <is>
          <t>Ngày sinh giám đốc công ty (Map từ PG_BRONZE.T24CORE_CUSTOMER.BDAY_DIRECTOR -&gt; PG_SILVER.Saoke_GIAINGAN.BDAY_DIRECTOR)</t>
        </is>
      </c>
    </row>
    <row r="121" ht="14.25" customHeight="1" s="335">
      <c r="A121" s="416">
        <f>C121&amp;D121&amp;E121</f>
        <v/>
      </c>
      <c r="B121" s="416" t="inlineStr">
        <is>
          <t>Saoke_GIAINGAN</t>
        </is>
      </c>
      <c r="C121" s="416" t="inlineStr">
        <is>
          <t>T24CORE</t>
        </is>
      </c>
      <c r="D121" s="416" t="inlineStr">
        <is>
          <t>CUSTOMER</t>
        </is>
      </c>
      <c r="E121" s="416" t="inlineStr">
        <is>
          <t>BIRTH_INCORP_DATE</t>
        </is>
      </c>
      <c r="F121" s="417" t="inlineStr">
        <is>
          <t>1:1</t>
        </is>
      </c>
      <c r="G121" s="417" t="inlineStr">
        <is>
          <t>PG_BRONZE</t>
        </is>
      </c>
      <c r="H121" s="377" t="inlineStr">
        <is>
          <t>T24CORE_CUSTOMER</t>
        </is>
      </c>
      <c r="I121" s="377" t="inlineStr">
        <is>
          <t>BIRTH_INCORP_DATE</t>
        </is>
      </c>
      <c r="J121" s="417" t="inlineStr">
        <is>
          <t>PG_SILVER</t>
        </is>
      </c>
      <c r="K121" s="377" t="inlineStr">
        <is>
          <t>BIRTH_INCORP_DATE</t>
        </is>
      </c>
      <c r="L121" s="417" t="inlineStr">
        <is>
          <t>DATE</t>
        </is>
      </c>
      <c r="M121" s="377" t="inlineStr">
        <is>
          <t>LEFT JOIN PG_BRONZE.T24CORE_CUSTOMER cus ON crb.CUS_ID = cus.RECID</t>
        </is>
      </c>
      <c r="N121" s="377" t="inlineStr">
        <is>
          <t>TO_DATE(CAST(cus.BIRTH_INCORP_DATE AS VARCHAR(20)), 'YYYYMMDD')</t>
        </is>
      </c>
      <c r="O121" s="377" t="inlineStr">
        <is>
          <t>Source -&gt; PG_BRONZE (1:1) -&gt; PG_SILVER (Temp 2)</t>
        </is>
      </c>
      <c r="P121" s="357" t="inlineStr">
        <is>
          <t>Ngày thành lập doanh nghiệp (Map từ PG_BRONZE.T24CORE_CUSTOMER.BIRTH_INCORP_DATE -&gt; PG_SILVER.Saoke_GIAINGAN.BIRTH_INCORP_DATE)</t>
        </is>
      </c>
    </row>
    <row r="122" ht="14.25" customHeight="1" s="335">
      <c r="A122" s="416">
        <f>C122&amp;D122&amp;E122</f>
        <v/>
      </c>
      <c r="B122" s="416" t="inlineStr">
        <is>
          <t>Saoke_GIAINGAN</t>
        </is>
      </c>
      <c r="C122" s="416" t="inlineStr">
        <is>
          <t>T24CORE</t>
        </is>
      </c>
      <c r="D122" s="416" t="inlineStr">
        <is>
          <t>CUSTOMER</t>
        </is>
      </c>
      <c r="E122" s="416" t="inlineStr">
        <is>
          <t>CO_CODE</t>
        </is>
      </c>
      <c r="F122" s="417" t="inlineStr">
        <is>
          <t>1:1</t>
        </is>
      </c>
      <c r="G122" s="417" t="inlineStr">
        <is>
          <t>PG_BRONZE</t>
        </is>
      </c>
      <c r="H122" s="377" t="inlineStr">
        <is>
          <t>T24CORE_CUSTOMER</t>
        </is>
      </c>
      <c r="I122" s="377" t="inlineStr">
        <is>
          <t>CO_CODE</t>
        </is>
      </c>
      <c r="J122" s="417" t="inlineStr">
        <is>
          <t>PG_SILVER</t>
        </is>
      </c>
      <c r="K122" s="377" t="inlineStr">
        <is>
          <t>CUS_CO_CODE</t>
        </is>
      </c>
      <c r="L122" s="417" t="inlineStr">
        <is>
          <t>VARCHAR2(100)</t>
        </is>
      </c>
      <c r="M122" s="377" t="inlineStr">
        <is>
          <t>LEFT JOIN PG_BRONZE.T24CORE_CUSTOMER cus ON crb.CUS_ID = cus.RECID</t>
        </is>
      </c>
      <c r="N122" s="377" t="inlineStr">
        <is>
          <t>TRIM(cus.CO_CODE)</t>
        </is>
      </c>
      <c r="O122" s="377" t="inlineStr">
        <is>
          <t>Source -&gt; PG_BRONZE (1:1) -&gt; PG_SILVER (Temp 2)</t>
        </is>
      </c>
      <c r="P122" s="357" t="inlineStr">
        <is>
          <t>Mã chi nhánh quản lý khách hàng (Map từ PG_BRONZE.T24CORE_CUSTOMER.CO_CODE -&gt; PG_SILVER.Saoke_GIAINGAN.CUS_CO_CODE)</t>
        </is>
      </c>
    </row>
    <row r="123" ht="14.25" customHeight="1" s="335">
      <c r="A123" s="416">
        <f>C123&amp;D123&amp;E123</f>
        <v/>
      </c>
      <c r="B123" s="416" t="inlineStr">
        <is>
          <t>Saoke_GIAINGAN</t>
        </is>
      </c>
      <c r="C123" s="416" t="inlineStr">
        <is>
          <t>T24CORE</t>
        </is>
      </c>
      <c r="D123" s="416" t="inlineStr">
        <is>
          <t>CUSTOMER</t>
        </is>
      </c>
      <c r="E123" s="416" t="inlineStr">
        <is>
          <t>COMPANY_BOOK</t>
        </is>
      </c>
      <c r="F123" s="417" t="inlineStr">
        <is>
          <t>1:1</t>
        </is>
      </c>
      <c r="G123" s="417" t="inlineStr">
        <is>
          <t>PG_BRONZE</t>
        </is>
      </c>
      <c r="H123" s="377" t="inlineStr">
        <is>
          <t>T24CORE_CUSTOMER</t>
        </is>
      </c>
      <c r="I123" s="377" t="inlineStr">
        <is>
          <t>COMPANY_BOOK</t>
        </is>
      </c>
      <c r="J123" s="417" t="inlineStr">
        <is>
          <t>PG_SILVER</t>
        </is>
      </c>
      <c r="K123" s="377" t="inlineStr">
        <is>
          <t>COMPANY_BOOK</t>
        </is>
      </c>
      <c r="L123" s="417" t="inlineStr">
        <is>
          <t>VARCHAR2(100)</t>
        </is>
      </c>
      <c r="M123" s="377" t="inlineStr">
        <is>
          <t>LEFT JOIN PG_BRONZE.T24CORE_CUSTOMER cus ON crb.CUS_ID = cus.RECID</t>
        </is>
      </c>
      <c r="N123" s="377" t="inlineStr">
        <is>
          <t>TRIM(cus.COMPANY_BOOK)</t>
        </is>
      </c>
      <c r="O123" s="377" t="inlineStr">
        <is>
          <t>Source -&gt; PG_BRONZE (1:1) -&gt; PG_SILVER (Temp 2)</t>
        </is>
      </c>
      <c r="P123" s="357" t="inlineStr">
        <is>
          <t>Mã chi nhánh mở CIF (Map từ PG_BRONZE.T24CORE_CUSTOMER.COMPANY_BOOK -&gt; PG_SILVER.Saoke_GIAINGAN.COMPANY_BOOK)</t>
        </is>
      </c>
    </row>
    <row r="124" ht="14.25" customHeight="1" s="335">
      <c r="A124" s="416">
        <f>C124&amp;D124&amp;E124</f>
        <v/>
      </c>
      <c r="B124" s="416" t="inlineStr">
        <is>
          <t>Saoke_GIAINGAN</t>
        </is>
      </c>
      <c r="C124" s="416" t="inlineStr">
        <is>
          <t>T24CORE</t>
        </is>
      </c>
      <c r="D124" s="416" t="inlineStr">
        <is>
          <t>CUSTOMER</t>
        </is>
      </c>
      <c r="E124" s="416" t="inlineStr">
        <is>
          <t>CONTACT_DATE</t>
        </is>
      </c>
      <c r="F124" s="417" t="inlineStr">
        <is>
          <t>1:1</t>
        </is>
      </c>
      <c r="G124" s="417" t="inlineStr">
        <is>
          <t>PG_BRONZE</t>
        </is>
      </c>
      <c r="H124" s="377" t="inlineStr">
        <is>
          <t>T24CORE_CUSTOMER</t>
        </is>
      </c>
      <c r="I124" s="377" t="inlineStr">
        <is>
          <t>CONTACT_DATE</t>
        </is>
      </c>
      <c r="J124" s="417" t="inlineStr">
        <is>
          <t>PG_SILVER</t>
        </is>
      </c>
      <c r="K124" s="377" t="inlineStr">
        <is>
          <t>CONTACT_DATE</t>
        </is>
      </c>
      <c r="L124" s="417" t="inlineStr">
        <is>
          <t>DATE</t>
        </is>
      </c>
      <c r="M124" s="377" t="inlineStr">
        <is>
          <t>LEFT JOIN PG_BRONZE.T24CORE_CUSTOMER cus ON crb.CUS_ID = cus.RECID</t>
        </is>
      </c>
      <c r="N124" s="377" t="inlineStr">
        <is>
          <t>TO_DATE(CAST(cus.CONTACT_DATE AS VARCHAR(20)), 'YYYYMMDD')</t>
        </is>
      </c>
      <c r="O124" s="377" t="inlineStr">
        <is>
          <t>Source -&gt; PG_BRONZE (1:1) -&gt; PG_SILVER (Temp 2)</t>
        </is>
      </c>
      <c r="P124" s="357" t="inlineStr">
        <is>
          <t>Ngày khách hàng liên hệ/mở CIF (Map từ PG_BRONZE.T24CORE_CUSTOMER.CONTACT_DATE -&gt; PG_SILVER.Saoke_GIAINGAN.CONTACT_DATE)</t>
        </is>
      </c>
    </row>
    <row r="125" ht="14.25" customHeight="1" s="335">
      <c r="A125" s="416">
        <f>C125&amp;D125&amp;E125</f>
        <v/>
      </c>
      <c r="B125" s="416" t="inlineStr">
        <is>
          <t>Saoke_GIAINGAN</t>
        </is>
      </c>
      <c r="C125" s="416" t="inlineStr">
        <is>
          <t>T24CORE</t>
        </is>
      </c>
      <c r="D125" s="416" t="inlineStr">
        <is>
          <t>CUSTOMER</t>
        </is>
      </c>
      <c r="E125" s="416" t="inlineStr">
        <is>
          <t>CONTACT_PERSON</t>
        </is>
      </c>
      <c r="F125" s="417" t="inlineStr">
        <is>
          <t>1:1</t>
        </is>
      </c>
      <c r="G125" s="417" t="inlineStr">
        <is>
          <t>PG_BRONZE</t>
        </is>
      </c>
      <c r="H125" s="377" t="inlineStr">
        <is>
          <t>T24CORE_CUSTOMER</t>
        </is>
      </c>
      <c r="I125" s="377" t="inlineStr">
        <is>
          <t>CONTACT_PERSON</t>
        </is>
      </c>
      <c r="J125" s="417" t="inlineStr">
        <is>
          <t>PG_SILVER</t>
        </is>
      </c>
      <c r="K125" s="377" t="inlineStr">
        <is>
          <t>CONTACT_PERSON</t>
        </is>
      </c>
      <c r="L125" s="417" t="inlineStr">
        <is>
          <t>VARCHAR2(100)</t>
        </is>
      </c>
      <c r="M125" s="377" t="inlineStr">
        <is>
          <t>LEFT JOIN PG_BRONZE.T24CORE_CUSTOMER cus ON crb.CUS_ID = cus.RECID</t>
        </is>
      </c>
      <c r="N125" s="377" t="inlineStr">
        <is>
          <t>TRIM(cus.CONTACT_PERSON)</t>
        </is>
      </c>
      <c r="O125" s="377" t="inlineStr">
        <is>
          <t>Source -&gt; PG_BRONZE (1:1) -&gt; PG_SILVER (Temp 2)</t>
        </is>
      </c>
      <c r="P125" s="357" t="inlineStr">
        <is>
          <t>Họ tên người liên hệ của khách hàng doanh nghiệp (Map từ PG_BRONZE.T24CORE_CUSTOMER.CONTACT_PERSON -&gt; PG_SILVER.Saoke_GIAINGAN.CONTACT_PERSON)</t>
        </is>
      </c>
    </row>
    <row r="126" ht="14.25" customHeight="1" s="335">
      <c r="A126" s="416">
        <f>C126&amp;D126&amp;E126</f>
        <v/>
      </c>
      <c r="B126" s="416" t="inlineStr">
        <is>
          <t>Saoke_GIAINGAN</t>
        </is>
      </c>
      <c r="C126" s="416" t="inlineStr">
        <is>
          <t>T24CORE</t>
        </is>
      </c>
      <c r="D126" s="416" t="inlineStr">
        <is>
          <t>CUSTOMER</t>
        </is>
      </c>
      <c r="E126" s="416" t="inlineStr">
        <is>
          <t>COUNTRY</t>
        </is>
      </c>
      <c r="F126" s="417" t="inlineStr">
        <is>
          <t>1:1</t>
        </is>
      </c>
      <c r="G126" s="417" t="inlineStr">
        <is>
          <t>PG_BRONZE</t>
        </is>
      </c>
      <c r="H126" s="377" t="inlineStr">
        <is>
          <t>T24CORE_CUSTOMER</t>
        </is>
      </c>
      <c r="I126" s="377" t="inlineStr">
        <is>
          <t>COUNTRY</t>
        </is>
      </c>
      <c r="J126" s="417" t="inlineStr">
        <is>
          <t>PG_SILVER</t>
        </is>
      </c>
      <c r="K126" s="377" t="inlineStr">
        <is>
          <t>COUNTRY</t>
        </is>
      </c>
      <c r="L126" s="417" t="inlineStr">
        <is>
          <t>VARCHAR2(100)</t>
        </is>
      </c>
      <c r="M126" s="377" t="inlineStr">
        <is>
          <t>LEFT JOIN PG_BRONZE.T24CORE_CUSTOMER cus ON crb.CUS_ID = cus.RECID</t>
        </is>
      </c>
      <c r="N126" s="377" t="inlineStr">
        <is>
          <t>TRIM(cus.COUNTRY)</t>
        </is>
      </c>
      <c r="O126" s="377" t="inlineStr">
        <is>
          <t>Source -&gt; PG_BRONZE (1:1) -&gt; PG_SILVER (Temp 2)</t>
        </is>
      </c>
      <c r="P126" s="357" t="inlineStr">
        <is>
          <t>Tên quốc gia nơi cư trú / đặt trụ sở (Map từ PG_BRONZE.T24CORE_CUSTOMER.COUNTRY -&gt; PG_SILVER.Saoke_GIAINGAN.COUNTRY)</t>
        </is>
      </c>
    </row>
    <row r="127" ht="14.25" customHeight="1" s="335">
      <c r="A127" s="416">
        <f>C127&amp;D127&amp;E127</f>
        <v/>
      </c>
      <c r="B127" s="416" t="inlineStr">
        <is>
          <t>Saoke_GIAINGAN</t>
        </is>
      </c>
      <c r="C127" s="416" t="inlineStr">
        <is>
          <t>T24CORE</t>
        </is>
      </c>
      <c r="D127" s="416" t="inlineStr">
        <is>
          <t>CUSTOMER</t>
        </is>
      </c>
      <c r="E127" s="416" t="inlineStr">
        <is>
          <t>CU_EFF_DATE</t>
        </is>
      </c>
      <c r="F127" s="417" t="inlineStr">
        <is>
          <t>1:1</t>
        </is>
      </c>
      <c r="G127" s="417" t="inlineStr">
        <is>
          <t>PG_BRONZE</t>
        </is>
      </c>
      <c r="H127" s="377" t="inlineStr">
        <is>
          <t>T24CORE_CUSTOMER</t>
        </is>
      </c>
      <c r="I127" s="377" t="inlineStr">
        <is>
          <t>CU_EFF_DATE</t>
        </is>
      </c>
      <c r="J127" s="417" t="inlineStr">
        <is>
          <t>PG_SILVER</t>
        </is>
      </c>
      <c r="K127" s="377" t="inlineStr">
        <is>
          <t>CU_EFF_DATE</t>
        </is>
      </c>
      <c r="L127" s="417" t="inlineStr">
        <is>
          <t>DATE</t>
        </is>
      </c>
      <c r="M127" s="377" t="inlineStr">
        <is>
          <t>LEFT JOIN PG_BRONZE.T24CORE_CUSTOMER cus ON crb.CUS_ID = cus.RECID</t>
        </is>
      </c>
      <c r="N127" s="377" t="inlineStr">
        <is>
          <t>TO_DATE(CAST(cus.CU_EFF_DATE AS VARCHAR(20)), 'YYYYMMDD')</t>
        </is>
      </c>
      <c r="O127" s="377" t="inlineStr">
        <is>
          <t>Source -&gt; PG_BRONZE (1:1) -&gt; PG_SILVER (Temp 2)</t>
        </is>
      </c>
      <c r="P127" s="357" t="inlineStr">
        <is>
          <t>Ngày hiệu lực phân hạng khách hàng VIP (Map từ PG_BRONZE.T24CORE_CUSTOMER.CU_EFF_DATE -&gt; PG_SILVER.Saoke_GIAINGAN.CU_EFF_DATE)</t>
        </is>
      </c>
    </row>
    <row r="128" ht="14.25" customHeight="1" s="335">
      <c r="A128" s="416">
        <f>C128&amp;D128&amp;E128</f>
        <v/>
      </c>
      <c r="B128" s="416" t="inlineStr">
        <is>
          <t>Saoke_GIAINGAN</t>
        </is>
      </c>
      <c r="C128" s="416" t="inlineStr">
        <is>
          <t>T24CORE</t>
        </is>
      </c>
      <c r="D128" s="416" t="inlineStr">
        <is>
          <t>CUSTOMER</t>
        </is>
      </c>
      <c r="E128" s="416" t="inlineStr">
        <is>
          <t>CUS_IND_PARENT</t>
        </is>
      </c>
      <c r="F128" s="417" t="inlineStr">
        <is>
          <t>1:1</t>
        </is>
      </c>
      <c r="G128" s="417" t="inlineStr">
        <is>
          <t>PG_BRONZE</t>
        </is>
      </c>
      <c r="H128" s="377" t="inlineStr">
        <is>
          <t>T24CORE_CUSTOMER</t>
        </is>
      </c>
      <c r="I128" s="377" t="inlineStr">
        <is>
          <t>CUS_IND_PARENT</t>
        </is>
      </c>
      <c r="J128" s="417" t="inlineStr">
        <is>
          <t>PG_SILVER</t>
        </is>
      </c>
      <c r="K128" s="377" t="inlineStr">
        <is>
          <t>CUS_IND_PARENT</t>
        </is>
      </c>
      <c r="L128" s="417" t="inlineStr">
        <is>
          <t>VARCHAR2(100)</t>
        </is>
      </c>
      <c r="M128" s="377" t="inlineStr">
        <is>
          <t>LEFT JOIN PG_BRONZE.T24CORE_CUSTOMER cus ON crb.CUS_ID = cus.RECID</t>
        </is>
      </c>
      <c r="N128" s="377" t="inlineStr">
        <is>
          <t>TRIM(cus.CUS_IND_PARENT)</t>
        </is>
      </c>
      <c r="O128" s="377" t="inlineStr">
        <is>
          <t>Source -&gt; PG_BRONZE (1:1) -&gt; PG_SILVER (Temp 2)</t>
        </is>
      </c>
      <c r="P128" s="357" t="inlineStr">
        <is>
          <t>Mã ngành nghê kinh tế cha (Map từ PG_BRONZE.T24CORE_CUSTOMER.CUS_IND_PARENT -&gt; PG_SILVER.Saoke_GIAINGAN.CUS_IND_PARENT)</t>
        </is>
      </c>
    </row>
    <row r="129" ht="14.25" customHeight="1" s="335">
      <c r="A129" s="416">
        <f>C129&amp;D129&amp;E129</f>
        <v/>
      </c>
      <c r="B129" s="416" t="inlineStr">
        <is>
          <t>Saoke_GIAINGAN</t>
        </is>
      </c>
      <c r="C129" s="416" t="inlineStr">
        <is>
          <t>T24CORE</t>
        </is>
      </c>
      <c r="D129" s="416" t="inlineStr">
        <is>
          <t>CUSTOMER</t>
        </is>
      </c>
      <c r="E129" s="416" t="inlineStr">
        <is>
          <t>CUSTOMER_STATUS</t>
        </is>
      </c>
      <c r="F129" s="417" t="inlineStr">
        <is>
          <t>1:1</t>
        </is>
      </c>
      <c r="G129" s="417" t="inlineStr">
        <is>
          <t>PG_BRONZE</t>
        </is>
      </c>
      <c r="H129" s="377" t="inlineStr">
        <is>
          <t>T24CORE_CUSTOMER</t>
        </is>
      </c>
      <c r="I129" s="377" t="inlineStr">
        <is>
          <t>CUSTOMER_STATUS</t>
        </is>
      </c>
      <c r="J129" s="417" t="inlineStr">
        <is>
          <t>PG_SILVER</t>
        </is>
      </c>
      <c r="K129" s="377" t="inlineStr">
        <is>
          <t>CUSTOMER_STATUS</t>
        </is>
      </c>
      <c r="L129" s="417" t="inlineStr">
        <is>
          <t>VARCHAR2(100)</t>
        </is>
      </c>
      <c r="M129" s="377" t="inlineStr">
        <is>
          <t>LEFT JOIN PG_BRONZE.T24CORE_CUSTOMER cus ON crb.CUS_ID = cus.RECID</t>
        </is>
      </c>
      <c r="N129" s="377" t="inlineStr">
        <is>
          <t>TRIM(cus.CUSTOMER_STATUS)</t>
        </is>
      </c>
      <c r="O129" s="377" t="inlineStr">
        <is>
          <t>Source -&gt; PG_BRONZE (1:1) -&gt; PG_SILVER (Temp 2)</t>
        </is>
      </c>
      <c r="P129" s="357" t="inlineStr">
        <is>
          <t>Trạng thái hiện tại của khách hàng (Map từ PG_BRONZE.T24CORE_CUSTOMER.CUSTOMER_STATUS -&gt; PG_SILVER.Saoke_GIAINGAN.CUSTOMER_STATUS)</t>
        </is>
      </c>
    </row>
    <row r="130" ht="14.25" customHeight="1" s="335">
      <c r="A130" s="416">
        <f>C130&amp;D130&amp;E130</f>
        <v/>
      </c>
      <c r="B130" s="416" t="inlineStr">
        <is>
          <t>Saoke_GIAINGAN</t>
        </is>
      </c>
      <c r="C130" s="416" t="inlineStr">
        <is>
          <t>T24CORE</t>
        </is>
      </c>
      <c r="D130" s="416" t="inlineStr">
        <is>
          <t>CUSTOMER</t>
        </is>
      </c>
      <c r="E130" s="416" t="inlineStr">
        <is>
          <t>DATE_TIME</t>
        </is>
      </c>
      <c r="F130" s="417" t="inlineStr">
        <is>
          <t>1:1</t>
        </is>
      </c>
      <c r="G130" s="417" t="inlineStr">
        <is>
          <t>PG_BRONZE</t>
        </is>
      </c>
      <c r="H130" s="377" t="inlineStr">
        <is>
          <t>T24CORE_CUSTOMER</t>
        </is>
      </c>
      <c r="I130" s="377" t="inlineStr">
        <is>
          <t>DATE_TIME</t>
        </is>
      </c>
      <c r="J130" s="417" t="inlineStr">
        <is>
          <t>PG_SILVER</t>
        </is>
      </c>
      <c r="K130" s="377" t="inlineStr">
        <is>
          <t>DATE_TIME</t>
        </is>
      </c>
      <c r="L130" s="417" t="inlineStr">
        <is>
          <t>DATE</t>
        </is>
      </c>
      <c r="M130" s="377" t="inlineStr">
        <is>
          <t>LEFT JOIN PG_BRONZE.T24CORE_CUSTOMER cus ON crb.CUS_ID = cus.RECID</t>
        </is>
      </c>
      <c r="N130" s="377" t="inlineStr">
        <is>
          <t>TO_DATE(CAST(cus.DATE_TIME AS VARCHAR(20)), 'YYYYMMDD')</t>
        </is>
      </c>
      <c r="O130" s="377" t="inlineStr">
        <is>
          <t>Source -&gt; PG_BRONZE (1:1) -&gt; PG_SILVER (Temp 2)</t>
        </is>
      </c>
      <c r="P130" s="357" t="inlineStr">
        <is>
          <t>Ngày giờ bản ghi nhập liệu (Map từ PG_BRONZE.T24CORE_CUSTOMER.DATE_TIME -&gt; PG_SILVER.Saoke_GIAINGAN.DATE_TIME)</t>
        </is>
      </c>
    </row>
    <row r="131" ht="14.25" customHeight="1" s="335">
      <c r="A131" s="416">
        <f>C131&amp;D131&amp;E131</f>
        <v/>
      </c>
      <c r="B131" s="416" t="inlineStr">
        <is>
          <t>Saoke_GIAINGAN</t>
        </is>
      </c>
      <c r="C131" s="416" t="inlineStr">
        <is>
          <t>T24CORE</t>
        </is>
      </c>
      <c r="D131" s="416" t="inlineStr">
        <is>
          <t>CUSTOMER</t>
        </is>
      </c>
      <c r="E131" s="416" t="inlineStr">
        <is>
          <t>EMAIL_ADDRESS</t>
        </is>
      </c>
      <c r="F131" s="417" t="inlineStr">
        <is>
          <t>1:1</t>
        </is>
      </c>
      <c r="G131" s="417" t="inlineStr">
        <is>
          <t>PG_BRONZE</t>
        </is>
      </c>
      <c r="H131" s="377" t="inlineStr">
        <is>
          <t>T24CORE_CUSTOMER</t>
        </is>
      </c>
      <c r="I131" s="377" t="inlineStr">
        <is>
          <t>EMAIL_ADDRESS</t>
        </is>
      </c>
      <c r="J131" s="417" t="inlineStr">
        <is>
          <t>PG_SILVER</t>
        </is>
      </c>
      <c r="K131" s="377" t="inlineStr">
        <is>
          <t>EMAIL_ADDRESS</t>
        </is>
      </c>
      <c r="L131" s="417" t="inlineStr">
        <is>
          <t>VARCHAR2(255)</t>
        </is>
      </c>
      <c r="M131" s="377" t="inlineStr">
        <is>
          <t>LEFT JOIN PG_BRONZE.T24CORE_CUSTOMER cus ON crb.CUS_ID = cus.RECID</t>
        </is>
      </c>
      <c r="N131" s="377" t="inlineStr">
        <is>
          <t>TRIM(cus.EMAIL_ADDRESS)</t>
        </is>
      </c>
      <c r="O131" s="377" t="inlineStr">
        <is>
          <t>Source -&gt; PG_BRONZE (1:1) -&gt; PG_SILVER (Temp 2)</t>
        </is>
      </c>
      <c r="P131" s="357" t="inlineStr">
        <is>
          <t>Địa chỉ emai (Map từ PG_BRONZE.T24CORE_CUSTOMER.EMAIL_ADDRESS -&gt; PG_SILVER.Saoke_GIAINGAN.EMAIL_ADDRESS)</t>
        </is>
      </c>
    </row>
    <row r="132" ht="14.25" customHeight="1" s="335">
      <c r="A132" s="416">
        <f>C132&amp;D132&amp;E132</f>
        <v/>
      </c>
      <c r="B132" s="416" t="inlineStr">
        <is>
          <t>Saoke_GIAINGAN</t>
        </is>
      </c>
      <c r="C132" s="416" t="inlineStr">
        <is>
          <t>T24CORE</t>
        </is>
      </c>
      <c r="D132" s="416" t="inlineStr">
        <is>
          <t>CUSTOMER</t>
        </is>
      </c>
      <c r="E132" s="416" t="inlineStr">
        <is>
          <t>EMPLOYMENT_STATUS</t>
        </is>
      </c>
      <c r="F132" s="417" t="inlineStr">
        <is>
          <t>1:1</t>
        </is>
      </c>
      <c r="G132" s="417" t="inlineStr">
        <is>
          <t>PG_BRONZE</t>
        </is>
      </c>
      <c r="H132" s="377" t="inlineStr">
        <is>
          <t>T24CORE_CUSTOMER</t>
        </is>
      </c>
      <c r="I132" s="377" t="inlineStr">
        <is>
          <t>EMPLOYMENT_STATUS</t>
        </is>
      </c>
      <c r="J132" s="417" t="inlineStr">
        <is>
          <t>PG_SILVER</t>
        </is>
      </c>
      <c r="K132" s="377" t="inlineStr">
        <is>
          <t>EMPLOYMENT_STATUS</t>
        </is>
      </c>
      <c r="L132" s="417" t="inlineStr">
        <is>
          <t>VARCHAR2(100)</t>
        </is>
      </c>
      <c r="M132" s="377" t="inlineStr">
        <is>
          <t>LEFT JOIN PG_BRONZE.T24CORE_CUSTOMER cus ON crb.CUS_ID = cus.RECID</t>
        </is>
      </c>
      <c r="N132" s="377" t="inlineStr">
        <is>
          <t>TRIM(cus.EMPLOYMENT_STATUS)</t>
        </is>
      </c>
      <c r="O132" s="377" t="inlineStr">
        <is>
          <t>Source -&gt; PG_BRONZE (1:1) -&gt; PG_SILVER (Temp 2)</t>
        </is>
      </c>
      <c r="P132" s="357" t="inlineStr">
        <is>
          <t>Mã tình trạng việc làm của khách hàng cá nhân (Map từ PG_BRONZE.T24CORE_CUSTOMER.EMPLOYMENT_STATUS -&gt; PG_SILVER.Saoke_GIAINGAN.EMPLOYMENT_STATUS)</t>
        </is>
      </c>
    </row>
    <row r="133" ht="14.25" customHeight="1" s="335">
      <c r="A133" s="416">
        <f>C133&amp;D133&amp;E133</f>
        <v/>
      </c>
      <c r="B133" s="416" t="inlineStr">
        <is>
          <t>Saoke_GIAINGAN</t>
        </is>
      </c>
      <c r="C133" s="416" t="inlineStr">
        <is>
          <t>T24CORE</t>
        </is>
      </c>
      <c r="D133" s="416" t="inlineStr">
        <is>
          <t>CUSTOMER</t>
        </is>
      </c>
      <c r="E133" s="416" t="inlineStr">
        <is>
          <t>ESTAB_LIC_CODE</t>
        </is>
      </c>
      <c r="F133" s="417" t="inlineStr">
        <is>
          <t>1:1</t>
        </is>
      </c>
      <c r="G133" s="417" t="inlineStr">
        <is>
          <t>PG_BRONZE</t>
        </is>
      </c>
      <c r="H133" s="377" t="inlineStr">
        <is>
          <t>T24CORE_CUSTOMER</t>
        </is>
      </c>
      <c r="I133" s="377" t="inlineStr">
        <is>
          <t>ESTAB_LIC_CODE</t>
        </is>
      </c>
      <c r="J133" s="417" t="inlineStr">
        <is>
          <t>PG_SILVER</t>
        </is>
      </c>
      <c r="K133" s="377" t="inlineStr">
        <is>
          <t>ESTAB_LIC_CODE</t>
        </is>
      </c>
      <c r="L133" s="417" t="inlineStr">
        <is>
          <t>VARCHAR2(100)</t>
        </is>
      </c>
      <c r="M133" s="377" t="inlineStr">
        <is>
          <t>LEFT JOIN PG_BRONZE.T24CORE_CUSTOMER cus ON crb.CUS_ID = cus.RECID</t>
        </is>
      </c>
      <c r="N133" s="377" t="inlineStr">
        <is>
          <t>TRIM(cus.ESTAB_LIC_CODE)</t>
        </is>
      </c>
      <c r="O133" s="377" t="inlineStr">
        <is>
          <t>Source -&gt; PG_BRONZE (1:1) -&gt; PG_SILVER (Temp 2)</t>
        </is>
      </c>
      <c r="P133" s="357" t="inlineStr">
        <is>
          <t>Số giấy phép thành lập / đăng ký kinh doanh (Map từ PG_BRONZE.T24CORE_CUSTOMER.ESTAB_LIC_CODE -&gt; PG_SILVER.Saoke_GIAINGAN.ESTAB_LIC_CODE)</t>
        </is>
      </c>
    </row>
    <row r="134" ht="14.25" customHeight="1" s="335">
      <c r="A134" s="416">
        <f>C134&amp;D134&amp;E134</f>
        <v/>
      </c>
      <c r="B134" s="416" t="inlineStr">
        <is>
          <t>Saoke_GIAINGAN</t>
        </is>
      </c>
      <c r="C134" s="416" t="inlineStr">
        <is>
          <t>T24CORE</t>
        </is>
      </c>
      <c r="D134" s="416" t="inlineStr">
        <is>
          <t>CUSTOMER</t>
        </is>
      </c>
      <c r="E134" s="416" t="inlineStr">
        <is>
          <t>FFB_TYPE</t>
        </is>
      </c>
      <c r="F134" s="417" t="inlineStr">
        <is>
          <t>1:1</t>
        </is>
      </c>
      <c r="G134" s="417" t="inlineStr">
        <is>
          <t>PG_BRONZE</t>
        </is>
      </c>
      <c r="H134" s="377" t="inlineStr">
        <is>
          <t>T24CORE_CUSTOMER</t>
        </is>
      </c>
      <c r="I134" s="377" t="inlineStr">
        <is>
          <t>FFB_TYPE</t>
        </is>
      </c>
      <c r="J134" s="417" t="inlineStr">
        <is>
          <t>PG_SILVER</t>
        </is>
      </c>
      <c r="K134" s="377" t="inlineStr">
        <is>
          <t>FFB_TYPE</t>
        </is>
      </c>
      <c r="L134" s="417" t="inlineStr">
        <is>
          <t>VARCHAR2(100)</t>
        </is>
      </c>
      <c r="M134" s="377" t="inlineStr">
        <is>
          <t>LEFT JOIN PG_BRONZE.T24CORE_CUSTOMER cus ON crb.CUS_ID = cus.RECID</t>
        </is>
      </c>
      <c r="N134" s="377" t="inlineStr">
        <is>
          <t>TRIM(cus.FFB_TYPE)</t>
        </is>
      </c>
      <c r="O134" s="377" t="inlineStr">
        <is>
          <t>Source -&gt; PG_BRONZE (1:1) -&gt; PG_SILVER (Temp 2)</t>
        </is>
      </c>
      <c r="P134" s="357" t="inlineStr">
        <is>
          <t>Phân hạng khách hàng ưu tiên (VIP Type) (Map từ PG_BRONZE.T24CORE_CUSTOMER.FFB_TYPE -&gt; PG_SILVER.Saoke_GIAINGAN.FFB_TYPE)</t>
        </is>
      </c>
    </row>
    <row r="135" ht="14.25" customHeight="1" s="335">
      <c r="A135" s="416">
        <f>C135&amp;D135&amp;E135</f>
        <v/>
      </c>
      <c r="B135" s="416" t="inlineStr">
        <is>
          <t>Saoke_GIAINGAN</t>
        </is>
      </c>
      <c r="C135" s="416" t="inlineStr">
        <is>
          <t>T24CORE</t>
        </is>
      </c>
      <c r="D135" s="416" t="inlineStr">
        <is>
          <t>CUSTOMER</t>
        </is>
      </c>
      <c r="E135" s="416" t="inlineStr">
        <is>
          <t>GEN_DIR_PLC</t>
        </is>
      </c>
      <c r="F135" s="417" t="inlineStr">
        <is>
          <t>1:1</t>
        </is>
      </c>
      <c r="G135" s="417" t="inlineStr">
        <is>
          <t>PG_BRONZE</t>
        </is>
      </c>
      <c r="H135" s="377" t="inlineStr">
        <is>
          <t>T24CORE_CUSTOMER</t>
        </is>
      </c>
      <c r="I135" s="377" t="inlineStr">
        <is>
          <t>GEN_DIR_PLC</t>
        </is>
      </c>
      <c r="J135" s="417" t="inlineStr">
        <is>
          <t>PG_SILVER</t>
        </is>
      </c>
      <c r="K135" s="377" t="inlineStr">
        <is>
          <t>GEN_DIR_PLC</t>
        </is>
      </c>
      <c r="L135" s="417" t="inlineStr">
        <is>
          <t>VARCHAR2(100)</t>
        </is>
      </c>
      <c r="M135" s="377" t="inlineStr">
        <is>
          <t>LEFT JOIN PG_BRONZE.T24CORE_CUSTOMER cus ON crb.CUS_ID = cus.RECID</t>
        </is>
      </c>
      <c r="N135" s="377" t="inlineStr">
        <is>
          <t>TRIM(cus.GEN_DIR_PLC)</t>
        </is>
      </c>
      <c r="O135" s="377" t="inlineStr">
        <is>
          <t>Source -&gt; PG_BRONZE (1:1) -&gt; PG_SILVER (Temp 2)</t>
        </is>
      </c>
      <c r="P135" s="357" t="inlineStr">
        <is>
          <t>Nơi sinh / quốc tịch của Tổng giám đốc / người đại diện (Map từ PG_BRONZE.T24CORE_CUSTOMER.GEN_DIR_PLC -&gt; PG_SILVER.Saoke_GIAINGAN.GEN_DIR_PLC)</t>
        </is>
      </c>
    </row>
    <row r="136" ht="14.25" customHeight="1" s="335">
      <c r="A136" s="416">
        <f>C136&amp;D136&amp;E136</f>
        <v/>
      </c>
      <c r="B136" s="416" t="inlineStr">
        <is>
          <t>Saoke_GIAINGAN</t>
        </is>
      </c>
      <c r="C136" s="416" t="inlineStr">
        <is>
          <t>T24CORE</t>
        </is>
      </c>
      <c r="D136" s="416" t="inlineStr">
        <is>
          <t>CUSTOMER</t>
        </is>
      </c>
      <c r="E136" s="416" t="inlineStr">
        <is>
          <t>HOME_NUMBER</t>
        </is>
      </c>
      <c r="F136" s="417" t="inlineStr">
        <is>
          <t>1:1</t>
        </is>
      </c>
      <c r="G136" s="417" t="inlineStr">
        <is>
          <t>PG_BRONZE</t>
        </is>
      </c>
      <c r="H136" s="377" t="inlineStr">
        <is>
          <t>T24CORE_CUSTOMER</t>
        </is>
      </c>
      <c r="I136" s="377" t="inlineStr">
        <is>
          <t>HOME_NUMBER</t>
        </is>
      </c>
      <c r="J136" s="417" t="inlineStr">
        <is>
          <t>PG_SILVER</t>
        </is>
      </c>
      <c r="K136" s="377" t="inlineStr">
        <is>
          <t>HOME_NUMBER</t>
        </is>
      </c>
      <c r="L136" s="417" t="inlineStr">
        <is>
          <t>VARCHAR2(100)</t>
        </is>
      </c>
      <c r="M136" s="377" t="inlineStr">
        <is>
          <t>LEFT JOIN PG_BRONZE.T24CORE_CUSTOMER cus ON crb.CUS_ID = cus.RECID</t>
        </is>
      </c>
      <c r="N136" s="377" t="inlineStr">
        <is>
          <t>TRIM(cus.HOME_NUMBER)</t>
        </is>
      </c>
      <c r="O136" s="377" t="inlineStr">
        <is>
          <t>Source -&gt; PG_BRONZE (1:1) -&gt; PG_SILVER (Temp 2)</t>
        </is>
      </c>
      <c r="P136" s="357" t="inlineStr">
        <is>
          <t>Số điện thoại nhà tiêng (Map từ PG_BRONZE.T24CORE_CUSTOMER.HOME_NUMBER -&gt; PG_SILVER.Saoke_GIAINGAN.HOME_NUMBER)</t>
        </is>
      </c>
    </row>
    <row r="137" ht="14.25" customHeight="1" s="335">
      <c r="A137" s="416">
        <f>C137&amp;D137&amp;E137</f>
        <v/>
      </c>
      <c r="B137" s="416" t="inlineStr">
        <is>
          <t>Saoke_GIAINGAN</t>
        </is>
      </c>
      <c r="C137" s="416" t="inlineStr">
        <is>
          <t>T24CORE</t>
        </is>
      </c>
      <c r="D137" s="416" t="inlineStr">
        <is>
          <t>CUSTOMER</t>
        </is>
      </c>
      <c r="E137" s="416" t="inlineStr">
        <is>
          <t>INDUSTRY</t>
        </is>
      </c>
      <c r="F137" s="417" t="inlineStr">
        <is>
          <t>1:1</t>
        </is>
      </c>
      <c r="G137" s="417" t="inlineStr">
        <is>
          <t>PG_BRONZE</t>
        </is>
      </c>
      <c r="H137" s="377" t="inlineStr">
        <is>
          <t>T24CORE_CUSTOMER</t>
        </is>
      </c>
      <c r="I137" s="377" t="inlineStr">
        <is>
          <t>INDUSTRY</t>
        </is>
      </c>
      <c r="J137" s="417" t="inlineStr">
        <is>
          <t>PG_SILVER</t>
        </is>
      </c>
      <c r="K137" s="377" t="inlineStr">
        <is>
          <t>INDUSTRY</t>
        </is>
      </c>
      <c r="L137" s="417" t="inlineStr">
        <is>
          <t>VARCHAR2(100)</t>
        </is>
      </c>
      <c r="M137" s="377" t="inlineStr">
        <is>
          <t>LEFT JOIN PG_BRONZE.T24CORE_CUSTOMER cus ON crb.CUS_ID = cus.RECID</t>
        </is>
      </c>
      <c r="N137" s="377" t="inlineStr">
        <is>
          <t>TRIM(cus.INDUSTRY)</t>
        </is>
      </c>
      <c r="O137" s="377" t="inlineStr">
        <is>
          <t>Source -&gt; PG_BRONZE (1:1) -&gt; PG_SILVER (Temp 2)</t>
        </is>
      </c>
      <c r="P137" s="357" t="inlineStr">
        <is>
          <t>Mã ngành nghề đăng ký kinh doanh (Map từ PG_BRONZE.T24CORE_CUSTOMER.INDUSTRY -&gt; PG_SILVER.Saoke_GIAINGAN.INDUSTRY)</t>
        </is>
      </c>
    </row>
    <row r="138" ht="14.25" customHeight="1" s="335">
      <c r="A138" s="416">
        <f>C138&amp;D138&amp;E138</f>
        <v/>
      </c>
      <c r="B138" s="416" t="inlineStr">
        <is>
          <t>SAOKE_TINDUNG</t>
        </is>
      </c>
      <c r="C138" s="416" t="inlineStr">
        <is>
          <t>T24CORE</t>
        </is>
      </c>
      <c r="D138" s="416" t="inlineStr">
        <is>
          <t>CUSTOMER</t>
        </is>
      </c>
      <c r="E138" s="416" t="inlineStr">
        <is>
          <t>INTERNET_BANKING_SERVICE</t>
        </is>
      </c>
      <c r="F138" s="417" t="inlineStr">
        <is>
          <t>1:1</t>
        </is>
      </c>
      <c r="G138" s="417" t="inlineStr">
        <is>
          <t>PG_BRONZE</t>
        </is>
      </c>
      <c r="H138" s="377" t="inlineStr">
        <is>
          <t>T24CORE_CUSTOMER</t>
        </is>
      </c>
      <c r="I138" s="377" t="inlineStr">
        <is>
          <t>INTERNET_BANKING_SERVICE</t>
        </is>
      </c>
      <c r="J138" s="417" t="inlineStr">
        <is>
          <t>PG_SILVER</t>
        </is>
      </c>
      <c r="K138" s="377" t="inlineStr">
        <is>
          <t>INTERNET_BANKING_SERVICE</t>
        </is>
      </c>
      <c r="L138" s="417" t="inlineStr">
        <is>
          <t>VARCHAR2(100)</t>
        </is>
      </c>
      <c r="M138" s="377" t="inlineStr">
        <is>
          <t>LEFT JOIN PG_BRONZE.T24CORE_CUSTOMER cus ON ld.CUSTOMER_ID = cus.RECID</t>
        </is>
      </c>
      <c r="N138" s="377" t="inlineStr">
        <is>
          <t>TRIM(cus.INTERNET_BANKING_SERVICE)</t>
        </is>
      </c>
      <c r="O138" s="377" t="inlineStr">
        <is>
          <t>Source -&gt; PG_BRONZE (1:1) -&gt; PG_SILVER (Temp 2)</t>
        </is>
      </c>
      <c r="P138" s="357" t="inlineStr">
        <is>
          <t>Dịch vụ Internet banking khách hàng giao tiếp (Map từ PG_BRONZE.T24CORE_CUSTOMER.INTERNET_BANKING_SERVICE -&gt; PG_SILVER.SAOKE_TINDUNG.INTERNET_BANKING_SERVICE)</t>
        </is>
      </c>
    </row>
    <row r="139" ht="14.25" customHeight="1" s="335">
      <c r="A139" s="416">
        <f>C139&amp;D139&amp;E139</f>
        <v/>
      </c>
      <c r="B139" s="416" t="inlineStr">
        <is>
          <t>SAOKE_TINDUNG</t>
        </is>
      </c>
      <c r="C139" s="416" t="inlineStr">
        <is>
          <t>T24CORE</t>
        </is>
      </c>
      <c r="D139" s="416" t="inlineStr">
        <is>
          <t>CUSTOMER</t>
        </is>
      </c>
      <c r="E139" s="416" t="inlineStr">
        <is>
          <t>KHOI</t>
        </is>
      </c>
      <c r="F139" s="417" t="inlineStr">
        <is>
          <t>1:1</t>
        </is>
      </c>
      <c r="G139" s="417" t="inlineStr">
        <is>
          <t>PG_BRONZE</t>
        </is>
      </c>
      <c r="H139" s="377" t="inlineStr">
        <is>
          <t>T24CORE_CUSTOMER</t>
        </is>
      </c>
      <c r="I139" s="377" t="inlineStr">
        <is>
          <t>KHOI</t>
        </is>
      </c>
      <c r="J139" s="417" t="inlineStr">
        <is>
          <t>PG_SILVER</t>
        </is>
      </c>
      <c r="K139" s="377" t="inlineStr">
        <is>
          <t>KHOI</t>
        </is>
      </c>
      <c r="L139" s="417" t="inlineStr">
        <is>
          <t>VARCHAR2(100)</t>
        </is>
      </c>
      <c r="M139" s="377" t="inlineStr">
        <is>
          <t>LEFT JOIN PG_BRONZE.T24CORE_CUSTOMER cus ON ld.CUSTOMER_ID = cus.RECID</t>
        </is>
      </c>
      <c r="N139" s="377" t="inlineStr">
        <is>
          <t>TRIM(cus.KHOI)</t>
        </is>
      </c>
      <c r="O139" s="377" t="inlineStr">
        <is>
          <t>Source -&gt; PG_BRONZE (1:1) -&gt; PG_SILVER (Temp 2)</t>
        </is>
      </c>
      <c r="P139" s="357" t="inlineStr">
        <is>
          <t>mã Khối quản lý khách hàng (Map từ PG_BRONZE.T24CORE_CUSTOMER.KHOI -&gt; PG_SILVER.SAOKE_TINDUNG.KHOI)</t>
        </is>
      </c>
    </row>
    <row r="140" ht="14.25" customHeight="1" s="335">
      <c r="A140" s="416">
        <f>C140&amp;D140&amp;E140</f>
        <v/>
      </c>
      <c r="B140" s="416" t="inlineStr">
        <is>
          <t>SAOKE_TINDUNG</t>
        </is>
      </c>
      <c r="C140" s="416" t="inlineStr">
        <is>
          <t>T24CORE</t>
        </is>
      </c>
      <c r="D140" s="416" t="inlineStr">
        <is>
          <t>CUSTOMER</t>
        </is>
      </c>
      <c r="E140" s="416" t="inlineStr">
        <is>
          <t>KYC_CHANNEL</t>
        </is>
      </c>
      <c r="F140" s="417" t="inlineStr">
        <is>
          <t>1:1</t>
        </is>
      </c>
      <c r="G140" s="417" t="inlineStr">
        <is>
          <t>PG_BRONZE</t>
        </is>
      </c>
      <c r="H140" s="377" t="inlineStr">
        <is>
          <t>T24CORE_CUSTOMER</t>
        </is>
      </c>
      <c r="I140" s="377" t="inlineStr">
        <is>
          <t>KYC_CHANNEL</t>
        </is>
      </c>
      <c r="J140" s="417" t="inlineStr">
        <is>
          <t>PG_SILVER</t>
        </is>
      </c>
      <c r="K140" s="377" t="inlineStr">
        <is>
          <t>KYC_CHANNEL</t>
        </is>
      </c>
      <c r="L140" s="417" t="inlineStr">
        <is>
          <t>VARCHAR2(100)</t>
        </is>
      </c>
      <c r="M140" s="377" t="inlineStr">
        <is>
          <t>LEFT JOIN PG_BRONZE.T24CORE_CUSTOMER cus ON ld.CUSTOMER_ID = cus.RECID</t>
        </is>
      </c>
      <c r="N140" s="377" t="inlineStr">
        <is>
          <t>TRIM(cus.KYC_CHANNEL)</t>
        </is>
      </c>
      <c r="O140" s="377" t="inlineStr">
        <is>
          <t>Source -&gt; PG_BRONZE (1:1) -&gt; PG_SILVER (Temp 2)</t>
        </is>
      </c>
      <c r="P140" s="357" t="inlineStr">
        <is>
          <t>Kênh thực hiện KYC (Map từ PG_BRONZE.T24CORE_CUSTOMER.KYC_CHANNEL -&gt; PG_SILVER.SAOKE_TINDUNG.KYC_CHANNEL)</t>
        </is>
      </c>
    </row>
    <row r="141" ht="14.25" customHeight="1" s="335">
      <c r="A141" s="416">
        <f>C141&amp;D141&amp;E141</f>
        <v/>
      </c>
      <c r="B141" s="416" t="inlineStr">
        <is>
          <t>SAOKE_TINDUNG</t>
        </is>
      </c>
      <c r="C141" s="416" t="inlineStr">
        <is>
          <t>T24CORE</t>
        </is>
      </c>
      <c r="D141" s="416" t="inlineStr">
        <is>
          <t>CUSTOMER</t>
        </is>
      </c>
      <c r="E141" s="416" t="inlineStr">
        <is>
          <t>MA_BHXH</t>
        </is>
      </c>
      <c r="F141" s="417" t="inlineStr">
        <is>
          <t>1:1</t>
        </is>
      </c>
      <c r="G141" s="417" t="inlineStr">
        <is>
          <t>PG_BRONZE</t>
        </is>
      </c>
      <c r="H141" s="377" t="inlineStr">
        <is>
          <t>T24CORE_CUSTOMER</t>
        </is>
      </c>
      <c r="I141" s="377" t="inlineStr">
        <is>
          <t>MA_BHXH</t>
        </is>
      </c>
      <c r="J141" s="417" t="inlineStr">
        <is>
          <t>PG_SILVER</t>
        </is>
      </c>
      <c r="K141" s="377" t="inlineStr">
        <is>
          <t>MA_BHXH</t>
        </is>
      </c>
      <c r="L141" s="417" t="inlineStr">
        <is>
          <t>VARCHAR2(100)</t>
        </is>
      </c>
      <c r="M141" s="377" t="inlineStr">
        <is>
          <t>LEFT JOIN PG_BRONZE.T24CORE_CUSTOMER cus ON ld.CUSTOMER_ID = cus.RECID</t>
        </is>
      </c>
      <c r="N141" s="377" t="inlineStr">
        <is>
          <t>TRIM(cus.MA_BHXH)</t>
        </is>
      </c>
      <c r="O141" s="377" t="inlineStr">
        <is>
          <t>Source -&gt; PG_BRONZE (1:1) -&gt; PG_SILVER (Temp 2)</t>
        </is>
      </c>
      <c r="P141" s="357" t="inlineStr">
        <is>
          <t>Mã bảo hiểm xã hội (Map từ PG_BRONZE.T24CORE_CUSTOMER.MA_BHXH -&gt; PG_SILVER.SAOKE_TINDUNG.MA_BHXH)</t>
        </is>
      </c>
    </row>
    <row r="142" ht="14.25" customHeight="1" s="335">
      <c r="A142" s="416">
        <f>C142&amp;D142&amp;E142</f>
        <v/>
      </c>
      <c r="B142" s="416" t="inlineStr">
        <is>
          <t>SAOKE_TINDUNG</t>
        </is>
      </c>
      <c r="C142" s="416" t="inlineStr">
        <is>
          <t>T24CORE</t>
        </is>
      </c>
      <c r="D142" s="416" t="inlineStr">
        <is>
          <t>CUSTOMER</t>
        </is>
      </c>
      <c r="E142" s="416" t="inlineStr">
        <is>
          <t>MAU_HD</t>
        </is>
      </c>
      <c r="F142" s="417" t="inlineStr">
        <is>
          <t>1:1</t>
        </is>
      </c>
      <c r="G142" s="417" t="inlineStr">
        <is>
          <t>PG_BRONZE</t>
        </is>
      </c>
      <c r="H142" s="377" t="inlineStr">
        <is>
          <t>T24CORE_CUSTOMER</t>
        </is>
      </c>
      <c r="I142" s="377" t="inlineStr">
        <is>
          <t>MAU_HD</t>
        </is>
      </c>
      <c r="J142" s="417" t="inlineStr">
        <is>
          <t>PG_SILVER</t>
        </is>
      </c>
      <c r="K142" s="377" t="inlineStr">
        <is>
          <t>MAU_HD</t>
        </is>
      </c>
      <c r="L142" s="417" t="inlineStr">
        <is>
          <t>VARCHAR2(100)</t>
        </is>
      </c>
      <c r="M142" s="377" t="inlineStr">
        <is>
          <t>LEFT JOIN PG_BRONZE.T24CORE_CUSTOMER cus ON ld.CUSTOMER_ID = cus.RECID</t>
        </is>
      </c>
      <c r="N142" s="377" t="inlineStr">
        <is>
          <t>TRIM(cus.MAU_HD)</t>
        </is>
      </c>
      <c r="O142" s="377" t="inlineStr">
        <is>
          <t>Source -&gt; PG_BRONZE (1:1) -&gt; PG_SILVER (Temp 2)</t>
        </is>
      </c>
      <c r="P142" s="357" t="inlineStr">
        <is>
          <t>Mã biểu mẫu hợp đồng chuẩn áp dụng cho khách hàng (Map từ PG_BRONZE.T24CORE_CUSTOMER.MAU_HD -&gt; PG_SILVER.SAOKE_TINDUNG.MAU_HD)</t>
        </is>
      </c>
    </row>
    <row r="143" ht="14.25" customHeight="1" s="335">
      <c r="A143" s="416">
        <f>C143&amp;D143&amp;E143</f>
        <v/>
      </c>
      <c r="B143" s="416" t="inlineStr">
        <is>
          <t>SAOKE_TINDUNG</t>
        </is>
      </c>
      <c r="C143" s="416" t="inlineStr">
        <is>
          <t>T24CORE</t>
        </is>
      </c>
      <c r="D143" s="416" t="inlineStr">
        <is>
          <t>CUSTOMER</t>
        </is>
      </c>
      <c r="E143" s="416" t="inlineStr">
        <is>
          <t>MB_CR_STT</t>
        </is>
      </c>
      <c r="F143" s="417" t="inlineStr">
        <is>
          <t>1:1</t>
        </is>
      </c>
      <c r="G143" s="417" t="inlineStr">
        <is>
          <t>PG_BRONZE</t>
        </is>
      </c>
      <c r="H143" s="377" t="inlineStr">
        <is>
          <t>T24CORE_CUSTOMER</t>
        </is>
      </c>
      <c r="I143" s="377" t="inlineStr">
        <is>
          <t>MB_CR_STT</t>
        </is>
      </c>
      <c r="J143" s="417" t="inlineStr">
        <is>
          <t>PG_SILVER</t>
        </is>
      </c>
      <c r="K143" s="377" t="inlineStr">
        <is>
          <t>MB_CR_STT</t>
        </is>
      </c>
      <c r="L143" s="417" t="inlineStr">
        <is>
          <t>VARCHAR2(100)</t>
        </is>
      </c>
      <c r="M143" s="377" t="inlineStr">
        <is>
          <t>LEFT JOIN PG_BRONZE.T24CORE_CUSTOMER cus ON ld.CUSTOMER_ID = cus.RECID</t>
        </is>
      </c>
      <c r="N143" s="377" t="inlineStr">
        <is>
          <t>TRIM(cus.MB_CR_STT)</t>
        </is>
      </c>
      <c r="O143" s="377" t="inlineStr">
        <is>
          <t>Source -&gt; PG_BRONZE (1:1) -&gt; PG_SILVER (Temp 2)</t>
        </is>
      </c>
      <c r="P143" s="357" t="inlineStr">
        <is>
          <t>Trạng thái quan hệ tín dụng của khách hàng tại ngân hàng (Map từ PG_BRONZE.T24CORE_CUSTOMER.MB_CR_STT -&gt; PG_SILVER.SAOKE_TINDUNG.MB_CR_STT)</t>
        </is>
      </c>
    </row>
    <row r="144" ht="14.25" customHeight="1" s="335">
      <c r="A144" s="416">
        <f>C144&amp;D144&amp;E144</f>
        <v/>
      </c>
      <c r="B144" s="416" t="inlineStr">
        <is>
          <t>SAOKE_TINDUNG</t>
        </is>
      </c>
      <c r="C144" s="416" t="inlineStr">
        <is>
          <t>T24CORE</t>
        </is>
      </c>
      <c r="D144" s="416" t="inlineStr">
        <is>
          <t>CUSTOMER</t>
        </is>
      </c>
      <c r="E144" s="416" t="inlineStr">
        <is>
          <t>MB_INDUSTRY</t>
        </is>
      </c>
      <c r="F144" s="417" t="inlineStr">
        <is>
          <t>1:1</t>
        </is>
      </c>
      <c r="G144" s="417" t="inlineStr">
        <is>
          <t>PG_BRONZE</t>
        </is>
      </c>
      <c r="H144" s="377" t="inlineStr">
        <is>
          <t>T24CORE_CUSTOMER</t>
        </is>
      </c>
      <c r="I144" s="377" t="inlineStr">
        <is>
          <t>MB_INDUSTRY</t>
        </is>
      </c>
      <c r="J144" s="417" t="inlineStr">
        <is>
          <t>PG_SILVER</t>
        </is>
      </c>
      <c r="K144" s="377" t="inlineStr">
        <is>
          <t>MB_INDUSTRY</t>
        </is>
      </c>
      <c r="L144" s="417" t="inlineStr">
        <is>
          <t>VARCHAR2(100)</t>
        </is>
      </c>
      <c r="M144" s="377" t="inlineStr">
        <is>
          <t>LEFT JOIN PG_BRONZE.T24CORE_CUSTOMER cus ON ld.CUSTOMER_ID = cus.RECID</t>
        </is>
      </c>
      <c r="N144" s="377" t="inlineStr">
        <is>
          <t>TRIM(cus.MB_INDUSTRY)</t>
        </is>
      </c>
      <c r="O144" s="377" t="inlineStr">
        <is>
          <t>Source -&gt; PG_BRONZE (1:1) -&gt; PG_SILVER (Temp 2)</t>
        </is>
      </c>
      <c r="P144" s="357" t="inlineStr">
        <is>
          <t>Ngành nghề kinh tế (Map từ PG_BRONZE.T24CORE_CUSTOMER.MB_INDUSTRY -&gt; PG_SILVER.SAOKE_TINDUNG.MB_INDUSTRY)</t>
        </is>
      </c>
    </row>
    <row r="145" ht="14.25" customHeight="1" s="335">
      <c r="A145" s="416">
        <f>C145&amp;D145&amp;E145</f>
        <v/>
      </c>
      <c r="B145" s="416" t="inlineStr">
        <is>
          <t>SAOKE_TINDUNG</t>
        </is>
      </c>
      <c r="C145" s="416" t="inlineStr">
        <is>
          <t>T24CORE</t>
        </is>
      </c>
      <c r="D145" s="416" t="inlineStr">
        <is>
          <t>CUSTOMER</t>
        </is>
      </c>
      <c r="E145" s="416" t="inlineStr">
        <is>
          <t>MB_RM_BANCHEO</t>
        </is>
      </c>
      <c r="F145" s="417" t="inlineStr">
        <is>
          <t>1:1</t>
        </is>
      </c>
      <c r="G145" s="417" t="inlineStr">
        <is>
          <t>PG_BRONZE</t>
        </is>
      </c>
      <c r="H145" s="377" t="inlineStr">
        <is>
          <t>T24CORE_CUSTOMER</t>
        </is>
      </c>
      <c r="I145" s="377" t="inlineStr">
        <is>
          <t>MB_RM_BANCHEO</t>
        </is>
      </c>
      <c r="J145" s="417" t="inlineStr">
        <is>
          <t>PG_SILVER</t>
        </is>
      </c>
      <c r="K145" s="377" t="inlineStr">
        <is>
          <t>MB_RM_BANCHEO</t>
        </is>
      </c>
      <c r="L145" s="417" t="inlineStr">
        <is>
          <t>VARCHAR2(100)</t>
        </is>
      </c>
      <c r="M145" s="377" t="inlineStr">
        <is>
          <t>LEFT JOIN PG_BRONZE.T24CORE_CUSTOMER cus ON ld.CUSTOMER_ID = cus.RECID</t>
        </is>
      </c>
      <c r="N145" s="377" t="inlineStr">
        <is>
          <t>TRIM(cus.MB_RM_BANCHEO)</t>
        </is>
      </c>
      <c r="O145" s="377" t="inlineStr">
        <is>
          <t>Source -&gt; PG_BRONZE (1:1) -&gt; PG_SILVER (Temp 2)</t>
        </is>
      </c>
      <c r="P145" s="357" t="inlineStr">
        <is>
          <t>Mã nhân sự bán chéo sản phẩm (Map từ PG_BRONZE.T24CORE_CUSTOMER.MB_RM_BANCHEO -&gt; PG_SILVER.SAOKE_TINDUNG.MB_RM_BANCHEO)</t>
        </is>
      </c>
    </row>
    <row r="146" ht="14.25" customHeight="1" s="335">
      <c r="A146" s="416">
        <f>C146&amp;D146&amp;E146</f>
        <v/>
      </c>
      <c r="B146" s="416" t="inlineStr">
        <is>
          <t>SAOKE_TINDUNG</t>
        </is>
      </c>
      <c r="C146" s="416" t="inlineStr">
        <is>
          <t>T24CORE</t>
        </is>
      </c>
      <c r="D146" s="416" t="inlineStr">
        <is>
          <t>CUSTOMER</t>
        </is>
      </c>
      <c r="E146" s="416" t="inlineStr">
        <is>
          <t>MOBILE_BANKING_SERVICE</t>
        </is>
      </c>
      <c r="F146" s="417" t="inlineStr">
        <is>
          <t>1:1</t>
        </is>
      </c>
      <c r="G146" s="417" t="inlineStr">
        <is>
          <t>PG_BRONZE</t>
        </is>
      </c>
      <c r="H146" s="377" t="inlineStr">
        <is>
          <t>T24CORE_CUSTOMER</t>
        </is>
      </c>
      <c r="I146" s="377" t="inlineStr">
        <is>
          <t>MOBILE_BANKING_SERVICE</t>
        </is>
      </c>
      <c r="J146" s="417" t="inlineStr">
        <is>
          <t>PG_SILVER</t>
        </is>
      </c>
      <c r="K146" s="377" t="inlineStr">
        <is>
          <t>MOBILE_BANKING_SERVICE</t>
        </is>
      </c>
      <c r="L146" s="417" t="inlineStr">
        <is>
          <t>VARCHAR2(100)</t>
        </is>
      </c>
      <c r="M146" s="377" t="inlineStr">
        <is>
          <t>LEFT JOIN PG_BRONZE.T24CORE_CUSTOMER cus ON ld.CUSTOMER_ID = cus.RECID</t>
        </is>
      </c>
      <c r="N146" s="377" t="inlineStr">
        <is>
          <t>TRIM(cus.MOBILE_BANKING_SERVICE)</t>
        </is>
      </c>
      <c r="O146" s="377" t="inlineStr">
        <is>
          <t>Source -&gt; PG_BRONZE (1:1) -&gt; PG_SILVER (Temp 2)</t>
        </is>
      </c>
      <c r="P146" s="357" t="inlineStr">
        <is>
          <t>Dịch vụ sử dụng sản phẩm mobile banking (Map từ PG_BRONZE.T24CORE_CUSTOMER.MOBILE_BANKING_SERVICE -&gt; PG_SILVER.SAOKE_TINDUNG.MOBILE_BANKING_SERVICE)</t>
        </is>
      </c>
    </row>
    <row r="147" ht="14.25" customHeight="1" s="335">
      <c r="A147" s="416">
        <f>C147&amp;D147&amp;E147</f>
        <v/>
      </c>
      <c r="B147" s="416" t="inlineStr">
        <is>
          <t>SAOKE_TINDUNG</t>
        </is>
      </c>
      <c r="C147" s="416" t="inlineStr">
        <is>
          <t>T24CORE</t>
        </is>
      </c>
      <c r="D147" s="416" t="inlineStr">
        <is>
          <t>CUSTOMER</t>
        </is>
      </c>
      <c r="E147" s="416" t="inlineStr">
        <is>
          <t>MOBILE_NUMBER</t>
        </is>
      </c>
      <c r="F147" s="417" t="inlineStr">
        <is>
          <t>1:1</t>
        </is>
      </c>
      <c r="G147" s="417" t="inlineStr">
        <is>
          <t>PG_BRONZE</t>
        </is>
      </c>
      <c r="H147" s="377" t="inlineStr">
        <is>
          <t>T24CORE_CUSTOMER</t>
        </is>
      </c>
      <c r="I147" s="377" t="inlineStr">
        <is>
          <t>MOBILE_NUMBER</t>
        </is>
      </c>
      <c r="J147" s="417" t="inlineStr">
        <is>
          <t>PG_SILVER</t>
        </is>
      </c>
      <c r="K147" s="377" t="inlineStr">
        <is>
          <t>MOBILE_NUMBER</t>
        </is>
      </c>
      <c r="L147" s="417" t="inlineStr">
        <is>
          <t>VARCHAR2(100)</t>
        </is>
      </c>
      <c r="M147" s="377" t="inlineStr">
        <is>
          <t>LEFT JOIN PG_BRONZE.T24CORE_CUSTOMER cus ON ld.CUSTOMER_ID = cus.RECID</t>
        </is>
      </c>
      <c r="N147" s="377" t="inlineStr">
        <is>
          <t>TRIM(cus.MOBILE_NUMBER)</t>
        </is>
      </c>
      <c r="O147" s="377" t="inlineStr">
        <is>
          <t>Source -&gt; PG_BRONZE (1:1) -&gt; PG_SILVER (Temp 2)</t>
        </is>
      </c>
      <c r="P147" s="357" t="inlineStr">
        <is>
          <t>Số điện thoại di động (Map từ PG_BRONZE.T24CORE_CUSTOMER.MOBILE_NUMBER -&gt; PG_SILVER.SAOKE_TINDUNG.MOBILE_NUMBER)</t>
        </is>
      </c>
    </row>
    <row r="148" ht="14.25" customHeight="1" s="335">
      <c r="A148" s="416">
        <f>C148&amp;D148&amp;E148</f>
        <v/>
      </c>
      <c r="B148" s="416" t="inlineStr">
        <is>
          <t>SAOKE_TINDUNG</t>
        </is>
      </c>
      <c r="C148" s="416" t="inlineStr">
        <is>
          <t>T24CORE</t>
        </is>
      </c>
      <c r="D148" s="416" t="inlineStr">
        <is>
          <t>CUSTOMER</t>
        </is>
      </c>
      <c r="E148" s="416" t="inlineStr">
        <is>
          <t>NAT_ID_EXP_DATE</t>
        </is>
      </c>
      <c r="F148" s="417" t="inlineStr">
        <is>
          <t>1:1</t>
        </is>
      </c>
      <c r="G148" s="417" t="inlineStr">
        <is>
          <t>PG_BRONZE</t>
        </is>
      </c>
      <c r="H148" s="377" t="inlineStr">
        <is>
          <t>T24CORE_CUSTOMER</t>
        </is>
      </c>
      <c r="I148" s="377" t="inlineStr">
        <is>
          <t>NAT_ID_EXP_DATE</t>
        </is>
      </c>
      <c r="J148" s="417" t="inlineStr">
        <is>
          <t>PG_SILVER</t>
        </is>
      </c>
      <c r="K148" s="377" t="inlineStr">
        <is>
          <t>NAT_ID_EXP_DATE</t>
        </is>
      </c>
      <c r="L148" s="417" t="inlineStr">
        <is>
          <t>DATE</t>
        </is>
      </c>
      <c r="M148" s="377" t="inlineStr">
        <is>
          <t>LEFT JOIN PG_BRONZE.T24CORE_CUSTOMER cus ON ld.CUSTOMER_ID = cus.RECID</t>
        </is>
      </c>
      <c r="N148" s="377" t="inlineStr">
        <is>
          <t>TO_DATE(CAST(cus.NAT_ID_EXP_DATE AS VARCHAR(20)), 'YYYYMMDD')</t>
        </is>
      </c>
      <c r="O148" s="377" t="inlineStr">
        <is>
          <t>Source -&gt; PG_BRONZE (1:1) -&gt; PG_SILVER (Temp 2)</t>
        </is>
      </c>
      <c r="P148" s="357" t="inlineStr">
        <is>
          <t>Ngày hêt hạn CC (Map từ PG_BRONZE.T24CORE_CUSTOMER.NAT_ID_EXP_DATE -&gt; PG_SILVER.SAOKE_TINDUNG.NAT_ID_EXP_DATE)</t>
        </is>
      </c>
    </row>
    <row r="149" ht="14.25" customHeight="1" s="335">
      <c r="A149" s="416">
        <f>C149&amp;D149&amp;E149</f>
        <v/>
      </c>
      <c r="B149" s="416" t="inlineStr">
        <is>
          <t>SAOKE_TINDUNG</t>
        </is>
      </c>
      <c r="C149" s="416" t="inlineStr">
        <is>
          <t>T24CORE</t>
        </is>
      </c>
      <c r="D149" s="416" t="inlineStr">
        <is>
          <t>CUSTOMER</t>
        </is>
      </c>
      <c r="E149" s="416" t="inlineStr">
        <is>
          <t>NAT_ID_ISS_DATE</t>
        </is>
      </c>
      <c r="F149" s="417" t="inlineStr">
        <is>
          <t>1:1</t>
        </is>
      </c>
      <c r="G149" s="417" t="inlineStr">
        <is>
          <t>PG_BRONZE</t>
        </is>
      </c>
      <c r="H149" s="377" t="inlineStr">
        <is>
          <t>T24CORE_CUSTOMER</t>
        </is>
      </c>
      <c r="I149" s="377" t="inlineStr">
        <is>
          <t>NAT_ID_ISS_DATE</t>
        </is>
      </c>
      <c r="J149" s="417" t="inlineStr">
        <is>
          <t>PG_SILVER</t>
        </is>
      </c>
      <c r="K149" s="377" t="inlineStr">
        <is>
          <t>NAT_ID_ISS_DATE</t>
        </is>
      </c>
      <c r="L149" s="417" t="inlineStr">
        <is>
          <t>DATE</t>
        </is>
      </c>
      <c r="M149" s="377" t="inlineStr">
        <is>
          <t>LEFT JOIN PG_BRONZE.T24CORE_CUSTOMER cus ON ld.CUSTOMER_ID = cus.RECID</t>
        </is>
      </c>
      <c r="N149" s="377" t="inlineStr">
        <is>
          <t>TO_DATE(CAST(cus.NAT_ID_ISS_DATE AS VARCHAR(20)), 'YYYYMMDD')</t>
        </is>
      </c>
      <c r="O149" s="377" t="inlineStr">
        <is>
          <t>Source -&gt; PG_BRONZE (1:1) -&gt; PG_SILVER (Temp 2)</t>
        </is>
      </c>
      <c r="P149" s="357" t="inlineStr">
        <is>
          <t>Ngày cấp Căn cước (Map từ PG_BRONZE.T24CORE_CUSTOMER.NAT_ID_ISS_DATE -&gt; PG_SILVER.SAOKE_TINDUNG.NAT_ID_ISS_DATE)</t>
        </is>
      </c>
    </row>
    <row r="150" ht="14.25" customHeight="1" s="335">
      <c r="A150" s="416">
        <f>C150&amp;D150&amp;E150</f>
        <v/>
      </c>
      <c r="B150" s="416" t="inlineStr">
        <is>
          <t>SAOKE_TINDUNG</t>
        </is>
      </c>
      <c r="C150" s="416" t="inlineStr">
        <is>
          <t>T24CORE</t>
        </is>
      </c>
      <c r="D150" s="416" t="inlineStr">
        <is>
          <t>CUSTOMER</t>
        </is>
      </c>
      <c r="E150" s="416" t="inlineStr">
        <is>
          <t>NAT_ID_ISS_PLC</t>
        </is>
      </c>
      <c r="F150" s="417" t="inlineStr">
        <is>
          <t>1:1</t>
        </is>
      </c>
      <c r="G150" s="417" t="inlineStr">
        <is>
          <t>PG_BRONZE</t>
        </is>
      </c>
      <c r="H150" s="377" t="inlineStr">
        <is>
          <t>T24CORE_CUSTOMER</t>
        </is>
      </c>
      <c r="I150" s="377" t="inlineStr">
        <is>
          <t>NAT_ID_ISS_PLC</t>
        </is>
      </c>
      <c r="J150" s="417" t="inlineStr">
        <is>
          <t>PG_SILVER</t>
        </is>
      </c>
      <c r="K150" s="377" t="inlineStr">
        <is>
          <t>NAT_ID_ISS_PLC</t>
        </is>
      </c>
      <c r="L150" s="417" t="inlineStr">
        <is>
          <t>VARCHAR2(100)</t>
        </is>
      </c>
      <c r="M150" s="377" t="inlineStr">
        <is>
          <t>LEFT JOIN PG_BRONZE.T24CORE_CUSTOMER cus ON ld.CUSTOMER_ID = cus.RECID</t>
        </is>
      </c>
      <c r="N150" s="377" t="inlineStr">
        <is>
          <t>TRIM(cus.NAT_ID_ISS_PLC)</t>
        </is>
      </c>
      <c r="O150" s="377" t="inlineStr">
        <is>
          <t>Source -&gt; PG_BRONZE (1:1) -&gt; PG_SILVER (Temp 2)</t>
        </is>
      </c>
      <c r="P150" s="357" t="inlineStr">
        <is>
          <t>Nơi cấp Căn cước (Map từ PG_BRONZE.T24CORE_CUSTOMER.NAT_ID_ISS_PLC -&gt; PG_SILVER.SAOKE_TINDUNG.NAT_ID_ISS_PLC)</t>
        </is>
      </c>
    </row>
    <row r="151" ht="14.25" customHeight="1" s="335">
      <c r="A151" s="416">
        <f>C151&amp;D151&amp;E151</f>
        <v/>
      </c>
      <c r="B151" s="416" t="inlineStr">
        <is>
          <t>SAOKE_TINDUNG</t>
        </is>
      </c>
      <c r="C151" s="416" t="inlineStr">
        <is>
          <t>T24CORE</t>
        </is>
      </c>
      <c r="D151" s="416" t="inlineStr">
        <is>
          <t>CUSTOMER</t>
        </is>
      </c>
      <c r="E151" s="416" t="inlineStr">
        <is>
          <t>NAT_ID_TYPE</t>
        </is>
      </c>
      <c r="F151" s="417" t="inlineStr">
        <is>
          <t>1:1</t>
        </is>
      </c>
      <c r="G151" s="417" t="inlineStr">
        <is>
          <t>PG_BRONZE</t>
        </is>
      </c>
      <c r="H151" s="377" t="inlineStr">
        <is>
          <t>T24CORE_CUSTOMER</t>
        </is>
      </c>
      <c r="I151" s="377" t="inlineStr">
        <is>
          <t>NAT_ID_TYPE</t>
        </is>
      </c>
      <c r="J151" s="417" t="inlineStr">
        <is>
          <t>PG_SILVER</t>
        </is>
      </c>
      <c r="K151" s="377" t="inlineStr">
        <is>
          <t>NAT_ID_TYPE</t>
        </is>
      </c>
      <c r="L151" s="417" t="inlineStr">
        <is>
          <t>VARCHAR2(100)</t>
        </is>
      </c>
      <c r="M151" s="377" t="inlineStr">
        <is>
          <t>LEFT JOIN PG_BRONZE.T24CORE_CUSTOMER cus ON ld.CUSTOMER_ID = cus.RECID</t>
        </is>
      </c>
      <c r="N151" s="377" t="inlineStr">
        <is>
          <t>TRIM(cus.NAT_ID_TYPE)</t>
        </is>
      </c>
      <c r="O151" s="377" t="inlineStr">
        <is>
          <t>Source -&gt; PG_BRONZE (1:1) -&gt; PG_SILVER (Temp 2)</t>
        </is>
      </c>
      <c r="P151" s="357" t="inlineStr">
        <is>
          <t>Loại căn cước (Map từ PG_BRONZE.T24CORE_CUSTOMER.NAT_ID_TYPE -&gt; PG_SILVER.SAOKE_TINDUNG.NAT_ID_TYPE)</t>
        </is>
      </c>
    </row>
    <row r="152" ht="14.25" customHeight="1" s="335">
      <c r="A152" s="416">
        <f>C152&amp;D152&amp;E152</f>
        <v/>
      </c>
      <c r="B152" s="416" t="inlineStr">
        <is>
          <t>SAOKE_TINDUNG</t>
        </is>
      </c>
      <c r="C152" s="416" t="inlineStr">
        <is>
          <t>T24CORE</t>
        </is>
      </c>
      <c r="D152" s="416" t="inlineStr">
        <is>
          <t>CUSTOMER</t>
        </is>
      </c>
      <c r="E152" s="416" t="inlineStr">
        <is>
          <t>NATIONAL_ID</t>
        </is>
      </c>
      <c r="F152" s="417" t="inlineStr">
        <is>
          <t>1:1</t>
        </is>
      </c>
      <c r="G152" s="417" t="inlineStr">
        <is>
          <t>PG_BRONZE</t>
        </is>
      </c>
      <c r="H152" s="377" t="inlineStr">
        <is>
          <t>T24CORE_CUSTOMER</t>
        </is>
      </c>
      <c r="I152" s="377" t="inlineStr">
        <is>
          <t>NATIONAL_ID</t>
        </is>
      </c>
      <c r="J152" s="417" t="inlineStr">
        <is>
          <t>PG_SILVER</t>
        </is>
      </c>
      <c r="K152" s="377" t="inlineStr">
        <is>
          <t>NATIONAL_ID</t>
        </is>
      </c>
      <c r="L152" s="417" t="inlineStr">
        <is>
          <t>VARCHAR2(100)</t>
        </is>
      </c>
      <c r="M152" s="377" t="inlineStr">
        <is>
          <t>LEFT JOIN PG_BRONZE.T24CORE_CUSTOMER cus ON ld.CUSTOMER_ID = cus.RECID</t>
        </is>
      </c>
      <c r="N152" s="377" t="inlineStr">
        <is>
          <t>TRIM(cus.NATIONAL_ID)</t>
        </is>
      </c>
      <c r="O152" s="377" t="inlineStr">
        <is>
          <t>Source -&gt; PG_BRONZE (1:1) -&gt; PG_SILVER (Temp 2)</t>
        </is>
      </c>
      <c r="P152" s="357" t="inlineStr">
        <is>
          <t>Số giấy tờ định danh quốc gia (CCCD/CMND) (Map từ PG_BRONZE.T24CORE_CUSTOMER.NATIONAL_ID -&gt; PG_SILVER.SAOKE_TINDUNG.NATIONAL_ID)</t>
        </is>
      </c>
    </row>
    <row r="153" ht="14.25" customHeight="1" s="335">
      <c r="A153" s="416">
        <f>C153&amp;D153&amp;E153</f>
        <v/>
      </c>
      <c r="B153" s="416" t="inlineStr">
        <is>
          <t>SAOKE_TINDUNG</t>
        </is>
      </c>
      <c r="C153" s="416" t="inlineStr">
        <is>
          <t>T24CORE</t>
        </is>
      </c>
      <c r="D153" s="416" t="inlineStr">
        <is>
          <t>CUSTOMER</t>
        </is>
      </c>
      <c r="E153" s="416" t="inlineStr">
        <is>
          <t>NATIONALITY</t>
        </is>
      </c>
      <c r="F153" s="417" t="inlineStr">
        <is>
          <t>1:1</t>
        </is>
      </c>
      <c r="G153" s="417" t="inlineStr">
        <is>
          <t>PG_BRONZE</t>
        </is>
      </c>
      <c r="H153" s="377" t="inlineStr">
        <is>
          <t>T24CORE_CUSTOMER</t>
        </is>
      </c>
      <c r="I153" s="377" t="inlineStr">
        <is>
          <t>NATIONALITY</t>
        </is>
      </c>
      <c r="J153" s="417" t="inlineStr">
        <is>
          <t>PG_SILVER</t>
        </is>
      </c>
      <c r="K153" s="377" t="inlineStr">
        <is>
          <t>NATIONALITY</t>
        </is>
      </c>
      <c r="L153" s="417" t="inlineStr">
        <is>
          <t>VARCHAR2(100)</t>
        </is>
      </c>
      <c r="M153" s="377" t="inlineStr">
        <is>
          <t>LEFT JOIN PG_BRONZE.T24CORE_CUSTOMER cus ON ld.CUSTOMER_ID = cus.RECID</t>
        </is>
      </c>
      <c r="N153" s="377" t="inlineStr">
        <is>
          <t>TRIM(cus.NATIONALITY)</t>
        </is>
      </c>
      <c r="O153" s="377" t="inlineStr">
        <is>
          <t>Source -&gt; PG_BRONZE (1:1) -&gt; PG_SILVER (Temp 2)</t>
        </is>
      </c>
      <c r="P153" s="357" t="inlineStr">
        <is>
          <t>Quốc tịch (Map từ PG_BRONZE.T24CORE_CUSTOMER.NATIONALITY -&gt; PG_SILVER.SAOKE_TINDUNG.NATIONALITY)</t>
        </is>
      </c>
    </row>
    <row r="154" ht="14.25" customHeight="1" s="335">
      <c r="A154" s="416">
        <f>C154&amp;D154&amp;E154</f>
        <v/>
      </c>
      <c r="B154" s="416" t="inlineStr">
        <is>
          <t>SAOKE_TINDUNG</t>
        </is>
      </c>
      <c r="C154" s="416" t="inlineStr">
        <is>
          <t>T24CORE</t>
        </is>
      </c>
      <c r="D154" s="416" t="inlineStr">
        <is>
          <t>CUSTOMER</t>
        </is>
      </c>
      <c r="E154" s="416" t="inlineStr">
        <is>
          <t>NET_MONTHLY_IN</t>
        </is>
      </c>
      <c r="F154" s="417" t="inlineStr">
        <is>
          <t>1:1</t>
        </is>
      </c>
      <c r="G154" s="417" t="inlineStr">
        <is>
          <t>PG_BRONZE</t>
        </is>
      </c>
      <c r="H154" s="377" t="inlineStr">
        <is>
          <t>T24CORE_CUSTOMER</t>
        </is>
      </c>
      <c r="I154" s="377" t="inlineStr">
        <is>
          <t>NET_MONTHLY_IN</t>
        </is>
      </c>
      <c r="J154" s="417" t="inlineStr">
        <is>
          <t>PG_SILVER</t>
        </is>
      </c>
      <c r="K154" s="377" t="inlineStr">
        <is>
          <t>NET_MONTHLY_IN</t>
        </is>
      </c>
      <c r="L154" s="417" t="inlineStr">
        <is>
          <t>NUMBER(25.5)</t>
        </is>
      </c>
      <c r="M154" s="377" t="inlineStr">
        <is>
          <t>LEFT JOIN PG_BRONZE.T24CORE_CUSTOMER cus ON ld.CUSTOMER_ID = cus.RECID</t>
        </is>
      </c>
      <c r="N154" s="377" t="inlineStr">
        <is>
          <t>COALESCE(CAST(cus.NET_MONTHLY_IN AS DECIMAL(25,5)), 0)</t>
        </is>
      </c>
      <c r="O154" s="377" t="inlineStr">
        <is>
          <t>Source -&gt; PG_BRONZE (1:1) -&gt; PG_SILVER (Temp 2)</t>
        </is>
      </c>
      <c r="P154" s="357" t="inlineStr">
        <is>
          <t>Thu nhập theo tháng (Map từ PG_BRONZE.T24CORE_CUSTOMER.NET_MONTHLY_IN -&gt; PG_SILVER.SAOKE_TINDUNG.NET_MONTHLY_IN)</t>
        </is>
      </c>
    </row>
    <row r="155" ht="14.25" customHeight="1" s="335">
      <c r="A155" s="416">
        <f>C155&amp;D155&amp;E155</f>
        <v/>
      </c>
      <c r="B155" s="416" t="inlineStr">
        <is>
          <t>SAOKE_TINDUNG</t>
        </is>
      </c>
      <c r="C155" s="416" t="inlineStr">
        <is>
          <t>T24CORE</t>
        </is>
      </c>
      <c r="D155" s="416" t="inlineStr">
        <is>
          <t>CUSTOMER</t>
        </is>
      </c>
      <c r="E155" s="416" t="inlineStr">
        <is>
          <t>NO_LIEN_DOI</t>
        </is>
      </c>
      <c r="F155" s="417" t="inlineStr">
        <is>
          <t>1:1</t>
        </is>
      </c>
      <c r="G155" s="417" t="inlineStr">
        <is>
          <t>PG_BRONZE</t>
        </is>
      </c>
      <c r="H155" s="377" t="inlineStr">
        <is>
          <t>T24CORE_CUSTOMER</t>
        </is>
      </c>
      <c r="I155" s="377" t="inlineStr">
        <is>
          <t>NO_LIEN_DOI</t>
        </is>
      </c>
      <c r="J155" s="417" t="inlineStr">
        <is>
          <t>PG_SILVER</t>
        </is>
      </c>
      <c r="K155" s="377" t="inlineStr">
        <is>
          <t>NO_LIEN_DOI</t>
        </is>
      </c>
      <c r="L155" s="417" t="inlineStr">
        <is>
          <t>VARCHAR2(100)</t>
        </is>
      </c>
      <c r="M155" s="377" t="inlineStr">
        <is>
          <t>LEFT JOIN PG_BRONZE.T24CORE_CUSTOMER cus ON ld.CUSTOMER_ID = cus.RECID</t>
        </is>
      </c>
      <c r="N155" s="377" t="inlineStr">
        <is>
          <t>TRIM(cus.NO_LIEN_DOI)</t>
        </is>
      </c>
      <c r="O155" s="377" t="inlineStr">
        <is>
          <t>Source -&gt; PG_BRONZE (1:1) -&gt; PG_SILVER (Temp 2)</t>
        </is>
      </c>
      <c r="P155" s="357" t="inlineStr">
        <is>
          <t>Nợ liên đới (Map từ PG_BRONZE.T24CORE_CUSTOMER.NO_LIEN_DOI -&gt; PG_SILVER.SAOKE_TINDUNG.NO_LIEN_DOI)</t>
        </is>
      </c>
    </row>
    <row r="156" ht="14.25" customHeight="1" s="335">
      <c r="A156" s="416">
        <f>C156&amp;D156&amp;E156</f>
        <v/>
      </c>
      <c r="B156" s="416" t="inlineStr">
        <is>
          <t>SAOKE_TINDUNG</t>
        </is>
      </c>
      <c r="C156" s="416" t="inlineStr">
        <is>
          <t>T24CORE</t>
        </is>
      </c>
      <c r="D156" s="416" t="inlineStr">
        <is>
          <t>CUSTOMER</t>
        </is>
      </c>
      <c r="E156" s="416" t="inlineStr">
        <is>
          <t>OCCUPATION</t>
        </is>
      </c>
      <c r="F156" s="417" t="inlineStr">
        <is>
          <t>1:1</t>
        </is>
      </c>
      <c r="G156" s="417" t="inlineStr">
        <is>
          <t>PG_BRONZE</t>
        </is>
      </c>
      <c r="H156" s="377" t="inlineStr">
        <is>
          <t>T24CORE_CUSTOMER</t>
        </is>
      </c>
      <c r="I156" s="377" t="inlineStr">
        <is>
          <t>OCCUPATION</t>
        </is>
      </c>
      <c r="J156" s="417" t="inlineStr">
        <is>
          <t>PG_SILVER</t>
        </is>
      </c>
      <c r="K156" s="377" t="inlineStr">
        <is>
          <t>OCCUPATION</t>
        </is>
      </c>
      <c r="L156" s="417" t="inlineStr">
        <is>
          <t>VARCHAR2(100)</t>
        </is>
      </c>
      <c r="M156" s="377" t="inlineStr">
        <is>
          <t>LEFT JOIN PG_BRONZE.T24CORE_CUSTOMER cus ON ld.CUSTOMER_ID = cus.RECID</t>
        </is>
      </c>
      <c r="N156" s="377" t="inlineStr">
        <is>
          <t>TRIM(cus.OCCUPATION)</t>
        </is>
      </c>
      <c r="O156" s="377" t="inlineStr">
        <is>
          <t>Source -&gt; PG_BRONZE (1:1) -&gt; PG_SILVER (Temp 2)</t>
        </is>
      </c>
      <c r="P156" s="357" t="inlineStr">
        <is>
          <t>Nghề nghiệp của khách hàng (Map từ PG_BRONZE.T24CORE_CUSTOMER.OCCUPATION -&gt; PG_SILVER.SAOKE_TINDUNG.OCCUPATION)</t>
        </is>
      </c>
    </row>
    <row r="157" ht="14.25" customHeight="1" s="335">
      <c r="A157" s="416">
        <f>C157&amp;D157&amp;E157</f>
        <v/>
      </c>
      <c r="B157" s="416" t="inlineStr">
        <is>
          <t>SAOKE_TINDUNG</t>
        </is>
      </c>
      <c r="C157" s="416" t="inlineStr">
        <is>
          <t>T24CORE</t>
        </is>
      </c>
      <c r="D157" s="416" t="inlineStr">
        <is>
          <t>CUSTOMER</t>
        </is>
      </c>
      <c r="E157" s="416" t="inlineStr">
        <is>
          <t>OPEN_COMPANY</t>
        </is>
      </c>
      <c r="F157" s="417" t="inlineStr">
        <is>
          <t>1:1</t>
        </is>
      </c>
      <c r="G157" s="417" t="inlineStr">
        <is>
          <t>PG_BRONZE</t>
        </is>
      </c>
      <c r="H157" s="377" t="inlineStr">
        <is>
          <t>T24CORE_CUSTOMER</t>
        </is>
      </c>
      <c r="I157" s="377" t="inlineStr">
        <is>
          <t>OPEN_COMPANY</t>
        </is>
      </c>
      <c r="J157" s="417" t="inlineStr">
        <is>
          <t>PG_SILVER</t>
        </is>
      </c>
      <c r="K157" s="377" t="inlineStr">
        <is>
          <t>OPEN_COMPANY</t>
        </is>
      </c>
      <c r="L157" s="417" t="inlineStr">
        <is>
          <t>VARCHAR2(100)</t>
        </is>
      </c>
      <c r="M157" s="377" t="inlineStr">
        <is>
          <t>LEFT JOIN PG_BRONZE.T24CORE_CUSTOMER cus ON ld.CUSTOMER_ID = cus.RECID</t>
        </is>
      </c>
      <c r="N157" s="377" t="inlineStr">
        <is>
          <t>TRIM(cus.OPEN_COMPANY)</t>
        </is>
      </c>
      <c r="O157" s="377" t="inlineStr">
        <is>
          <t>Source -&gt; PG_BRONZE (1:1) -&gt; PG_SILVER (Temp 2)</t>
        </is>
      </c>
      <c r="P157" s="357" t="inlineStr">
        <is>
          <t>Chi nhánh mở (Map từ PG_BRONZE.T24CORE_CUSTOMER.OPEN_COMPANY -&gt; PG_SILVER.SAOKE_TINDUNG.OPEN_COMPANY)</t>
        </is>
      </c>
    </row>
    <row r="158" ht="14.25" customHeight="1" s="335">
      <c r="A158" s="416">
        <f>C158&amp;D158&amp;E158</f>
        <v/>
      </c>
      <c r="B158" s="416" t="inlineStr">
        <is>
          <t>SAOKE_TINDUNG</t>
        </is>
      </c>
      <c r="C158" s="416" t="inlineStr">
        <is>
          <t>T24CORE</t>
        </is>
      </c>
      <c r="D158" s="416" t="inlineStr">
        <is>
          <t>CUSTOMER</t>
        </is>
      </c>
      <c r="E158" s="416" t="inlineStr">
        <is>
          <t>PHONE_CONT_PER</t>
        </is>
      </c>
      <c r="F158" s="417" t="inlineStr">
        <is>
          <t>1:1</t>
        </is>
      </c>
      <c r="G158" s="417" t="inlineStr">
        <is>
          <t>PG_BRONZE</t>
        </is>
      </c>
      <c r="H158" s="377" t="inlineStr">
        <is>
          <t>T24CORE_CUSTOMER</t>
        </is>
      </c>
      <c r="I158" s="377" t="inlineStr">
        <is>
          <t>PHONE_CONT_PER</t>
        </is>
      </c>
      <c r="J158" s="417" t="inlineStr">
        <is>
          <t>PG_SILVER</t>
        </is>
      </c>
      <c r="K158" s="377" t="inlineStr">
        <is>
          <t>PHONE_CONT_PER</t>
        </is>
      </c>
      <c r="L158" s="417" t="inlineStr">
        <is>
          <t>VARCHAR2(100)</t>
        </is>
      </c>
      <c r="M158" s="377" t="inlineStr">
        <is>
          <t>LEFT JOIN PG_BRONZE.T24CORE_CUSTOMER cus ON ld.CUSTOMER_ID = cus.RECID</t>
        </is>
      </c>
      <c r="N158" s="377" t="inlineStr">
        <is>
          <t>TRIM(cus.PHONE_CONT_PER)</t>
        </is>
      </c>
      <c r="O158" s="377" t="inlineStr">
        <is>
          <t>Source -&gt; PG_BRONZE (1:1) -&gt; PG_SILVER (Temp 2)</t>
        </is>
      </c>
      <c r="P158" s="357" t="inlineStr">
        <is>
          <t>Số điện thoại của người liên hệ chính - KH tổ chức (Map từ PG_BRONZE.T24CORE_CUSTOMER.PHONE_CONT_PER -&gt; PG_SILVER.SAOKE_TINDUNG.PHONE_CONT_PER)</t>
        </is>
      </c>
    </row>
    <row r="159" ht="14.25" customHeight="1" s="335">
      <c r="A159" s="416">
        <f>C159&amp;D159&amp;E159</f>
        <v/>
      </c>
      <c r="B159" s="416" t="inlineStr">
        <is>
          <t>SAOKE_TINDUNG</t>
        </is>
      </c>
      <c r="C159" s="416" t="inlineStr">
        <is>
          <t>T24CORE</t>
        </is>
      </c>
      <c r="D159" s="416" t="inlineStr">
        <is>
          <t>CUSTOMER</t>
        </is>
      </c>
      <c r="E159" s="416" t="inlineStr">
        <is>
          <t>RECID</t>
        </is>
      </c>
      <c r="F159" s="417" t="inlineStr">
        <is>
          <t>1:1</t>
        </is>
      </c>
      <c r="G159" s="417" t="inlineStr">
        <is>
          <t>PG_BRONZE</t>
        </is>
      </c>
      <c r="H159" s="377" t="inlineStr">
        <is>
          <t>T24CORE_CUSTOMER</t>
        </is>
      </c>
      <c r="I159" s="377" t="inlineStr">
        <is>
          <t>RECID</t>
        </is>
      </c>
      <c r="J159" s="417" t="inlineStr">
        <is>
          <t>PG_SILVER</t>
        </is>
      </c>
      <c r="K159" s="377" t="inlineStr">
        <is>
          <t>CUS_RECID</t>
        </is>
      </c>
      <c r="L159" s="417" t="inlineStr">
        <is>
          <t>VARCHAR2(100)</t>
        </is>
      </c>
      <c r="M159" s="377" t="inlineStr">
        <is>
          <t>LEFT JOIN PG_BRONZE.T24CORE_CUSTOMER cus ON ld.CUSTOMER_ID = cus.RECID</t>
        </is>
      </c>
      <c r="N159" s="377" t="inlineStr">
        <is>
          <t>TRIM(cus.RECID)</t>
        </is>
      </c>
      <c r="O159" s="377" t="inlineStr">
        <is>
          <t>Source -&gt; PG_BRONZE (1:1) -&gt; PG_SILVER (Temp 2)</t>
        </is>
      </c>
      <c r="P159" s="357" t="inlineStr">
        <is>
          <t>Mã CIF (Map từ PG_BRONZE.T24CORE_CUSTOMER.RECID -&gt; PG_SILVER.SAOKE_TINDUNG.CUS_RECID)</t>
        </is>
      </c>
    </row>
    <row r="160" ht="14.25" customHeight="1" s="335">
      <c r="A160" s="416">
        <f>C160&amp;D160&amp;E160</f>
        <v/>
      </c>
      <c r="B160" s="416" t="inlineStr">
        <is>
          <t>SAOKE_TINDUNG</t>
        </is>
      </c>
      <c r="C160" s="416" t="inlineStr">
        <is>
          <t>T24CORE</t>
        </is>
      </c>
      <c r="D160" s="416" t="inlineStr">
        <is>
          <t>CUSTOMER</t>
        </is>
      </c>
      <c r="E160" s="416" t="inlineStr">
        <is>
          <t>REFERRED_BY</t>
        </is>
      </c>
      <c r="F160" s="417" t="inlineStr">
        <is>
          <t>1:1</t>
        </is>
      </c>
      <c r="G160" s="417" t="inlineStr">
        <is>
          <t>PG_BRONZE</t>
        </is>
      </c>
      <c r="H160" s="377" t="inlineStr">
        <is>
          <t>T24CORE_CUSTOMER</t>
        </is>
      </c>
      <c r="I160" s="377" t="inlineStr">
        <is>
          <t>REFERRED_BY</t>
        </is>
      </c>
      <c r="J160" s="417" t="inlineStr">
        <is>
          <t>PG_SILVER</t>
        </is>
      </c>
      <c r="K160" s="377" t="inlineStr">
        <is>
          <t>REFERRED_BY</t>
        </is>
      </c>
      <c r="L160" s="417" t="inlineStr">
        <is>
          <t>VARCHAR2(100)</t>
        </is>
      </c>
      <c r="M160" s="377" t="inlineStr">
        <is>
          <t>LEFT JOIN PG_BRONZE.T24CORE_CUSTOMER cus ON ld.CUSTOMER_ID = cus.RECID</t>
        </is>
      </c>
      <c r="N160" s="377" t="inlineStr">
        <is>
          <t>TRIM(cus.REFERRED_BY)</t>
        </is>
      </c>
      <c r="O160" s="377" t="inlineStr">
        <is>
          <t>Source -&gt; PG_BRONZE (1:1) -&gt; PG_SILVER (Temp 2)</t>
        </is>
      </c>
      <c r="P160" s="357" t="inlineStr">
        <is>
          <t>Mã người tham chiếu/giới thiệu (Map từ PG_BRONZE.T24CORE_CUSTOMER.REFERRED_BY -&gt; PG_SILVER.SAOKE_TINDUNG.REFERRED_BY)</t>
        </is>
      </c>
    </row>
    <row r="161" ht="14.25" customHeight="1" s="335">
      <c r="A161" s="416">
        <f>C161&amp;D161&amp;E161</f>
        <v/>
      </c>
      <c r="B161" s="416" t="inlineStr">
        <is>
          <t>SAOKE_TINDUNG</t>
        </is>
      </c>
      <c r="C161" s="416" t="inlineStr">
        <is>
          <t>T24CORE</t>
        </is>
      </c>
      <c r="D161" s="416" t="inlineStr">
        <is>
          <t>CUSTOMER</t>
        </is>
      </c>
      <c r="E161" s="416" t="inlineStr">
        <is>
          <t>RESID_PROVINCE</t>
        </is>
      </c>
      <c r="F161" s="417" t="inlineStr">
        <is>
          <t>1:1</t>
        </is>
      </c>
      <c r="G161" s="417" t="inlineStr">
        <is>
          <t>PG_BRONZE</t>
        </is>
      </c>
      <c r="H161" s="377" t="inlineStr">
        <is>
          <t>T24CORE_CUSTOMER</t>
        </is>
      </c>
      <c r="I161" s="377" t="inlineStr">
        <is>
          <t>RESID_PROVINCE</t>
        </is>
      </c>
      <c r="J161" s="417" t="inlineStr">
        <is>
          <t>PG_SILVER</t>
        </is>
      </c>
      <c r="K161" s="377" t="inlineStr">
        <is>
          <t>RESID_PROVINCE</t>
        </is>
      </c>
      <c r="L161" s="417" t="inlineStr">
        <is>
          <t>VARCHAR2(100)</t>
        </is>
      </c>
      <c r="M161" s="377" t="inlineStr">
        <is>
          <t>LEFT JOIN PG_BRONZE.T24CORE_CUSTOMER cus ON ld.CUSTOMER_ID = cus.RECID</t>
        </is>
      </c>
      <c r="N161" s="377" t="inlineStr">
        <is>
          <t>TRIM(cus.RESID_PROVINCE)</t>
        </is>
      </c>
      <c r="O161" s="377" t="inlineStr">
        <is>
          <t>Source -&gt; PG_BRONZE (1:1) -&gt; PG_SILVER (Temp 2)</t>
        </is>
      </c>
      <c r="P161" s="357" t="inlineStr">
        <is>
          <t>Tỉnh/thành phố nơi cư trú (Map từ PG_BRONZE.T24CORE_CUSTOMER.RESID_PROVINCE -&gt; PG_SILVER.SAOKE_TINDUNG.RESID_PROVINCE)</t>
        </is>
      </c>
    </row>
    <row r="162" ht="14.25" customHeight="1" s="335">
      <c r="A162" s="416">
        <f>C162&amp;D162&amp;E162</f>
        <v/>
      </c>
      <c r="B162" s="416" t="inlineStr">
        <is>
          <t>SAOKE_TINDUNG</t>
        </is>
      </c>
      <c r="C162" s="416" t="inlineStr">
        <is>
          <t>T24CORE</t>
        </is>
      </c>
      <c r="D162" s="416" t="inlineStr">
        <is>
          <t>CUSTOMER</t>
        </is>
      </c>
      <c r="E162" s="416" t="inlineStr">
        <is>
          <t>RESIDENCE</t>
        </is>
      </c>
      <c r="F162" s="417" t="inlineStr">
        <is>
          <t>1:1</t>
        </is>
      </c>
      <c r="G162" s="417" t="inlineStr">
        <is>
          <t>PG_BRONZE</t>
        </is>
      </c>
      <c r="H162" s="377" t="inlineStr">
        <is>
          <t>T24CORE_CUSTOMER</t>
        </is>
      </c>
      <c r="I162" s="377" t="inlineStr">
        <is>
          <t>RESIDENCE</t>
        </is>
      </c>
      <c r="J162" s="417" t="inlineStr">
        <is>
          <t>PG_SILVER</t>
        </is>
      </c>
      <c r="K162" s="377" t="inlineStr">
        <is>
          <t>RESIDENCE</t>
        </is>
      </c>
      <c r="L162" s="417" t="inlineStr">
        <is>
          <t>VARCHAR2(100)</t>
        </is>
      </c>
      <c r="M162" s="377" t="inlineStr">
        <is>
          <t>LEFT JOIN PG_BRONZE.T24CORE_CUSTOMER cus ON ld.CUSTOMER_ID = cus.RECID</t>
        </is>
      </c>
      <c r="N162" s="377" t="inlineStr">
        <is>
          <t>TRIM(cus.RESIDENCE)</t>
        </is>
      </c>
      <c r="O162" s="377" t="inlineStr">
        <is>
          <t>Source -&gt; PG_BRONZE (1:1) -&gt; PG_SILVER (Temp 2)</t>
        </is>
      </c>
      <c r="P162" s="357" t="inlineStr">
        <is>
          <t>Quốc gia cư trú (Map từ PG_BRONZE.T24CORE_CUSTOMER.RESIDENCE -&gt; PG_SILVER.SAOKE_TINDUNG.RESIDENCE)</t>
        </is>
      </c>
    </row>
    <row r="163" ht="14.25" customHeight="1" s="335">
      <c r="A163" s="416">
        <f>C163&amp;D163&amp;E163</f>
        <v/>
      </c>
      <c r="B163" s="416" t="inlineStr">
        <is>
          <t>SAOKE_TINDUNG</t>
        </is>
      </c>
      <c r="C163" s="416" t="inlineStr">
        <is>
          <t>T24CORE</t>
        </is>
      </c>
      <c r="D163" s="416" t="inlineStr">
        <is>
          <t>CUSTOMER</t>
        </is>
      </c>
      <c r="E163" s="416" t="inlineStr">
        <is>
          <t>SECOND_OFFICER</t>
        </is>
      </c>
      <c r="F163" s="417" t="inlineStr">
        <is>
          <t>1:1</t>
        </is>
      </c>
      <c r="G163" s="417" t="inlineStr">
        <is>
          <t>PG_BRONZE</t>
        </is>
      </c>
      <c r="H163" s="377" t="inlineStr">
        <is>
          <t>T24CORE_CUSTOMER</t>
        </is>
      </c>
      <c r="I163" s="377" t="inlineStr">
        <is>
          <t>SECOND_OFFICER</t>
        </is>
      </c>
      <c r="J163" s="417" t="inlineStr">
        <is>
          <t>PG_SILVER</t>
        </is>
      </c>
      <c r="K163" s="377" t="inlineStr">
        <is>
          <t>SECOND_OFFICER</t>
        </is>
      </c>
      <c r="L163" s="417" t="inlineStr">
        <is>
          <t>VARCHAR2(100)</t>
        </is>
      </c>
      <c r="M163" s="377" t="inlineStr">
        <is>
          <t>LEFT JOIN PG_BRONZE.T24CORE_CUSTOMER cus ON ld.CUSTOMER_ID = cus.RECID</t>
        </is>
      </c>
      <c r="N163" s="377" t="inlineStr">
        <is>
          <t>TRIM(cus.SECOND_OFFICER)</t>
        </is>
      </c>
      <c r="O163" s="377" t="inlineStr">
        <is>
          <t>Source -&gt; PG_BRONZE (1:1) -&gt; PG_SILVER (Temp 2)</t>
        </is>
      </c>
      <c r="P163" s="357" t="inlineStr">
        <is>
          <t>Mã nhân viên hạch toán thứ 2 (Map từ PG_BRONZE.T24CORE_CUSTOMER.SECOND_OFFICER -&gt; PG_SILVER.SAOKE_TINDUNG.SECOND_OFFICER)</t>
        </is>
      </c>
    </row>
    <row r="164" ht="14.25" customHeight="1" s="335">
      <c r="A164" s="416">
        <f>C164&amp;D164&amp;E164</f>
        <v/>
      </c>
      <c r="B164" s="416" t="inlineStr">
        <is>
          <t>SAOKE_TINDUNG</t>
        </is>
      </c>
      <c r="C164" s="416" t="inlineStr">
        <is>
          <t>T24CORE</t>
        </is>
      </c>
      <c r="D164" s="416" t="inlineStr">
        <is>
          <t>CUSTOMER</t>
        </is>
      </c>
      <c r="E164" s="416" t="inlineStr">
        <is>
          <t>SECTOR</t>
        </is>
      </c>
      <c r="F164" s="417" t="inlineStr">
        <is>
          <t>1:1</t>
        </is>
      </c>
      <c r="G164" s="417" t="inlineStr">
        <is>
          <t>PG_BRONZE</t>
        </is>
      </c>
      <c r="H164" s="377" t="inlineStr">
        <is>
          <t>T24CORE_CUSTOMER</t>
        </is>
      </c>
      <c r="I164" s="377" t="inlineStr">
        <is>
          <t>SECTOR</t>
        </is>
      </c>
      <c r="J164" s="417" t="inlineStr">
        <is>
          <t>PG_SILVER</t>
        </is>
      </c>
      <c r="K164" s="377" t="inlineStr">
        <is>
          <t>SECTOR</t>
        </is>
      </c>
      <c r="L164" s="417" t="inlineStr">
        <is>
          <t>VARCHAR2(100)</t>
        </is>
      </c>
      <c r="M164" s="377" t="inlineStr">
        <is>
          <t>LEFT JOIN PG_BRONZE.T24CORE_CUSTOMER cus ON ld.CUSTOMER_ID = cus.RECID</t>
        </is>
      </c>
      <c r="N164" s="377" t="inlineStr">
        <is>
          <t>TRIM(cus.SECTOR)</t>
        </is>
      </c>
      <c r="O164" s="377" t="inlineStr">
        <is>
          <t>Source -&gt; PG_BRONZE (1:1) -&gt; PG_SILVER (Temp 2)</t>
        </is>
      </c>
      <c r="P164" s="357" t="inlineStr">
        <is>
          <t>Mã phân loại hình khách hàng (Map từ PG_BRONZE.T24CORE_CUSTOMER.SECTOR -&gt; PG_SILVER.SAOKE_TINDUNG.SECTOR)</t>
        </is>
      </c>
    </row>
    <row r="165" ht="14.25" customHeight="1" s="335">
      <c r="A165" s="416">
        <f>C165&amp;D165&amp;E165</f>
        <v/>
      </c>
      <c r="B165" s="416" t="inlineStr">
        <is>
          <t>SAOKE_TINDUNG</t>
        </is>
      </c>
      <c r="C165" s="416" t="inlineStr">
        <is>
          <t>T24CORE</t>
        </is>
      </c>
      <c r="D165" s="416" t="inlineStr">
        <is>
          <t>CUSTOMER</t>
        </is>
      </c>
      <c r="E165" s="416" t="inlineStr">
        <is>
          <t>SHORT_NAME</t>
        </is>
      </c>
      <c r="F165" s="417" t="inlineStr">
        <is>
          <t>1:1</t>
        </is>
      </c>
      <c r="G165" s="417" t="inlineStr">
        <is>
          <t>PG_BRONZE</t>
        </is>
      </c>
      <c r="H165" s="377" t="inlineStr">
        <is>
          <t>T24CORE_CUSTOMER</t>
        </is>
      </c>
      <c r="I165" s="377" t="inlineStr">
        <is>
          <t>SHORT_NAME</t>
        </is>
      </c>
      <c r="J165" s="417" t="inlineStr">
        <is>
          <t>PG_SILVER</t>
        </is>
      </c>
      <c r="K165" s="377" t="inlineStr">
        <is>
          <t>SHORT_NAME</t>
        </is>
      </c>
      <c r="L165" s="417" t="inlineStr">
        <is>
          <t>VARCHAR2(255)</t>
        </is>
      </c>
      <c r="M165" s="377" t="inlineStr">
        <is>
          <t>LEFT JOIN PG_BRONZE.T24CORE_CUSTOMER cus ON ld.CUSTOMER_ID = cus.RECID</t>
        </is>
      </c>
      <c r="N165" s="377" t="inlineStr">
        <is>
          <t>TRIM(cus.SHORT_NAME)</t>
        </is>
      </c>
      <c r="O165" s="377" t="inlineStr">
        <is>
          <t>Source -&gt; PG_BRONZE (1:1) -&gt; PG_SILVER (Temp 2)</t>
        </is>
      </c>
      <c r="P165" s="357" t="inlineStr">
        <is>
          <t>Tên viết tắt khách hàng (Map từ PG_BRONZE.T24CORE_CUSTOMER.SHORT_NAME -&gt; PG_SILVER.SAOKE_TINDUNG.SHORT_NAME)</t>
        </is>
      </c>
    </row>
    <row r="166" ht="14.25" customHeight="1" s="335">
      <c r="A166" s="416">
        <f>C166&amp;D166&amp;E166</f>
        <v/>
      </c>
      <c r="B166" s="416" t="inlineStr">
        <is>
          <t>SAOKE_TINDUNG</t>
        </is>
      </c>
      <c r="C166" s="416" t="inlineStr">
        <is>
          <t>T24CORE</t>
        </is>
      </c>
      <c r="D166" s="416" t="inlineStr">
        <is>
          <t>CUSTOMER</t>
        </is>
      </c>
      <c r="E166" s="416" t="inlineStr">
        <is>
          <t>STREET</t>
        </is>
      </c>
      <c r="F166" s="417" t="inlineStr">
        <is>
          <t>1:1</t>
        </is>
      </c>
      <c r="G166" s="417" t="inlineStr">
        <is>
          <t>PG_BRONZE</t>
        </is>
      </c>
      <c r="H166" s="377" t="inlineStr">
        <is>
          <t>T24CORE_CUSTOMER</t>
        </is>
      </c>
      <c r="I166" s="377" t="inlineStr">
        <is>
          <t>STREET</t>
        </is>
      </c>
      <c r="J166" s="417" t="inlineStr">
        <is>
          <t>PG_SILVER</t>
        </is>
      </c>
      <c r="K166" s="377" t="inlineStr">
        <is>
          <t>STREET</t>
        </is>
      </c>
      <c r="L166" s="417" t="inlineStr">
        <is>
          <t>VARCHAR2(255)</t>
        </is>
      </c>
      <c r="M166" s="377" t="inlineStr">
        <is>
          <t>LEFT JOIN PG_BRONZE.T24CORE_CUSTOMER cus ON ld.CUSTOMER_ID = cus.RECID</t>
        </is>
      </c>
      <c r="N166" s="377" t="inlineStr">
        <is>
          <t>TRIM(cus.STREET)</t>
        </is>
      </c>
      <c r="O166" s="377" t="inlineStr">
        <is>
          <t>Source -&gt; PG_BRONZE (1:1) -&gt; PG_SILVER (Temp 2)</t>
        </is>
      </c>
      <c r="P166" s="357" t="inlineStr">
        <is>
          <t>Tên đường theo địa chỉ (Map từ PG_BRONZE.T24CORE_CUSTOMER.STREET -&gt; PG_SILVER.SAOKE_TINDUNG.STREET)</t>
        </is>
      </c>
    </row>
    <row r="167" ht="14.25" customHeight="1" s="335">
      <c r="A167" s="416">
        <f>C167&amp;D167&amp;E167</f>
        <v/>
      </c>
      <c r="B167" s="416" t="inlineStr">
        <is>
          <t>SAOKE_TINDUNG</t>
        </is>
      </c>
      <c r="C167" s="416" t="inlineStr">
        <is>
          <t>T24CORE</t>
        </is>
      </c>
      <c r="D167" s="416" t="inlineStr">
        <is>
          <t>CUSTOMER</t>
        </is>
      </c>
      <c r="E167" s="416" t="inlineStr">
        <is>
          <t>TARGET</t>
        </is>
      </c>
      <c r="F167" s="417" t="inlineStr">
        <is>
          <t>1:1</t>
        </is>
      </c>
      <c r="G167" s="417" t="inlineStr">
        <is>
          <t>PG_BRONZE</t>
        </is>
      </c>
      <c r="H167" s="377" t="inlineStr">
        <is>
          <t>T24CORE_CUSTOMER</t>
        </is>
      </c>
      <c r="I167" s="377" t="inlineStr">
        <is>
          <t>TARGET</t>
        </is>
      </c>
      <c r="J167" s="417" t="inlineStr">
        <is>
          <t>PG_SILVER</t>
        </is>
      </c>
      <c r="K167" s="377" t="inlineStr">
        <is>
          <t>TARGET</t>
        </is>
      </c>
      <c r="L167" s="417" t="inlineStr">
        <is>
          <t>VARCHAR2(100)</t>
        </is>
      </c>
      <c r="M167" s="377" t="inlineStr">
        <is>
          <t>LEFT JOIN PG_BRONZE.T24CORE_CUSTOMER cus ON ld.CUSTOMER_ID = cus.RECID</t>
        </is>
      </c>
      <c r="N167" s="377" t="inlineStr">
        <is>
          <t>TRIM(cus.TARGET)</t>
        </is>
      </c>
      <c r="O167" s="377" t="inlineStr">
        <is>
          <t>Source -&gt; PG_BRONZE (1:1) -&gt; PG_SILVER (Temp 2)</t>
        </is>
      </c>
      <c r="P167" s="357" t="inlineStr">
        <is>
          <t>Mã phân khúc đối tượng khách hàng mục tiêu (Target Code) (Map từ PG_BRONZE.T24CORE_CUSTOMER.TARGET -&gt; PG_SILVER.SAOKE_TINDUNG.TARGET)</t>
        </is>
      </c>
    </row>
    <row r="168" ht="14.25" customHeight="1" s="335">
      <c r="A168" s="416">
        <f>C168&amp;D168&amp;E168</f>
        <v/>
      </c>
      <c r="B168" s="416" t="inlineStr">
        <is>
          <t>SAOKE_TINDUNG</t>
        </is>
      </c>
      <c r="C168" s="416" t="inlineStr">
        <is>
          <t>T24CORE</t>
        </is>
      </c>
      <c r="D168" s="416" t="inlineStr">
        <is>
          <t>CUSTOMER</t>
        </is>
      </c>
      <c r="E168" s="416" t="inlineStr">
        <is>
          <t>TAX_SERIAL</t>
        </is>
      </c>
      <c r="F168" s="417" t="inlineStr">
        <is>
          <t>1:1</t>
        </is>
      </c>
      <c r="G168" s="417" t="inlineStr">
        <is>
          <t>PG_BRONZE</t>
        </is>
      </c>
      <c r="H168" s="377" t="inlineStr">
        <is>
          <t>T24CORE_CUSTOMER</t>
        </is>
      </c>
      <c r="I168" s="377" t="inlineStr">
        <is>
          <t>TAX_SERIAL</t>
        </is>
      </c>
      <c r="J168" s="417" t="inlineStr">
        <is>
          <t>PG_SILVER</t>
        </is>
      </c>
      <c r="K168" s="377" t="inlineStr">
        <is>
          <t>TAX_SERIAL</t>
        </is>
      </c>
      <c r="L168" s="417" t="inlineStr">
        <is>
          <t>VARCHAR2(100)</t>
        </is>
      </c>
      <c r="M168" s="377" t="inlineStr">
        <is>
          <t>LEFT JOIN PG_BRONZE.T24CORE_CUSTOMER cus ON ld.CUSTOMER_ID = cus.RECID</t>
        </is>
      </c>
      <c r="N168" s="377" t="inlineStr">
        <is>
          <t>TRIM(cus.TAX_SERIAL)</t>
        </is>
      </c>
      <c r="O168" s="377" t="inlineStr">
        <is>
          <t>Source -&gt; PG_BRONZE (1:1) -&gt; PG_SILVER (Temp 2)</t>
        </is>
      </c>
      <c r="P168" s="357" t="inlineStr">
        <is>
          <t>Mã số thuế (Map từ PG_BRONZE.T24CORE_CUSTOMER.TAX_SERIAL -&gt; PG_SILVER.SAOKE_TINDUNG.TAX_SERIAL)</t>
        </is>
      </c>
    </row>
    <row r="169" ht="14.25" customHeight="1" s="335">
      <c r="A169" s="416">
        <f>C169&amp;D169&amp;E169</f>
        <v/>
      </c>
      <c r="B169" s="416" t="inlineStr">
        <is>
          <t>SAOKE_TINDUNG</t>
        </is>
      </c>
      <c r="C169" s="416" t="inlineStr">
        <is>
          <t>T24CORE</t>
        </is>
      </c>
      <c r="D169" s="416" t="inlineStr">
        <is>
          <t>CUSTOMER</t>
        </is>
      </c>
      <c r="E169" s="416" t="inlineStr">
        <is>
          <t>TXN_DATE</t>
        </is>
      </c>
      <c r="F169" s="417" t="inlineStr">
        <is>
          <t>1:1</t>
        </is>
      </c>
      <c r="G169" s="417" t="inlineStr">
        <is>
          <t>PG_BRONZE</t>
        </is>
      </c>
      <c r="H169" s="377" t="inlineStr">
        <is>
          <t>T24CORE_CUSTOMER</t>
        </is>
      </c>
      <c r="I169" s="377" t="inlineStr">
        <is>
          <t>TXN_DATE</t>
        </is>
      </c>
      <c r="J169" s="417" t="inlineStr">
        <is>
          <t>PG_SILVER</t>
        </is>
      </c>
      <c r="K169" s="377" t="inlineStr">
        <is>
          <t>TXN_DATE</t>
        </is>
      </c>
      <c r="L169" s="417" t="inlineStr">
        <is>
          <t>DATE</t>
        </is>
      </c>
      <c r="M169" s="377" t="inlineStr">
        <is>
          <t>LEFT JOIN PG_BRONZE.T24CORE_CUSTOMER cus ON ld.CUSTOMER_ID = cus.RECID</t>
        </is>
      </c>
      <c r="N169" s="377" t="inlineStr">
        <is>
          <t>TO_DATE(CAST(cus.TXN_DATE AS VARCHAR(20)), 'YYYYMMDD')</t>
        </is>
      </c>
      <c r="O169" s="377" t="inlineStr">
        <is>
          <t>Source -&gt; PG_BRONZE (1:1) -&gt; PG_SILVER (Temp 2)</t>
        </is>
      </c>
      <c r="P169" s="357" t="inlineStr">
        <is>
          <t>Ngày giao dịch / ngày cập nhật dữ liệu khách hàng (Map từ PG_BRONZE.T24CORE_CUSTOMER.TXN_DATE -&gt; PG_SILVER.SAOKE_TINDUNG.TXN_DATE)</t>
        </is>
      </c>
    </row>
    <row r="170" ht="14.25" customHeight="1" s="335">
      <c r="A170" s="416">
        <f>C170&amp;D170&amp;E170</f>
        <v/>
      </c>
      <c r="B170" s="416" t="inlineStr">
        <is>
          <t>SAOKE_TINDUNG</t>
        </is>
      </c>
      <c r="C170" s="416" t="inlineStr">
        <is>
          <t>T24CORE</t>
        </is>
      </c>
      <c r="D170" s="416" t="inlineStr">
        <is>
          <t>CUSTOMER</t>
        </is>
      </c>
      <c r="E170" s="416" t="inlineStr">
        <is>
          <t>VAT_INV_DATE</t>
        </is>
      </c>
      <c r="F170" s="417" t="inlineStr">
        <is>
          <t>1:1</t>
        </is>
      </c>
      <c r="G170" s="417" t="inlineStr">
        <is>
          <t>PG_BRONZE</t>
        </is>
      </c>
      <c r="H170" s="377" t="inlineStr">
        <is>
          <t>T24CORE_CUSTOMER</t>
        </is>
      </c>
      <c r="I170" s="377" t="inlineStr">
        <is>
          <t>VAT_INV_DATE</t>
        </is>
      </c>
      <c r="J170" s="417" t="inlineStr">
        <is>
          <t>PG_SILVER</t>
        </is>
      </c>
      <c r="K170" s="377" t="inlineStr">
        <is>
          <t>VAT_INV_DATE</t>
        </is>
      </c>
      <c r="L170" s="417" t="inlineStr">
        <is>
          <t>DATE</t>
        </is>
      </c>
      <c r="M170" s="377" t="inlineStr">
        <is>
          <t>LEFT JOIN PG_BRONZE.T24CORE_CUSTOMER cus ON ld.CUSTOMER_ID = cus.RECID</t>
        </is>
      </c>
      <c r="N170" s="377" t="inlineStr">
        <is>
          <t>TO_DATE(CAST(cus.VAT_INV_DATE AS VARCHAR(20)), 'YYYYMMDD')</t>
        </is>
      </c>
      <c r="O170" s="377" t="inlineStr">
        <is>
          <t>Source -&gt; PG_BRONZE (1:1) -&gt; PG_SILVER (Temp 2)</t>
        </is>
      </c>
      <c r="P170" s="357" t="inlineStr">
        <is>
          <t>Ngày phát hành hóa đơn (Map từ PG_BRONZE.T24CORE_CUSTOMER.VAT_INV_DATE -&gt; PG_SILVER.SAOKE_TINDUNG.VAT_INV_DATE)</t>
        </is>
      </c>
    </row>
    <row r="171" ht="14.25" customHeight="1" s="335">
      <c r="A171" s="416">
        <f>C171&amp;D171&amp;E171</f>
        <v/>
      </c>
      <c r="B171" s="416" t="inlineStr">
        <is>
          <t>SAOKE_TINDUNG</t>
        </is>
      </c>
      <c r="C171" s="416" t="inlineStr">
        <is>
          <t>T24CORE</t>
        </is>
      </c>
      <c r="D171" s="416" t="inlineStr">
        <is>
          <t>CUSTOMER</t>
        </is>
      </c>
      <c r="E171" s="416" t="inlineStr">
        <is>
          <t>VAT_INV_SERIAL</t>
        </is>
      </c>
      <c r="F171" s="417" t="inlineStr">
        <is>
          <t>1:1</t>
        </is>
      </c>
      <c r="G171" s="417" t="inlineStr">
        <is>
          <t>PG_BRONZE</t>
        </is>
      </c>
      <c r="H171" s="377" t="inlineStr">
        <is>
          <t>T24CORE_CUSTOMER</t>
        </is>
      </c>
      <c r="I171" s="377" t="inlineStr">
        <is>
          <t>VAT_INV_SERIAL</t>
        </is>
      </c>
      <c r="J171" s="417" t="inlineStr">
        <is>
          <t>PG_SILVER</t>
        </is>
      </c>
      <c r="K171" s="377" t="inlineStr">
        <is>
          <t>VAT_INV_SERIAL</t>
        </is>
      </c>
      <c r="L171" s="417" t="inlineStr">
        <is>
          <t>VARCHAR2(100)</t>
        </is>
      </c>
      <c r="M171" s="377" t="inlineStr">
        <is>
          <t>LEFT JOIN PG_BRONZE.T24CORE_CUSTOMER cus ON ld.CUSTOMER_ID = cus.RECID</t>
        </is>
      </c>
      <c r="N171" s="377" t="inlineStr">
        <is>
          <t>TRIM(cus.VAT_INV_SERIAL)</t>
        </is>
      </c>
      <c r="O171" s="377" t="inlineStr">
        <is>
          <t>Source -&gt; PG_BRONZE (1:1) -&gt; PG_SILVER (Temp 2)</t>
        </is>
      </c>
      <c r="P171" s="357" t="inlineStr">
        <is>
          <t>Số seri hóa đơn (Map từ PG_BRONZE.T24CORE_CUSTOMER.VAT_INV_SERIAL -&gt; PG_SILVER.SAOKE_TINDUNG.VAT_INV_SERIAL)</t>
        </is>
      </c>
    </row>
    <row r="172" ht="14.25" customHeight="1" s="335">
      <c r="A172" s="416">
        <f>C172&amp;D172&amp;E172</f>
        <v/>
      </c>
      <c r="B172" s="416" t="inlineStr">
        <is>
          <t>SAOKE_TINDUNG</t>
        </is>
      </c>
      <c r="C172" s="416" t="inlineStr">
        <is>
          <t>T24CORE</t>
        </is>
      </c>
      <c r="D172" s="416" t="inlineStr">
        <is>
          <t>CUSTOMER</t>
        </is>
      </c>
      <c r="E172" s="416" t="inlineStr">
        <is>
          <t>VIP_CUSTOMER</t>
        </is>
      </c>
      <c r="F172" s="417" t="inlineStr">
        <is>
          <t>1:1</t>
        </is>
      </c>
      <c r="G172" s="417" t="inlineStr">
        <is>
          <t>PG_BRONZE</t>
        </is>
      </c>
      <c r="H172" s="377" t="inlineStr">
        <is>
          <t>T24CORE_CUSTOMER</t>
        </is>
      </c>
      <c r="I172" s="377" t="inlineStr">
        <is>
          <t>VIP_CUSTOMER</t>
        </is>
      </c>
      <c r="J172" s="417" t="inlineStr">
        <is>
          <t>PG_SILVER</t>
        </is>
      </c>
      <c r="K172" s="377" t="inlineStr">
        <is>
          <t>VIP_CUSTOMER</t>
        </is>
      </c>
      <c r="L172" s="417" t="inlineStr">
        <is>
          <t>VARCHAR2(100)</t>
        </is>
      </c>
      <c r="M172" s="377" t="inlineStr">
        <is>
          <t>LEFT JOIN PG_BRONZE.T24CORE_CUSTOMER cus ON ld.CUSTOMER_ID = cus.RECID</t>
        </is>
      </c>
      <c r="N172" s="377" t="inlineStr">
        <is>
          <t>TRIM(cus.VIP_CUSTOMER)</t>
        </is>
      </c>
      <c r="O172" s="377" t="inlineStr">
        <is>
          <t>Source -&gt; PG_BRONZE (1:1) -&gt; PG_SILVER (Temp 2)</t>
        </is>
      </c>
      <c r="P172" s="357" t="inlineStr">
        <is>
          <t>Đánh dấu khách hàng ưu tiên (Map từ PG_BRONZE.T24CORE_CUSTOMER.VIP_CUSTOMER -&gt; PG_SILVER.SAOKE_TINDUNG.VIP_CUSTOMER)</t>
        </is>
      </c>
    </row>
    <row r="173" ht="14.25" customHeight="1" s="335">
      <c r="A173" s="416">
        <f>C173&amp;D173&amp;E173</f>
        <v/>
      </c>
      <c r="B173" s="416" t="inlineStr">
        <is>
          <t>SAOKE_TINDUNG</t>
        </is>
      </c>
      <c r="C173" s="416" t="inlineStr">
        <is>
          <t>T24CORE</t>
        </is>
      </c>
      <c r="D173" s="416" t="inlineStr">
        <is>
          <t>CUSTOMER</t>
        </is>
      </c>
      <c r="E173" s="416" t="inlineStr">
        <is>
          <t>VN_FULL_NAME</t>
        </is>
      </c>
      <c r="F173" s="417" t="inlineStr">
        <is>
          <t>1:1</t>
        </is>
      </c>
      <c r="G173" s="417" t="inlineStr">
        <is>
          <t>PG_BRONZE</t>
        </is>
      </c>
      <c r="H173" s="377" t="inlineStr">
        <is>
          <t>T24CORE_CUSTOMER</t>
        </is>
      </c>
      <c r="I173" s="377" t="inlineStr">
        <is>
          <t>VN_FULL_NAME</t>
        </is>
      </c>
      <c r="J173" s="417" t="inlineStr">
        <is>
          <t>PG_SILVER</t>
        </is>
      </c>
      <c r="K173" s="377" t="inlineStr">
        <is>
          <t>VN_FULL_NAME</t>
        </is>
      </c>
      <c r="L173" s="417" t="inlineStr">
        <is>
          <t>VARCHAR2(255)</t>
        </is>
      </c>
      <c r="M173" s="377" t="inlineStr">
        <is>
          <t>LEFT JOIN PG_BRONZE.T24CORE_CUSTOMER cus ON ld.CUSTOMER_ID = cus.RECID</t>
        </is>
      </c>
      <c r="N173" s="377" t="inlineStr">
        <is>
          <t>TRIM(cus.VN_FULL_NAME)</t>
        </is>
      </c>
      <c r="O173" s="377" t="inlineStr">
        <is>
          <t>Source -&gt; PG_BRONZE (1:1) -&gt; PG_SILVER (Temp 2)</t>
        </is>
      </c>
      <c r="P173" s="357" t="inlineStr">
        <is>
          <t>Tên khách hàng đầy đủ (Map từ PG_BRONZE.T24CORE_CUSTOMER.VN_FULL_NAME -&gt; PG_SILVER.SAOKE_TINDUNG.VN_FULL_NAME)</t>
        </is>
      </c>
    </row>
    <row r="174" ht="14.25" customHeight="1" s="335">
      <c r="A174" s="416">
        <f>C174&amp;D174&amp;E174</f>
        <v/>
      </c>
      <c r="B174" s="416" t="inlineStr">
        <is>
          <t>SAOKE_TINDUNG</t>
        </is>
      </c>
      <c r="C174" s="416" t="inlineStr">
        <is>
          <t>T24CORE</t>
        </is>
      </c>
      <c r="D174" s="416" t="inlineStr">
        <is>
          <t>CUSTOMER</t>
        </is>
      </c>
      <c r="E174" s="416" t="inlineStr">
        <is>
          <t>VN_GENDER</t>
        </is>
      </c>
      <c r="F174" s="417" t="inlineStr">
        <is>
          <t>1:1</t>
        </is>
      </c>
      <c r="G174" s="417" t="inlineStr">
        <is>
          <t>PG_BRONZE</t>
        </is>
      </c>
      <c r="H174" s="377" t="inlineStr">
        <is>
          <t>T24CORE_CUSTOMER</t>
        </is>
      </c>
      <c r="I174" s="377" t="inlineStr">
        <is>
          <t>VN_GENDER</t>
        </is>
      </c>
      <c r="J174" s="417" t="inlineStr">
        <is>
          <t>PG_SILVER</t>
        </is>
      </c>
      <c r="K174" s="377" t="inlineStr">
        <is>
          <t>VN_GENDER</t>
        </is>
      </c>
      <c r="L174" s="417" t="inlineStr">
        <is>
          <t>VARCHAR2(100)</t>
        </is>
      </c>
      <c r="M174" s="377" t="inlineStr">
        <is>
          <t>LEFT JOIN PG_BRONZE.T24CORE_CUSTOMER cus ON ld.CUSTOMER_ID = cus.RECID</t>
        </is>
      </c>
      <c r="N174" s="377" t="inlineStr">
        <is>
          <t>TRIM(cus.VN_GENDER)</t>
        </is>
      </c>
      <c r="O174" s="377" t="inlineStr">
        <is>
          <t>Source -&gt; PG_BRONZE (1:1) -&gt; PG_SILVER (Temp 2)</t>
        </is>
      </c>
      <c r="P174" s="357" t="inlineStr">
        <is>
          <t>Giới tính (Map từ PG_BRONZE.T24CORE_CUSTOMER.VN_GENDER -&gt; PG_SILVER.SAOKE_TINDUNG.VN_GENDER)</t>
        </is>
      </c>
    </row>
    <row r="175" ht="14.25" customHeight="1" s="335">
      <c r="A175" s="416">
        <f>C175&amp;D175&amp;E175</f>
        <v/>
      </c>
      <c r="B175" s="416" t="inlineStr">
        <is>
          <t>SAOKE_TINDUNG</t>
        </is>
      </c>
      <c r="C175" s="416" t="inlineStr">
        <is>
          <t>T24CORE</t>
        </is>
      </c>
      <c r="D175" s="416" t="inlineStr">
        <is>
          <t>CUSTOMER</t>
        </is>
      </c>
      <c r="E175" s="416" t="inlineStr">
        <is>
          <t>VN_STREET</t>
        </is>
      </c>
      <c r="F175" s="417" t="inlineStr">
        <is>
          <t>1:1</t>
        </is>
      </c>
      <c r="G175" s="417" t="inlineStr">
        <is>
          <t>PG_BRONZE</t>
        </is>
      </c>
      <c r="H175" s="377" t="inlineStr">
        <is>
          <t>T24CORE_CUSTOMER</t>
        </is>
      </c>
      <c r="I175" s="377" t="inlineStr">
        <is>
          <t>VN_STREET</t>
        </is>
      </c>
      <c r="J175" s="417" t="inlineStr">
        <is>
          <t>PG_SILVER</t>
        </is>
      </c>
      <c r="K175" s="377" t="inlineStr">
        <is>
          <t>VN_STREET</t>
        </is>
      </c>
      <c r="L175" s="417" t="inlineStr">
        <is>
          <t>VARCHAR2(255)</t>
        </is>
      </c>
      <c r="M175" s="377" t="inlineStr">
        <is>
          <t>LEFT JOIN PG_BRONZE.T24CORE_CUSTOMER cus ON ld.CUSTOMER_ID = cus.RECID</t>
        </is>
      </c>
      <c r="N175" s="377" t="inlineStr">
        <is>
          <t>TRIM(cus.VN_STREET)</t>
        </is>
      </c>
      <c r="O175" s="377" t="inlineStr">
        <is>
          <t>Source -&gt; PG_BRONZE (1:1) -&gt; PG_SILVER (Temp 2)</t>
        </is>
      </c>
      <c r="P175" s="357" t="inlineStr">
        <is>
          <t>Tên đường theo địa chỉ (Map từ PG_BRONZE.T24CORE_CUSTOMER.VN_STREET -&gt; PG_SILVER.SAOKE_TINDUNG.VN_STREET)</t>
        </is>
      </c>
    </row>
    <row r="176" ht="14.25" customHeight="1" s="335">
      <c r="A176" s="416">
        <f>C176&amp;D176&amp;E176</f>
        <v/>
      </c>
      <c r="B176" s="416" t="inlineStr">
        <is>
          <t>SAOKE_TINDUNG</t>
        </is>
      </c>
      <c r="C176" s="416" t="inlineStr">
        <is>
          <t>T24CORE</t>
        </is>
      </c>
      <c r="D176" s="416" t="inlineStr">
        <is>
          <t>CUSTOMER</t>
        </is>
      </c>
      <c r="E176" s="416" t="inlineStr">
        <is>
          <t>VN_TOWN</t>
        </is>
      </c>
      <c r="F176" s="417" t="inlineStr">
        <is>
          <t>1:1</t>
        </is>
      </c>
      <c r="G176" s="417" t="inlineStr">
        <is>
          <t>PG_BRONZE</t>
        </is>
      </c>
      <c r="H176" s="377" t="inlineStr">
        <is>
          <t>T24CORE_CUSTOMER</t>
        </is>
      </c>
      <c r="I176" s="377" t="inlineStr">
        <is>
          <t>VN_TOWN</t>
        </is>
      </c>
      <c r="J176" s="417" t="inlineStr">
        <is>
          <t>PG_SILVER</t>
        </is>
      </c>
      <c r="K176" s="377" t="inlineStr">
        <is>
          <t>VN_TOWN</t>
        </is>
      </c>
      <c r="L176" s="417" t="inlineStr">
        <is>
          <t>VARCHAR2(255)</t>
        </is>
      </c>
      <c r="M176" s="377" t="inlineStr">
        <is>
          <t>LEFT JOIN PG_BRONZE.T24CORE_CUSTOMER cus ON ld.CUSTOMER_ID = cus.RECID</t>
        </is>
      </c>
      <c r="N176" s="377" t="inlineStr">
        <is>
          <t>TRIM(cus.VN_TOWN)</t>
        </is>
      </c>
      <c r="O176" s="377" t="inlineStr">
        <is>
          <t>Source -&gt; PG_BRONZE (1:1) -&gt; PG_SILVER (Temp 2)</t>
        </is>
      </c>
      <c r="P176" s="357" t="inlineStr">
        <is>
          <t>Tên thành phố theo địa chỉ (Map từ PG_BRONZE.T24CORE_CUSTOMER.VN_TOWN -&gt; PG_SILVER.SAOKE_TINDUNG.VN_TOWN)</t>
        </is>
      </c>
    </row>
    <row r="177" ht="14.25" customHeight="1" s="335">
      <c r="A177" s="416">
        <f>C177&amp;D177&amp;E177</f>
        <v/>
      </c>
      <c r="B177" s="416" t="inlineStr">
        <is>
          <t>SAOKE_TINDUNG</t>
        </is>
      </c>
      <c r="C177" s="416" t="inlineStr">
        <is>
          <t>T24CORE</t>
        </is>
      </c>
      <c r="D177" s="416" t="inlineStr">
        <is>
          <t>DEPT_ACCT_OFFICER</t>
        </is>
      </c>
      <c r="E177" s="416" t="inlineStr">
        <is>
          <t>NAME</t>
        </is>
      </c>
      <c r="F177" s="417" t="inlineStr">
        <is>
          <t>1:1</t>
        </is>
      </c>
      <c r="G177" s="417" t="inlineStr">
        <is>
          <t>PG_BRONZE</t>
        </is>
      </c>
      <c r="H177" s="377" t="inlineStr">
        <is>
          <t>T24CORE_DEPT_ACCT_OFFICER</t>
        </is>
      </c>
      <c r="I177" s="377" t="inlineStr">
        <is>
          <t>NAME</t>
        </is>
      </c>
      <c r="J177" s="417" t="inlineStr">
        <is>
          <t>PG_SILVER</t>
        </is>
      </c>
      <c r="K177" s="377" t="inlineStr">
        <is>
          <t>NAME</t>
        </is>
      </c>
      <c r="L177" s="417" t="inlineStr">
        <is>
          <t>VARCHAR2(255)</t>
        </is>
      </c>
      <c r="M177" s="377" t="inlineStr">
        <is>
          <t>LEFT JOIN PG_BRONZE.T24CORE_DEPT_ACCT_OFFICER dao ON ld.MB_RM_BANCHEO = dao.RECID</t>
        </is>
      </c>
      <c r="N177" s="377" t="inlineStr">
        <is>
          <t>TRIM(dao.NAME)</t>
        </is>
      </c>
      <c r="O177" s="377" t="inlineStr">
        <is>
          <t>Source -&gt; PG_BRONZE (1:1) -&gt; PG_SILVER (Temp 2)</t>
        </is>
      </c>
      <c r="P177" s="357" t="inlineStr">
        <is>
          <t>Tên nhân viên hạch toán (Map từ PG_BRONZE.T24CORE_DEPT_ACCT_OFFICER.NAME -&gt; PG_SILVER.SAOKE_TINDUNG.NAME)</t>
        </is>
      </c>
    </row>
    <row r="178" ht="14.25" customHeight="1" s="335">
      <c r="A178" s="416">
        <f>C178&amp;D178&amp;E178</f>
        <v/>
      </c>
      <c r="B178" s="416" t="inlineStr">
        <is>
          <t>SAOKE_TINDUNG</t>
        </is>
      </c>
      <c r="C178" s="416" t="inlineStr">
        <is>
          <t>T24CORE</t>
        </is>
      </c>
      <c r="D178" s="416" t="inlineStr">
        <is>
          <t>DEPT_ACCT_OFFICER</t>
        </is>
      </c>
      <c r="E178" s="416" t="inlineStr">
        <is>
          <t>RECID</t>
        </is>
      </c>
      <c r="F178" s="417" t="inlineStr">
        <is>
          <t>1:1</t>
        </is>
      </c>
      <c r="G178" s="417" t="inlineStr">
        <is>
          <t>PG_BRONZE</t>
        </is>
      </c>
      <c r="H178" s="377" t="inlineStr">
        <is>
          <t>T24CORE_DEPT_ACCT_OFFICER</t>
        </is>
      </c>
      <c r="I178" s="377" t="inlineStr">
        <is>
          <t>RECID</t>
        </is>
      </c>
      <c r="J178" s="417" t="inlineStr">
        <is>
          <t>PG_SILVER</t>
        </is>
      </c>
      <c r="K178" s="377" t="inlineStr">
        <is>
          <t>DAO_RECID</t>
        </is>
      </c>
      <c r="L178" s="417" t="inlineStr">
        <is>
          <t>VARCHAR2(100)</t>
        </is>
      </c>
      <c r="M178" s="377" t="inlineStr">
        <is>
          <t>LEFT JOIN PG_BRONZE.T24CORE_DEPT_ACCT_OFFICER dao ON ld.MB_RM_BANCHEO = dao.RECID</t>
        </is>
      </c>
      <c r="N178" s="377" t="inlineStr">
        <is>
          <t>TRIM(dao.RECID)</t>
        </is>
      </c>
      <c r="O178" s="377" t="inlineStr">
        <is>
          <t>Source -&gt; PG_BRONZE (1:1) -&gt; PG_SILVER (Temp 2)</t>
        </is>
      </c>
      <c r="P178" s="357" t="inlineStr">
        <is>
          <t>Mã nhân viên hạch toán thứ 2 (Map từ PG_BRONZE.T24CORE_DEPT_ACCT_OFFICER.RECID -&gt; PG_SILVER.SAOKE_TINDUNG.DAO_RECID)</t>
        </is>
      </c>
    </row>
    <row r="179" ht="14.25" customHeight="1" s="335">
      <c r="A179" s="416">
        <f>C179&amp;D179&amp;E179</f>
        <v/>
      </c>
      <c r="B179" s="416" t="inlineStr">
        <is>
          <t>SAOKE_TINDUNG</t>
        </is>
      </c>
      <c r="C179" s="416" t="inlineStr">
        <is>
          <t>T24CORE</t>
        </is>
      </c>
      <c r="D179" s="416" t="inlineStr">
        <is>
          <t>LD_LOANS_AND_DEPOSITS</t>
        </is>
      </c>
      <c r="E179" s="416" t="inlineStr">
        <is>
          <t>ACC_FCC</t>
        </is>
      </c>
      <c r="F179" s="417" t="inlineStr">
        <is>
          <t>1:1</t>
        </is>
      </c>
      <c r="G179" s="417" t="inlineStr">
        <is>
          <t>PG_BRONZE</t>
        </is>
      </c>
      <c r="H179" s="377" t="inlineStr">
        <is>
          <t>T24CORE_LD_LOANS_AND_DEPOSITS</t>
        </is>
      </c>
      <c r="I179" s="377" t="inlineStr">
        <is>
          <t>ACC_FCC</t>
        </is>
      </c>
      <c r="J179" s="417" t="inlineStr">
        <is>
          <t>PG_SILVER</t>
        </is>
      </c>
      <c r="K179" s="377" t="inlineStr">
        <is>
          <t>ACC_FCC</t>
        </is>
      </c>
      <c r="L179" s="417" t="inlineStr">
        <is>
          <t>VARCHAR2(100)</t>
        </is>
      </c>
      <c r="M179" s="377" t="inlineStr">
        <is>
          <t>FROM PG_BRONZE.T24CORE_LD_LOANS_AND_DEPOSITS ld WHERE NVL(ld.RECORD_STATUS, '_') &lt;&gt; 'REVE'</t>
        </is>
      </c>
      <c r="N179" s="377" t="inlineStr">
        <is>
          <t>TRIM(ld.ACC_FCC)</t>
        </is>
      </c>
      <c r="O179" s="377" t="inlineStr">
        <is>
          <t>Source -&gt; PG_BRONZE (1:1) -&gt; PG_SILVER (Temp 2)</t>
        </is>
      </c>
      <c r="P179" s="357" t="inlineStr">
        <is>
          <t>Mã hợp đồng FlexCube (Map từ PG_BRONZE.T24CORE_LD_LOANS_AND_DEPOSITS.ACC_FCC -&gt; PG_SILVER.SAOKE_TINDUNG.ACC_FCC)</t>
        </is>
      </c>
    </row>
    <row r="180" ht="14.25" customHeight="1" s="335">
      <c r="A180" s="416">
        <f>C180&amp;D180&amp;E180</f>
        <v/>
      </c>
      <c r="B180" s="416" t="inlineStr">
        <is>
          <t>SAOKE_TINDUNG</t>
        </is>
      </c>
      <c r="C180" s="416" t="inlineStr">
        <is>
          <t>T24CORE</t>
        </is>
      </c>
      <c r="D180" s="416" t="inlineStr">
        <is>
          <t>LD_LOANS_AND_DEPOSITS</t>
        </is>
      </c>
      <c r="E180" s="416" t="inlineStr">
        <is>
          <t>AMOUNT</t>
        </is>
      </c>
      <c r="F180" s="417" t="inlineStr">
        <is>
          <t>1:1</t>
        </is>
      </c>
      <c r="G180" s="417" t="inlineStr">
        <is>
          <t>PG_BRONZE</t>
        </is>
      </c>
      <c r="H180" s="377" t="inlineStr">
        <is>
          <t>T24CORE_LD_LOANS_AND_DEPOSITS</t>
        </is>
      </c>
      <c r="I180" s="377" t="inlineStr">
        <is>
          <t>AMOUNT</t>
        </is>
      </c>
      <c r="J180" s="417" t="inlineStr">
        <is>
          <t>PG_SILVER</t>
        </is>
      </c>
      <c r="K180" s="377" t="inlineStr">
        <is>
          <t>AMOUNT</t>
        </is>
      </c>
      <c r="L180" s="417" t="inlineStr">
        <is>
          <t>NUMBER(25.5)</t>
        </is>
      </c>
      <c r="M180" s="377" t="inlineStr">
        <is>
          <t>FROM PG_BRONZE.T24CORE_LD_LOANS_AND_DEPOSITS ld WHERE NVL(ld.RECORD_STATUS, '_') &lt;&gt; 'REVE'</t>
        </is>
      </c>
      <c r="N180" s="377" t="inlineStr">
        <is>
          <t>COALESCE(CAST(ld.AMOUNT AS DECIMAL(25,5)), 0)</t>
        </is>
      </c>
      <c r="O180" s="377" t="inlineStr">
        <is>
          <t>Source -&gt; PG_BRONZE (1:1) -&gt; PG_SILVER (Temp 2)</t>
        </is>
      </c>
      <c r="P180" s="357" t="inlineStr">
        <is>
          <t>Dự nợ hợp đồng (Map từ PG_BRONZE.T24CORE_LD_LOANS_AND_DEPOSITS.AMOUNT -&gt; PG_SILVER.SAOKE_TINDUNG.AMOUNT)</t>
        </is>
      </c>
    </row>
    <row r="181" ht="14.25" customHeight="1" s="335">
      <c r="A181" s="416">
        <f>C181&amp;D181&amp;E181</f>
        <v/>
      </c>
      <c r="B181" s="416" t="inlineStr">
        <is>
          <t>SAOKE_TINDUNG</t>
        </is>
      </c>
      <c r="C181" s="416" t="inlineStr">
        <is>
          <t>T24CORE</t>
        </is>
      </c>
      <c r="D181" s="416" t="inlineStr">
        <is>
          <t>LD_LOANS_AND_DEPOSITS</t>
        </is>
      </c>
      <c r="E181" s="416" t="inlineStr">
        <is>
          <t>APPROVE_AMOUNT</t>
        </is>
      </c>
      <c r="F181" s="417" t="inlineStr">
        <is>
          <t>1:1</t>
        </is>
      </c>
      <c r="G181" s="417" t="inlineStr">
        <is>
          <t>PG_BRONZE</t>
        </is>
      </c>
      <c r="H181" s="377" t="inlineStr">
        <is>
          <t>T24CORE_LD_LOANS_AND_DEPOSITS</t>
        </is>
      </c>
      <c r="I181" s="377" t="inlineStr">
        <is>
          <t>APPROVE_AMOUNT</t>
        </is>
      </c>
      <c r="J181" s="417" t="inlineStr">
        <is>
          <t>PG_SILVER</t>
        </is>
      </c>
      <c r="K181" s="377" t="inlineStr">
        <is>
          <t>APPROVE_AMOUNT</t>
        </is>
      </c>
      <c r="L181" s="417" t="inlineStr">
        <is>
          <t>NUMBER(25.5)</t>
        </is>
      </c>
      <c r="M181" s="377" t="inlineStr">
        <is>
          <t>FROM PG_BRONZE.T24CORE_LD_LOANS_AND_DEPOSITS ld WHERE NVL(ld.RECORD_STATUS, '_') &lt;&gt; 'REVE'</t>
        </is>
      </c>
      <c r="N181" s="377" t="inlineStr">
        <is>
          <t>COALESCE(CAST(ld.APPROVE_AMOUNT AS DECIMAL(25,5)), 0)</t>
        </is>
      </c>
      <c r="O181" s="377" t="inlineStr">
        <is>
          <t>Source -&gt; PG_BRONZE (1:1) -&gt; PG_SILVER (Temp 2)</t>
        </is>
      </c>
      <c r="P181" s="357" t="inlineStr">
        <is>
          <t>Giá trị phê duyệt (Map từ PG_BRONZE.T24CORE_LD_LOANS_AND_DEPOSITS.APPROVE_AMOUNT -&gt; PG_SILVER.SAOKE_TINDUNG.APPROVE_AMOUNT)</t>
        </is>
      </c>
    </row>
    <row r="182" ht="14.25" customHeight="1" s="335">
      <c r="A182" s="416">
        <f>C182&amp;D182&amp;E182</f>
        <v/>
      </c>
      <c r="B182" s="416" t="inlineStr">
        <is>
          <t>SAOKE_TINDUNG</t>
        </is>
      </c>
      <c r="C182" s="416" t="inlineStr">
        <is>
          <t>T24CORE</t>
        </is>
      </c>
      <c r="D182" s="416" t="inlineStr">
        <is>
          <t>LD_LOANS_AND_DEPOSITS</t>
        </is>
      </c>
      <c r="E182" s="416" t="inlineStr">
        <is>
          <t>AUTHORISER</t>
        </is>
      </c>
      <c r="F182" s="417" t="inlineStr">
        <is>
          <t>1:1</t>
        </is>
      </c>
      <c r="G182" s="417" t="inlineStr">
        <is>
          <t>PG_BRONZE</t>
        </is>
      </c>
      <c r="H182" s="377" t="inlineStr">
        <is>
          <t>T24CORE_LD_LOANS_AND_DEPOSITS</t>
        </is>
      </c>
      <c r="I182" s="377" t="inlineStr">
        <is>
          <t>AUTHORISER</t>
        </is>
      </c>
      <c r="J182" s="417" t="inlineStr">
        <is>
          <t>PG_SILVER</t>
        </is>
      </c>
      <c r="K182" s="377" t="inlineStr">
        <is>
          <t>AUTHORISER</t>
        </is>
      </c>
      <c r="L182" s="417" t="inlineStr">
        <is>
          <t>VARCHAR2(100)</t>
        </is>
      </c>
      <c r="M182" s="377" t="inlineStr">
        <is>
          <t>FROM PG_BRONZE.T24CORE_LD_LOANS_AND_DEPOSITS ld WHERE NVL(ld.RECORD_STATUS, '_') &lt;&gt; 'REVE'</t>
        </is>
      </c>
      <c r="N182" s="377" t="inlineStr">
        <is>
          <t>TRIM(ld.AUTHORISER)</t>
        </is>
      </c>
      <c r="O182" s="377" t="inlineStr">
        <is>
          <t>Source -&gt; PG_BRONZE (1:1) -&gt; PG_SILVER (Temp 2)</t>
        </is>
      </c>
      <c r="P182" s="357" t="inlineStr">
        <is>
          <t>Mã người phê duyệt (Map từ PG_BRONZE.T24CORE_LD_LOANS_AND_DEPOSITS.AUTHORISER -&gt; PG_SILVER.SAOKE_TINDUNG.AUTHORISER)</t>
        </is>
      </c>
    </row>
    <row r="183" ht="14.25" customHeight="1" s="335">
      <c r="A183" s="416">
        <f>C183&amp;D183&amp;E183</f>
        <v/>
      </c>
      <c r="B183" s="416" t="inlineStr">
        <is>
          <t>SAOKE_TINDUNG</t>
        </is>
      </c>
      <c r="C183" s="416" t="inlineStr">
        <is>
          <t>T24CORE</t>
        </is>
      </c>
      <c r="D183" s="416" t="inlineStr">
        <is>
          <t>LD_LOANS_AND_DEPOSITS</t>
        </is>
      </c>
      <c r="E183" s="416" t="inlineStr">
        <is>
          <t>CATEGORY</t>
        </is>
      </c>
      <c r="F183" s="417" t="inlineStr">
        <is>
          <t>1:1</t>
        </is>
      </c>
      <c r="G183" s="417" t="inlineStr">
        <is>
          <t>PG_BRONZE</t>
        </is>
      </c>
      <c r="H183" s="377" t="inlineStr">
        <is>
          <t>T24CORE_LD_LOANS_AND_DEPOSITS</t>
        </is>
      </c>
      <c r="I183" s="377" t="inlineStr">
        <is>
          <t>CATEGORY</t>
        </is>
      </c>
      <c r="J183" s="417" t="inlineStr">
        <is>
          <t>PG_SILVER</t>
        </is>
      </c>
      <c r="K183" s="377" t="inlineStr">
        <is>
          <t>CATEGORY</t>
        </is>
      </c>
      <c r="L183" s="417" t="inlineStr">
        <is>
          <t>VARCHAR2(100)</t>
        </is>
      </c>
      <c r="M183" s="377" t="inlineStr">
        <is>
          <t>FROM PG_BRONZE.T24CORE_LD_LOANS_AND_DEPOSITS ld WHERE NVL(ld.RECORD_STATUS, '_') &lt;&gt; 'REVE'</t>
        </is>
      </c>
      <c r="N183" s="377" t="inlineStr">
        <is>
          <t>TRIM(ld.CATEGORY)</t>
        </is>
      </c>
      <c r="O183" s="377" t="inlineStr">
        <is>
          <t>Source -&gt; PG_BRONZE (1:1) -&gt; PG_SILVER (Temp 2)</t>
        </is>
      </c>
      <c r="P183" s="357" t="inlineStr">
        <is>
          <t>Mã phân loại sản phẩm (Map từ PG_BRONZE.T24CORE_LD_LOANS_AND_DEPOSITS.CATEGORY -&gt; PG_SILVER.SAOKE_TINDUNG.CATEGORY)</t>
        </is>
      </c>
    </row>
    <row r="184" ht="14.25" customHeight="1" s="335">
      <c r="A184" s="416">
        <f>C184&amp;D184&amp;E184</f>
        <v/>
      </c>
      <c r="B184" s="416" t="inlineStr">
        <is>
          <t>SAOKE_TINDUNG</t>
        </is>
      </c>
      <c r="C184" s="416" t="inlineStr">
        <is>
          <t>T24CORE</t>
        </is>
      </c>
      <c r="D184" s="416" t="inlineStr">
        <is>
          <t>LD_LOANS_AND_DEPOSITS</t>
        </is>
      </c>
      <c r="E184" s="416" t="inlineStr">
        <is>
          <t>CO_CODE</t>
        </is>
      </c>
      <c r="F184" s="417" t="inlineStr">
        <is>
          <t>1:1</t>
        </is>
      </c>
      <c r="G184" s="417" t="inlineStr">
        <is>
          <t>PG_BRONZE</t>
        </is>
      </c>
      <c r="H184" s="377" t="inlineStr">
        <is>
          <t>T24CORE_LD_LOANS_AND_DEPOSITS</t>
        </is>
      </c>
      <c r="I184" s="377" t="inlineStr">
        <is>
          <t>CO_CODE</t>
        </is>
      </c>
      <c r="J184" s="417" t="inlineStr">
        <is>
          <t>PG_SILVER</t>
        </is>
      </c>
      <c r="K184" s="377" t="inlineStr">
        <is>
          <t>CO_CODE</t>
        </is>
      </c>
      <c r="L184" s="417" t="inlineStr">
        <is>
          <t>VARCHAR2(100)</t>
        </is>
      </c>
      <c r="M184" s="377" t="inlineStr">
        <is>
          <t>FROM PG_BRONZE.T24CORE_LD_LOANS_AND_DEPOSITS ld WHERE NVL(ld.RECORD_STATUS, '_') &lt;&gt; 'REVE'</t>
        </is>
      </c>
      <c r="N184" s="377" t="inlineStr">
        <is>
          <t>TRIM(ld.CO_CODE)</t>
        </is>
      </c>
      <c r="O184" s="377" t="inlineStr">
        <is>
          <t>Source -&gt; PG_BRONZE (1:1) -&gt; PG_SILVER (Temp 2)</t>
        </is>
      </c>
      <c r="P184" s="357" t="inlineStr">
        <is>
          <t>Mã chi nhánh quản lý hiện tại (Map từ PG_BRONZE.T24CORE_LD_LOANS_AND_DEPOSITS.CO_CODE -&gt; PG_SILVER.SAOKE_TINDUNG.CO_CODE)</t>
        </is>
      </c>
    </row>
    <row r="185" ht="14.25" customHeight="1" s="335">
      <c r="A185" s="416">
        <f>C185&amp;D185&amp;E185</f>
        <v/>
      </c>
      <c r="B185" s="416" t="inlineStr">
        <is>
          <t>SAOKE_TINDUNG</t>
        </is>
      </c>
      <c r="C185" s="416" t="inlineStr">
        <is>
          <t>T24CORE</t>
        </is>
      </c>
      <c r="D185" s="416" t="inlineStr">
        <is>
          <t>LD_LOANS_AND_DEPOSITS</t>
        </is>
      </c>
      <c r="E185" s="416" t="inlineStr">
        <is>
          <t>COMMIT_ACTION</t>
        </is>
      </c>
      <c r="F185" s="417" t="inlineStr">
        <is>
          <t>1:1</t>
        </is>
      </c>
      <c r="G185" s="417" t="inlineStr">
        <is>
          <t>PG_BRONZE</t>
        </is>
      </c>
      <c r="H185" s="377" t="inlineStr">
        <is>
          <t>T24CORE_LD_LOANS_AND_DEPOSITS</t>
        </is>
      </c>
      <c r="I185" s="377" t="inlineStr">
        <is>
          <t>COMMIT_ACTION</t>
        </is>
      </c>
      <c r="J185" s="417" t="inlineStr">
        <is>
          <t>PG_SILVER</t>
        </is>
      </c>
      <c r="K185" s="377" t="inlineStr">
        <is>
          <t>COMMIT_ACTION</t>
        </is>
      </c>
      <c r="L185" s="417" t="inlineStr">
        <is>
          <t>VARCHAR2(100)</t>
        </is>
      </c>
      <c r="M185" s="377" t="inlineStr">
        <is>
          <t>FROM PG_BRONZE.T24CORE_LD_LOANS_AND_DEPOSITS ld WHERE NVL(ld.RECORD_STATUS, '_') &lt;&gt; 'REVE'</t>
        </is>
      </c>
      <c r="N185" s="377" t="inlineStr">
        <is>
          <t>TRIM(ld.COMMIT_ACTION)</t>
        </is>
      </c>
      <c r="O185" s="377" t="inlineStr">
        <is>
          <t>Source -&gt; PG_BRONZE (1:1) -&gt; PG_SILVER (Temp 2)</t>
        </is>
      </c>
      <c r="P185" s="357" t="inlineStr">
        <is>
          <t>Trường COMMIT_ACTION của bảng nguồn T24CORE.LD_LOANS_AND_DEPOSITS (Map từ PG_BRONZE.T24CORE_LD_LOANS_AND_DEPOSITS.COMMIT_ACTION -&gt; PG_SILVER.SAOKE_TINDUNG.COMMIT_ACTION)</t>
        </is>
      </c>
    </row>
    <row r="186" ht="14.25" customHeight="1" s="335">
      <c r="A186" s="416">
        <f>C186&amp;D186&amp;E186</f>
        <v/>
      </c>
      <c r="B186" s="416" t="inlineStr">
        <is>
          <t>SAOKE_TINDUNG</t>
        </is>
      </c>
      <c r="C186" s="416" t="inlineStr">
        <is>
          <t>T24CORE</t>
        </is>
      </c>
      <c r="D186" s="416" t="inlineStr">
        <is>
          <t>LD_LOANS_AND_DEPOSITS</t>
        </is>
      </c>
      <c r="E186" s="416" t="inlineStr">
        <is>
          <t>CRA_LD</t>
        </is>
      </c>
      <c r="F186" s="417" t="inlineStr">
        <is>
          <t>1:1</t>
        </is>
      </c>
      <c r="G186" s="417" t="inlineStr">
        <is>
          <t>PG_BRONZE</t>
        </is>
      </c>
      <c r="H186" s="377" t="inlineStr">
        <is>
          <t>T24CORE_LD_LOANS_AND_DEPOSITS</t>
        </is>
      </c>
      <c r="I186" s="377" t="inlineStr">
        <is>
          <t>CRA_LD</t>
        </is>
      </c>
      <c r="J186" s="417" t="inlineStr">
        <is>
          <t>PG_SILVER</t>
        </is>
      </c>
      <c r="K186" s="377" t="inlineStr">
        <is>
          <t>CRA_LD</t>
        </is>
      </c>
      <c r="L186" s="417" t="inlineStr">
        <is>
          <t>VARCHAR2(100)</t>
        </is>
      </c>
      <c r="M186" s="377" t="inlineStr">
        <is>
          <t>FROM PG_BRONZE.T24CORE_LD_LOANS_AND_DEPOSITS ld WHERE NVL(ld.RECORD_STATUS, '_') &lt;&gt; 'REVE'</t>
        </is>
      </c>
      <c r="N186" s="377" t="inlineStr">
        <is>
          <t>TRIM(ld.CRA_LD)</t>
        </is>
      </c>
      <c r="O186" s="377" t="inlineStr">
        <is>
          <t>Source -&gt; PG_BRONZE (1:1) -&gt; PG_SILVER (Temp 2)</t>
        </is>
      </c>
      <c r="P186" s="357" t="inlineStr">
        <is>
          <t>Số hồ sơ giải ngân (Map từ PG_BRONZE.T24CORE_LD_LOANS_AND_DEPOSITS.CRA_LD -&gt; PG_SILVER.SAOKE_TINDUNG.CRA_LD)</t>
        </is>
      </c>
    </row>
    <row r="187" ht="14.25" customHeight="1" s="335">
      <c r="A187" s="416">
        <f>C187&amp;D187&amp;E187</f>
        <v/>
      </c>
      <c r="B187" s="416" t="inlineStr">
        <is>
          <t>SAOKE_TINDUNG</t>
        </is>
      </c>
      <c r="C187" s="416" t="inlineStr">
        <is>
          <t>T24CORE</t>
        </is>
      </c>
      <c r="D187" s="416" t="inlineStr">
        <is>
          <t>LD_LOANS_AND_DEPOSITS</t>
        </is>
      </c>
      <c r="E187" s="416" t="inlineStr">
        <is>
          <t>CURR_NO</t>
        </is>
      </c>
      <c r="F187" s="417" t="inlineStr">
        <is>
          <t>1:1</t>
        </is>
      </c>
      <c r="G187" s="417" t="inlineStr">
        <is>
          <t>PG_BRONZE</t>
        </is>
      </c>
      <c r="H187" s="377" t="inlineStr">
        <is>
          <t>T24CORE_LD_LOANS_AND_DEPOSITS</t>
        </is>
      </c>
      <c r="I187" s="377" t="inlineStr">
        <is>
          <t>CURR_NO</t>
        </is>
      </c>
      <c r="J187" s="417" t="inlineStr">
        <is>
          <t>PG_SILVER</t>
        </is>
      </c>
      <c r="K187" s="377" t="inlineStr">
        <is>
          <t>CURR_NO</t>
        </is>
      </c>
      <c r="L187" s="417" t="inlineStr">
        <is>
          <t>NUMBER(10)</t>
        </is>
      </c>
      <c r="M187" s="377" t="inlineStr">
        <is>
          <t>FROM PG_BRONZE.T24CORE_LD_LOANS_AND_DEPOSITS ld WHERE NVL(ld.RECORD_STATUS, '_') &lt;&gt; 'REVE'</t>
        </is>
      </c>
      <c r="N187" s="377" t="inlineStr">
        <is>
          <t>COALESCE(CAST(ld.CURR_NO AS DECIMAL(10)), 0)</t>
        </is>
      </c>
      <c r="O187" s="377" t="inlineStr">
        <is>
          <t>Source -&gt; PG_BRONZE (1:1) -&gt; PG_SILVER (Temp 2)</t>
        </is>
      </c>
      <c r="P187" s="357" t="inlineStr">
        <is>
          <t>Version bản ghi hiện tại (Map từ PG_BRONZE.T24CORE_LD_LOANS_AND_DEPOSITS.CURR_NO -&gt; PG_SILVER.SAOKE_TINDUNG.CURR_NO)</t>
        </is>
      </c>
    </row>
    <row r="188" ht="14.25" customHeight="1" s="335">
      <c r="A188" s="416">
        <f>C188&amp;D188&amp;E188</f>
        <v/>
      </c>
      <c r="B188" s="416" t="inlineStr">
        <is>
          <t>SAOKE_TINDUNG</t>
        </is>
      </c>
      <c r="C188" s="416" t="inlineStr">
        <is>
          <t>T24CORE</t>
        </is>
      </c>
      <c r="D188" s="416" t="inlineStr">
        <is>
          <t>LD_LOANS_AND_DEPOSITS</t>
        </is>
      </c>
      <c r="E188" s="416" t="inlineStr">
        <is>
          <t>CURRENCY</t>
        </is>
      </c>
      <c r="F188" s="417" t="inlineStr">
        <is>
          <t>1:1</t>
        </is>
      </c>
      <c r="G188" s="417" t="inlineStr">
        <is>
          <t>PG_BRONZE</t>
        </is>
      </c>
      <c r="H188" s="377" t="inlineStr">
        <is>
          <t>T24CORE_LD_LOANS_AND_DEPOSITS</t>
        </is>
      </c>
      <c r="I188" s="377" t="inlineStr">
        <is>
          <t>CURRENCY</t>
        </is>
      </c>
      <c r="J188" s="417" t="inlineStr">
        <is>
          <t>PG_SILVER</t>
        </is>
      </c>
      <c r="K188" s="377" t="inlineStr">
        <is>
          <t>CURRENCY</t>
        </is>
      </c>
      <c r="L188" s="417" t="inlineStr">
        <is>
          <t>VARCHAR2(100)</t>
        </is>
      </c>
      <c r="M188" s="377" t="inlineStr">
        <is>
          <t>FROM PG_BRONZE.T24CORE_LD_LOANS_AND_DEPOSITS ld WHERE NVL(ld.RECORD_STATUS, '_') &lt;&gt; 'REVE'</t>
        </is>
      </c>
      <c r="N188" s="377" t="inlineStr">
        <is>
          <t>TRIM(ld.CURRENCY)</t>
        </is>
      </c>
      <c r="O188" s="377" t="inlineStr">
        <is>
          <t>Source -&gt; PG_BRONZE (1:1) -&gt; PG_SILVER (Temp 2)</t>
        </is>
      </c>
      <c r="P188" s="357" t="inlineStr">
        <is>
          <t>Loại tiền (Map từ PG_BRONZE.T24CORE_LD_LOANS_AND_DEPOSITS.CURRENCY -&gt; PG_SILVER.SAOKE_TINDUNG.CURRENCY)</t>
        </is>
      </c>
    </row>
    <row r="189" ht="14.25" customHeight="1" s="335">
      <c r="A189" s="416">
        <f>C189&amp;D189&amp;E189</f>
        <v/>
      </c>
      <c r="B189" s="416" t="inlineStr">
        <is>
          <t>SAOKE_TINDUNG</t>
        </is>
      </c>
      <c r="C189" s="416" t="inlineStr">
        <is>
          <t>T24CORE</t>
        </is>
      </c>
      <c r="D189" s="416" t="inlineStr">
        <is>
          <t>LD_LOANS_AND_DEPOSITS</t>
        </is>
      </c>
      <c r="E189" s="416" t="inlineStr">
        <is>
          <t>CUSTOMER_ID</t>
        </is>
      </c>
      <c r="F189" s="417" t="inlineStr">
        <is>
          <t>1:1</t>
        </is>
      </c>
      <c r="G189" s="417" t="inlineStr">
        <is>
          <t>PG_BRONZE</t>
        </is>
      </c>
      <c r="H189" s="377" t="inlineStr">
        <is>
          <t>T24CORE_LD_LOANS_AND_DEPOSITS</t>
        </is>
      </c>
      <c r="I189" s="377" t="inlineStr">
        <is>
          <t>CUSTOMER_ID</t>
        </is>
      </c>
      <c r="J189" s="417" t="inlineStr">
        <is>
          <t>PG_SILVER</t>
        </is>
      </c>
      <c r="K189" s="377" t="inlineStr">
        <is>
          <t>CUSTOMER_ID</t>
        </is>
      </c>
      <c r="L189" s="417" t="inlineStr">
        <is>
          <t>VARCHAR2(100)</t>
        </is>
      </c>
      <c r="M189" s="377" t="inlineStr">
        <is>
          <t>FROM PG_BRONZE.T24CORE_LD_LOANS_AND_DEPOSITS ld WHERE NVL(ld.RECORD_STATUS, '_') &lt;&gt; 'REVE'</t>
        </is>
      </c>
      <c r="N189" s="377" t="inlineStr">
        <is>
          <t>TRIM(ld.CUSTOMER_ID)</t>
        </is>
      </c>
      <c r="O189" s="377" t="inlineStr">
        <is>
          <t>Source -&gt; PG_BRONZE (1:1) -&gt; PG_SILVER (Temp 2)</t>
        </is>
      </c>
      <c r="P189" s="357" t="inlineStr">
        <is>
          <t>Mã khách hàng (Map từ PG_BRONZE.T24CORE_LD_LOANS_AND_DEPOSITS.CUSTOMER_ID -&gt; PG_SILVER.SAOKE_TINDUNG.CUSTOMER_ID)</t>
        </is>
      </c>
    </row>
    <row r="190" ht="14.25" customHeight="1" s="335">
      <c r="A190" s="416">
        <f>C190&amp;D190&amp;E190</f>
        <v/>
      </c>
      <c r="B190" s="416" t="inlineStr">
        <is>
          <t>SAOKE_TINDUNG</t>
        </is>
      </c>
      <c r="C190" s="416" t="inlineStr">
        <is>
          <t>T24CORE</t>
        </is>
      </c>
      <c r="D190" s="416" t="inlineStr">
        <is>
          <t>LD_LOANS_AND_DEPOSITS</t>
        </is>
      </c>
      <c r="E190" s="416" t="inlineStr">
        <is>
          <t>DATE_TIME</t>
        </is>
      </c>
      <c r="F190" s="417" t="inlineStr">
        <is>
          <t>1:1</t>
        </is>
      </c>
      <c r="G190" s="417" t="inlineStr">
        <is>
          <t>PG_BRONZE</t>
        </is>
      </c>
      <c r="H190" s="377" t="inlineStr">
        <is>
          <t>T24CORE_LD_LOANS_AND_DEPOSITS</t>
        </is>
      </c>
      <c r="I190" s="377" t="inlineStr">
        <is>
          <t>DATE_TIME</t>
        </is>
      </c>
      <c r="J190" s="417" t="inlineStr">
        <is>
          <t>PG_SILVER</t>
        </is>
      </c>
      <c r="K190" s="377" t="inlineStr">
        <is>
          <t>DATE_TIME</t>
        </is>
      </c>
      <c r="L190" s="417" t="inlineStr">
        <is>
          <t>DATE</t>
        </is>
      </c>
      <c r="M190" s="377" t="inlineStr">
        <is>
          <t>FROM PG_BRONZE.T24CORE_LD_LOANS_AND_DEPOSITS ld WHERE NVL(ld.RECORD_STATUS, '_') &lt;&gt; 'REVE'</t>
        </is>
      </c>
      <c r="N190" s="377" t="inlineStr">
        <is>
          <t>TO_DATE(CAST(ld.DATE_TIME AS VARCHAR(20)), 'YYYYMMDD')</t>
        </is>
      </c>
      <c r="O190" s="377" t="inlineStr">
        <is>
          <t>Source -&gt; PG_BRONZE (1:1) -&gt; PG_SILVER (Temp 2)</t>
        </is>
      </c>
      <c r="P190" s="357" t="inlineStr">
        <is>
          <t>Ngày nhập liệu Core (Map từ PG_BRONZE.T24CORE_LD_LOANS_AND_DEPOSITS.DATE_TIME -&gt; PG_SILVER.SAOKE_TINDUNG.DATE_TIME)</t>
        </is>
      </c>
    </row>
    <row r="191" ht="14.25" customHeight="1" s="335">
      <c r="A191" s="416">
        <f>C191&amp;D191&amp;E191</f>
        <v/>
      </c>
      <c r="B191" s="416" t="inlineStr">
        <is>
          <t>SAOKE_TINDUNG</t>
        </is>
      </c>
      <c r="C191" s="416" t="inlineStr">
        <is>
          <t>T24CORE</t>
        </is>
      </c>
      <c r="D191" s="416" t="inlineStr">
        <is>
          <t>LD_LOANS_AND_DEPOSITS</t>
        </is>
      </c>
      <c r="E191" s="416" t="inlineStr">
        <is>
          <t>DRAWDOWN_NET_AMT</t>
        </is>
      </c>
      <c r="F191" s="417" t="inlineStr">
        <is>
          <t>1:1</t>
        </is>
      </c>
      <c r="G191" s="417" t="inlineStr">
        <is>
          <t>PG_BRONZE</t>
        </is>
      </c>
      <c r="H191" s="377" t="inlineStr">
        <is>
          <t>T24CORE_LD_LOANS_AND_DEPOSITS</t>
        </is>
      </c>
      <c r="I191" s="377" t="inlineStr">
        <is>
          <t>DRAWDOWN_NET_AMT</t>
        </is>
      </c>
      <c r="J191" s="417" t="inlineStr">
        <is>
          <t>PG_SILVER</t>
        </is>
      </c>
      <c r="K191" s="377" t="inlineStr">
        <is>
          <t>DRAWDOWN_NET_AMT</t>
        </is>
      </c>
      <c r="L191" s="417" t="inlineStr">
        <is>
          <t>NUMBER(25.5)</t>
        </is>
      </c>
      <c r="M191" s="377" t="inlineStr">
        <is>
          <t>FROM PG_BRONZE.T24CORE_LD_LOANS_AND_DEPOSITS ld WHERE NVL(ld.RECORD_STATUS, '_') &lt;&gt; 'REVE'</t>
        </is>
      </c>
      <c r="N191" s="377" t="inlineStr">
        <is>
          <t>COALESCE(CAST(ld.DRAWDOWN_NET_AMT AS DECIMAL(25,5)), 0)</t>
        </is>
      </c>
      <c r="O191" s="377" t="inlineStr">
        <is>
          <t>Source -&gt; PG_BRONZE (1:1) -&gt; PG_SILVER (Temp 2)</t>
        </is>
      </c>
      <c r="P191" s="357" t="inlineStr">
        <is>
          <t>Số tiền thực tế giải ngân (Map từ PG_BRONZE.T24CORE_LD_LOANS_AND_DEPOSITS.DRAWDOWN_NET_AMT -&gt; PG_SILVER.SAOKE_TINDUNG.DRAWDOWN_NET_AMT)</t>
        </is>
      </c>
    </row>
    <row r="192" ht="14.25" customHeight="1" s="335">
      <c r="A192" s="416">
        <f>C192&amp;D192&amp;E192</f>
        <v/>
      </c>
      <c r="B192" s="416" t="inlineStr">
        <is>
          <t>SAOKE_TINDUNG</t>
        </is>
      </c>
      <c r="C192" s="416" t="inlineStr">
        <is>
          <t>T24CORE</t>
        </is>
      </c>
      <c r="D192" s="416" t="inlineStr">
        <is>
          <t>LD_LOANS_AND_DEPOSITS</t>
        </is>
      </c>
      <c r="E192" s="416" t="inlineStr">
        <is>
          <t>EXCG_RATE</t>
        </is>
      </c>
      <c r="F192" s="417" t="inlineStr">
        <is>
          <t>1:1</t>
        </is>
      </c>
      <c r="G192" s="417" t="inlineStr">
        <is>
          <t>PG_BRONZE</t>
        </is>
      </c>
      <c r="H192" s="377" t="inlineStr">
        <is>
          <t>T24CORE_LD_LOANS_AND_DEPOSITS</t>
        </is>
      </c>
      <c r="I192" s="377" t="inlineStr">
        <is>
          <t>EXCG_RATE</t>
        </is>
      </c>
      <c r="J192" s="417" t="inlineStr">
        <is>
          <t>PG_SILVER</t>
        </is>
      </c>
      <c r="K192" s="377" t="inlineStr">
        <is>
          <t>EXCG_RATE</t>
        </is>
      </c>
      <c r="L192" s="417" t="inlineStr">
        <is>
          <t>NUMBER(13.7)</t>
        </is>
      </c>
      <c r="M192" s="377" t="inlineStr">
        <is>
          <t>FROM PG_BRONZE.T24CORE_LD_LOANS_AND_DEPOSITS ld WHERE NVL(ld.RECORD_STATUS, '_') &lt;&gt; 'REVE'</t>
        </is>
      </c>
      <c r="N192" s="377" t="inlineStr">
        <is>
          <t>COALESCE(CAST(ld.EXCG_RATE AS DECIMAL(13,7)), 0)</t>
        </is>
      </c>
      <c r="O192" s="377" t="inlineStr">
        <is>
          <t>Source -&gt; PG_BRONZE (1:1) -&gt; PG_SILVER (Temp 2)</t>
        </is>
      </c>
      <c r="P192" s="357" t="inlineStr">
        <is>
          <t>Tỷ giá quy đổi (Map từ PG_BRONZE.T24CORE_LD_LOANS_AND_DEPOSITS.EXCG_RATE -&gt; PG_SILVER.SAOKE_TINDUNG.EXCG_RATE)</t>
        </is>
      </c>
    </row>
    <row r="193" ht="14.25" customHeight="1" s="335">
      <c r="A193" s="416">
        <f>C193&amp;D193&amp;E193</f>
        <v/>
      </c>
      <c r="B193" s="416" t="inlineStr">
        <is>
          <t>SAOKE_TINDUNG</t>
        </is>
      </c>
      <c r="C193" s="416" t="inlineStr">
        <is>
          <t>T24CORE</t>
        </is>
      </c>
      <c r="D193" s="416" t="inlineStr">
        <is>
          <t>LD_LOANS_AND_DEPOSITS</t>
        </is>
      </c>
      <c r="E193" s="416" t="inlineStr">
        <is>
          <t>FCC_LIMIT</t>
        </is>
      </c>
      <c r="F193" s="417" t="inlineStr">
        <is>
          <t>1:1</t>
        </is>
      </c>
      <c r="G193" s="417" t="inlineStr">
        <is>
          <t>PG_BRONZE</t>
        </is>
      </c>
      <c r="H193" s="377" t="inlineStr">
        <is>
          <t>T24CORE_LD_LOANS_AND_DEPOSITS</t>
        </is>
      </c>
      <c r="I193" s="377" t="inlineStr">
        <is>
          <t>FCC_LIMIT</t>
        </is>
      </c>
      <c r="J193" s="417" t="inlineStr">
        <is>
          <t>PG_SILVER</t>
        </is>
      </c>
      <c r="K193" s="377" t="inlineStr">
        <is>
          <t>FCC_LIMIT</t>
        </is>
      </c>
      <c r="L193" s="417" t="inlineStr">
        <is>
          <t>VARCHAR2(100)</t>
        </is>
      </c>
      <c r="M193" s="377" t="inlineStr">
        <is>
          <t>FROM PG_BRONZE.T24CORE_LD_LOANS_AND_DEPOSITS ld WHERE NVL(ld.RECORD_STATUS, '_') &lt;&gt; 'REVE'</t>
        </is>
      </c>
      <c r="N193" s="377" t="inlineStr">
        <is>
          <t>TRIM(ld.FCC_LIMIT)</t>
        </is>
      </c>
      <c r="O193" s="377" t="inlineStr">
        <is>
          <t>Source -&gt; PG_BRONZE (1:1) -&gt; PG_SILVER (Temp 2)</t>
        </is>
      </c>
      <c r="P193" s="357" t="inlineStr">
        <is>
          <t>Mã hạn mức trên Flexcube (Map từ PG_BRONZE.T24CORE_LD_LOANS_AND_DEPOSITS.FCC_LIMIT -&gt; PG_SILVER.SAOKE_TINDUNG.FCC_LIMIT)</t>
        </is>
      </c>
    </row>
    <row r="194" ht="14.25" customHeight="1" s="335">
      <c r="A194" s="416">
        <f>C194&amp;D194&amp;E194</f>
        <v/>
      </c>
      <c r="B194" s="416" t="inlineStr">
        <is>
          <t>SAOKE_TINDUNG</t>
        </is>
      </c>
      <c r="C194" s="416" t="inlineStr">
        <is>
          <t>T24CORE</t>
        </is>
      </c>
      <c r="D194" s="416" t="inlineStr">
        <is>
          <t>LD_LOANS_AND_DEPOSITS</t>
        </is>
      </c>
      <c r="E194" s="416" t="inlineStr">
        <is>
          <t>FIN_MAT_DATE</t>
        </is>
      </c>
      <c r="F194" s="417" t="inlineStr">
        <is>
          <t>1:1</t>
        </is>
      </c>
      <c r="G194" s="417" t="inlineStr">
        <is>
          <t>PG_BRONZE</t>
        </is>
      </c>
      <c r="H194" s="377" t="inlineStr">
        <is>
          <t>T24CORE_LD_LOANS_AND_DEPOSITS</t>
        </is>
      </c>
      <c r="I194" s="377" t="inlineStr">
        <is>
          <t>FIN_MAT_DATE</t>
        </is>
      </c>
      <c r="J194" s="417" t="inlineStr">
        <is>
          <t>PG_SILVER</t>
        </is>
      </c>
      <c r="K194" s="377" t="inlineStr">
        <is>
          <t>FIN_MAT_DATE</t>
        </is>
      </c>
      <c r="L194" s="417" t="inlineStr">
        <is>
          <t>DATE</t>
        </is>
      </c>
      <c r="M194" s="377" t="inlineStr">
        <is>
          <t>FROM PG_BRONZE.T24CORE_LD_LOANS_AND_DEPOSITS ld WHERE NVL(ld.RECORD_STATUS, '_') &lt;&gt; 'REVE'</t>
        </is>
      </c>
      <c r="N194" s="377" t="inlineStr">
        <is>
          <t>TO_DATE(CAST(ld.FIN_MAT_DATE AS VARCHAR(20)), 'YYYYMMDD')</t>
        </is>
      </c>
      <c r="O194" s="377" t="inlineStr">
        <is>
          <t>Source -&gt; PG_BRONZE (1:1) -&gt; PG_SILVER (Temp 2)</t>
        </is>
      </c>
      <c r="P194" s="357" t="inlineStr">
        <is>
          <t>Ngày đáo hạn hợp đồng (Map từ PG_BRONZE.T24CORE_LD_LOANS_AND_DEPOSITS.FIN_MAT_DATE -&gt; PG_SILVER.SAOKE_TINDUNG.FIN_MAT_DATE)</t>
        </is>
      </c>
    </row>
    <row r="195" ht="14.25" customHeight="1" s="335">
      <c r="A195" s="416">
        <f>C195&amp;D195&amp;E195</f>
        <v/>
      </c>
      <c r="B195" s="416" t="inlineStr">
        <is>
          <t>SAOKE_TINDUNG</t>
        </is>
      </c>
      <c r="C195" s="416" t="inlineStr">
        <is>
          <t>T24CORE</t>
        </is>
      </c>
      <c r="D195" s="416" t="inlineStr">
        <is>
          <t>LD_LOANS_AND_DEPOSITS</t>
        </is>
      </c>
      <c r="E195" s="416" t="inlineStr">
        <is>
          <t>ID</t>
        </is>
      </c>
      <c r="F195" s="417" t="inlineStr">
        <is>
          <t>1:1</t>
        </is>
      </c>
      <c r="G195" s="417" t="inlineStr">
        <is>
          <t>PG_BRONZE</t>
        </is>
      </c>
      <c r="H195" s="377" t="inlineStr">
        <is>
          <t>T24CORE_LD_LOANS_AND_DEPOSITS</t>
        </is>
      </c>
      <c r="I195" s="377" t="inlineStr">
        <is>
          <t>ID</t>
        </is>
      </c>
      <c r="J195" s="417" t="inlineStr">
        <is>
          <t>PG_SILVER</t>
        </is>
      </c>
      <c r="K195" s="377" t="inlineStr">
        <is>
          <t>ID</t>
        </is>
      </c>
      <c r="L195" s="417" t="inlineStr">
        <is>
          <t>VARCHAR2(100)</t>
        </is>
      </c>
      <c r="M195" s="377" t="inlineStr">
        <is>
          <t>FROM PG_BRONZE.T24CORE_LD_LOANS_AND_DEPOSITS ld WHERE NVL(ld.RECORD_STATUS, '_') &lt;&gt; 'REVE'</t>
        </is>
      </c>
      <c r="N195" s="377" t="inlineStr">
        <is>
          <t>TRIM(ld.ID)</t>
        </is>
      </c>
      <c r="O195" s="377" t="inlineStr">
        <is>
          <t>Source -&gt; PG_BRONZE (1:1) -&gt; PG_SILVER (Temp 2)</t>
        </is>
      </c>
      <c r="P195" s="357" t="inlineStr">
        <is>
          <t>Thay = trường RECID (Map từ PG_BRONZE.T24CORE_LD_LOANS_AND_DEPOSITS.ID -&gt; PG_SILVER.SAOKE_TINDUNG.ID)</t>
        </is>
      </c>
    </row>
    <row r="196" ht="14.25" customHeight="1" s="335">
      <c r="A196" s="416">
        <f>C196&amp;D196&amp;E196</f>
        <v/>
      </c>
      <c r="B196" s="416" t="inlineStr">
        <is>
          <t>SAOKE_TINDUNG</t>
        </is>
      </c>
      <c r="C196" s="416" t="inlineStr">
        <is>
          <t>T24CORE</t>
        </is>
      </c>
      <c r="D196" s="416" t="inlineStr">
        <is>
          <t>LD_LOANS_AND_DEPOSITS</t>
        </is>
      </c>
      <c r="E196" s="416" t="inlineStr">
        <is>
          <t>INPUTTER</t>
        </is>
      </c>
      <c r="F196" s="417" t="inlineStr">
        <is>
          <t>1:1</t>
        </is>
      </c>
      <c r="G196" s="417" t="inlineStr">
        <is>
          <t>PG_BRONZE</t>
        </is>
      </c>
      <c r="H196" s="377" t="inlineStr">
        <is>
          <t>T24CORE_LD_LOANS_AND_DEPOSITS</t>
        </is>
      </c>
      <c r="I196" s="377" t="inlineStr">
        <is>
          <t>INPUTTER</t>
        </is>
      </c>
      <c r="J196" s="417" t="inlineStr">
        <is>
          <t>PG_SILVER</t>
        </is>
      </c>
      <c r="K196" s="377" t="inlineStr">
        <is>
          <t>INPUTTER</t>
        </is>
      </c>
      <c r="L196" s="417" t="inlineStr">
        <is>
          <t>VARCHAR2(100)</t>
        </is>
      </c>
      <c r="M196" s="377" t="inlineStr">
        <is>
          <t>FROM PG_BRONZE.T24CORE_LD_LOANS_AND_DEPOSITS ld WHERE NVL(ld.RECORD_STATUS, '_') &lt;&gt; 'REVE'</t>
        </is>
      </c>
      <c r="N196" s="377" t="inlineStr">
        <is>
          <t>TRIM(ld.INPUTTER)</t>
        </is>
      </c>
      <c r="O196" s="377" t="inlineStr">
        <is>
          <t>Source -&gt; PG_BRONZE (1:1) -&gt; PG_SILVER (Temp 2)</t>
        </is>
      </c>
      <c r="P196" s="357" t="inlineStr">
        <is>
          <t>ID người nhập liệu (Map từ PG_BRONZE.T24CORE_LD_LOANS_AND_DEPOSITS.INPUTTER -&gt; PG_SILVER.SAOKE_TINDUNG.INPUTTER)</t>
        </is>
      </c>
    </row>
    <row r="197" ht="14.25" customHeight="1" s="335">
      <c r="A197" s="416">
        <f>C197&amp;D197&amp;E197</f>
        <v/>
      </c>
      <c r="B197" s="416" t="inlineStr">
        <is>
          <t>SAOKE_TINDUNG</t>
        </is>
      </c>
      <c r="C197" s="416" t="inlineStr">
        <is>
          <t>T24CORE</t>
        </is>
      </c>
      <c r="D197" s="416" t="inlineStr">
        <is>
          <t>LD_LOANS_AND_DEPOSITS</t>
        </is>
      </c>
      <c r="E197" s="416" t="inlineStr">
        <is>
          <t>INT_LIQ_ACCT</t>
        </is>
      </c>
      <c r="F197" s="417" t="inlineStr">
        <is>
          <t>1:1</t>
        </is>
      </c>
      <c r="G197" s="417" t="inlineStr">
        <is>
          <t>PG_BRONZE</t>
        </is>
      </c>
      <c r="H197" s="377" t="inlineStr">
        <is>
          <t>T24CORE_LD_LOANS_AND_DEPOSITS</t>
        </is>
      </c>
      <c r="I197" s="377" t="inlineStr">
        <is>
          <t>INT_LIQ_ACCT</t>
        </is>
      </c>
      <c r="J197" s="417" t="inlineStr">
        <is>
          <t>PG_SILVER</t>
        </is>
      </c>
      <c r="K197" s="377" t="inlineStr">
        <is>
          <t>INT_LIQ_ACCT</t>
        </is>
      </c>
      <c r="L197" s="417" t="inlineStr">
        <is>
          <t>VARCHAR2(100)</t>
        </is>
      </c>
      <c r="M197" s="377" t="inlineStr">
        <is>
          <t>FROM PG_BRONZE.T24CORE_LD_LOANS_AND_DEPOSITS ld WHERE NVL(ld.RECORD_STATUS, '_') &lt;&gt; 'REVE'</t>
        </is>
      </c>
      <c r="N197" s="377" t="inlineStr">
        <is>
          <t>TRIM(ld.INT_LIQ_ACCT)</t>
        </is>
      </c>
      <c r="O197" s="377" t="inlineStr">
        <is>
          <t>Source -&gt; PG_BRONZE (1:1) -&gt; PG_SILVER (Temp 2)</t>
        </is>
      </c>
      <c r="P197" s="357" t="inlineStr">
        <is>
          <t>Tài khoản thanh toán lãi (Map từ PG_BRONZE.T24CORE_LD_LOANS_AND_DEPOSITS.INT_LIQ_ACCT -&gt; PG_SILVER.SAOKE_TINDUNG.INT_LIQ_ACCT)</t>
        </is>
      </c>
    </row>
    <row r="198" ht="14.25" customHeight="1" s="335">
      <c r="A198" s="416">
        <f>C198&amp;D198&amp;E198</f>
        <v/>
      </c>
      <c r="B198" s="416" t="inlineStr">
        <is>
          <t>SAOKE_TINDUNG</t>
        </is>
      </c>
      <c r="C198" s="416" t="inlineStr">
        <is>
          <t>T24CORE</t>
        </is>
      </c>
      <c r="D198" s="416" t="inlineStr">
        <is>
          <t>LD_LOANS_AND_DEPOSITS</t>
        </is>
      </c>
      <c r="E198" s="416" t="inlineStr">
        <is>
          <t>INT_RATE_TYPE</t>
        </is>
      </c>
      <c r="F198" s="417" t="inlineStr">
        <is>
          <t>1:1</t>
        </is>
      </c>
      <c r="G198" s="417" t="inlineStr">
        <is>
          <t>PG_BRONZE</t>
        </is>
      </c>
      <c r="H198" s="377" t="inlineStr">
        <is>
          <t>T24CORE_LD_LOANS_AND_DEPOSITS</t>
        </is>
      </c>
      <c r="I198" s="377" t="inlineStr">
        <is>
          <t>INT_RATE_TYPE</t>
        </is>
      </c>
      <c r="J198" s="417" t="inlineStr">
        <is>
          <t>PG_SILVER</t>
        </is>
      </c>
      <c r="K198" s="377" t="inlineStr">
        <is>
          <t>INT_RATE_TYPE</t>
        </is>
      </c>
      <c r="L198" s="417" t="inlineStr">
        <is>
          <t>VARCHAR2(20)</t>
        </is>
      </c>
      <c r="M198" s="377" t="inlineStr">
        <is>
          <t>FROM PG_BRONZE.T24CORE_LD_LOANS_AND_DEPOSITS ld WHERE NVL(ld.RECORD_STATUS, '_') &lt;&gt; 'REVE'</t>
        </is>
      </c>
      <c r="N198" s="377" t="inlineStr">
        <is>
          <t>TRIM(ld.INT_RATE_TYPE)</t>
        </is>
      </c>
      <c r="O198" s="377" t="inlineStr">
        <is>
          <t>Source -&gt; PG_BRONZE (1:1) -&gt; PG_SILVER (Temp 2)</t>
        </is>
      </c>
      <c r="P198" s="357" t="inlineStr">
        <is>
          <t>Loại lãi suất : Fix , float (Map từ PG_BRONZE.T24CORE_LD_LOANS_AND_DEPOSITS.INT_RATE_TYPE -&gt; PG_SILVER.SAOKE_TINDUNG.INT_RATE_TYPE)</t>
        </is>
      </c>
    </row>
    <row r="199" ht="14.25" customHeight="1" s="335">
      <c r="A199" s="416">
        <f>C199&amp;D199&amp;E199</f>
        <v/>
      </c>
      <c r="B199" s="416" t="inlineStr">
        <is>
          <t>SAOKE_TINDUNG</t>
        </is>
      </c>
      <c r="C199" s="416" t="inlineStr">
        <is>
          <t>T24CORE</t>
        </is>
      </c>
      <c r="D199" s="416" t="inlineStr">
        <is>
          <t>LD_LOANS_AND_DEPOSITS</t>
        </is>
      </c>
      <c r="E199" s="416" t="inlineStr">
        <is>
          <t>INT_VALUE_DATE</t>
        </is>
      </c>
      <c r="F199" s="417" t="inlineStr">
        <is>
          <t>1:1</t>
        </is>
      </c>
      <c r="G199" s="417" t="inlineStr">
        <is>
          <t>PG_BRONZE</t>
        </is>
      </c>
      <c r="H199" s="377" t="inlineStr">
        <is>
          <t>T24CORE_LD_LOANS_AND_DEPOSITS</t>
        </is>
      </c>
      <c r="I199" s="377" t="inlineStr">
        <is>
          <t>INT_VALUE_DATE</t>
        </is>
      </c>
      <c r="J199" s="417" t="inlineStr">
        <is>
          <t>PG_SILVER</t>
        </is>
      </c>
      <c r="K199" s="377" t="inlineStr">
        <is>
          <t>INT_VALUE_DATE</t>
        </is>
      </c>
      <c r="L199" s="417" t="inlineStr">
        <is>
          <t>DATE</t>
        </is>
      </c>
      <c r="M199" s="377" t="inlineStr">
        <is>
          <t>FROM PG_BRONZE.T24CORE_LD_LOANS_AND_DEPOSITS ld WHERE NVL(ld.RECORD_STATUS, '_') &lt;&gt; 'REVE'</t>
        </is>
      </c>
      <c r="N199" s="377" t="inlineStr">
        <is>
          <t>TO_DATE(CAST(ld.INT_VALUE_DATE AS VARCHAR(20)), 'YYYYMMDD')</t>
        </is>
      </c>
      <c r="O199" s="377" t="inlineStr">
        <is>
          <t>Source -&gt; PG_BRONZE (1:1) -&gt; PG_SILVER (Temp 2)</t>
        </is>
      </c>
      <c r="P199" s="357" t="inlineStr">
        <is>
          <t>Ngày hiệu lực lãi suất (Map từ PG_BRONZE.T24CORE_LD_LOANS_AND_DEPOSITS.INT_VALUE_DATE -&gt; PG_SILVER.SAOKE_TINDUNG.INT_VALUE_DATE)</t>
        </is>
      </c>
    </row>
    <row r="200" ht="14.25" customHeight="1" s="335">
      <c r="A200" s="416">
        <f>C200&amp;D200&amp;E200</f>
        <v/>
      </c>
      <c r="B200" s="416" t="inlineStr">
        <is>
          <t>SAOKE_TINDUNG</t>
        </is>
      </c>
      <c r="C200" s="416" t="inlineStr">
        <is>
          <t>T24CORE</t>
        </is>
      </c>
      <c r="D200" s="416" t="inlineStr">
        <is>
          <t>LD_LOANS_AND_DEPOSITS</t>
        </is>
      </c>
      <c r="E200" s="416" t="inlineStr">
        <is>
          <t>INTEREST_RATE</t>
        </is>
      </c>
      <c r="F200" s="417" t="inlineStr">
        <is>
          <t>1:1</t>
        </is>
      </c>
      <c r="G200" s="417" t="inlineStr">
        <is>
          <t>PG_BRONZE</t>
        </is>
      </c>
      <c r="H200" s="377" t="inlineStr">
        <is>
          <t>T24CORE_LD_LOANS_AND_DEPOSITS</t>
        </is>
      </c>
      <c r="I200" s="377" t="inlineStr">
        <is>
          <t>INTEREST_RATE</t>
        </is>
      </c>
      <c r="J200" s="417" t="inlineStr">
        <is>
          <t>PG_SILVER</t>
        </is>
      </c>
      <c r="K200" s="377" t="inlineStr">
        <is>
          <t>INTEREST_RATE</t>
        </is>
      </c>
      <c r="L200" s="417" t="inlineStr">
        <is>
          <t>NUMBER(13.7)</t>
        </is>
      </c>
      <c r="M200" s="377" t="inlineStr">
        <is>
          <t>FROM PG_BRONZE.T24CORE_LD_LOANS_AND_DEPOSITS ld WHERE NVL(ld.RECORD_STATUS, '_') &lt;&gt; 'REVE'</t>
        </is>
      </c>
      <c r="N200" s="377" t="inlineStr">
        <is>
          <t>COALESCE(CAST(ld.INTEREST_RATE AS DECIMAL(13,7)), 0)</t>
        </is>
      </c>
      <c r="O200" s="377" t="inlineStr">
        <is>
          <t>Source -&gt; PG_BRONZE (1:1) -&gt; PG_SILVER (Temp 2)</t>
        </is>
      </c>
      <c r="P200" s="357" t="inlineStr">
        <is>
          <t>Giá trị lãi suất (Map từ PG_BRONZE.T24CORE_LD_LOANS_AND_DEPOSITS.INTEREST_RATE -&gt; PG_SILVER.SAOKE_TINDUNG.INTEREST_RATE)</t>
        </is>
      </c>
    </row>
    <row r="201" ht="14.25" customHeight="1" s="335">
      <c r="A201" s="416">
        <f>C201&amp;D201&amp;E201</f>
        <v/>
      </c>
      <c r="B201" s="416" t="inlineStr">
        <is>
          <t>SAOKE_TINDUNG</t>
        </is>
      </c>
      <c r="C201" s="416" t="inlineStr">
        <is>
          <t>T24CORE</t>
        </is>
      </c>
      <c r="D201" s="416" t="inlineStr">
        <is>
          <t>LD_LOANS_AND_DEPOSITS</t>
        </is>
      </c>
      <c r="E201" s="416" t="inlineStr">
        <is>
          <t>INTEREST_SPREAD</t>
        </is>
      </c>
      <c r="F201" s="417" t="inlineStr">
        <is>
          <t>1:1</t>
        </is>
      </c>
      <c r="G201" s="417" t="inlineStr">
        <is>
          <t>PG_BRONZE</t>
        </is>
      </c>
      <c r="H201" s="377" t="inlineStr">
        <is>
          <t>T24CORE_LD_LOANS_AND_DEPOSITS</t>
        </is>
      </c>
      <c r="I201" s="377" t="inlineStr">
        <is>
          <t>INTEREST_SPREAD</t>
        </is>
      </c>
      <c r="J201" s="417" t="inlineStr">
        <is>
          <t>PG_SILVER</t>
        </is>
      </c>
      <c r="K201" s="377" t="inlineStr">
        <is>
          <t>INTEREST_SPREAD</t>
        </is>
      </c>
      <c r="L201" s="417" t="inlineStr">
        <is>
          <t>NUMBER(13.7)</t>
        </is>
      </c>
      <c r="M201" s="377" t="inlineStr">
        <is>
          <t>FROM PG_BRONZE.T24CORE_LD_LOANS_AND_DEPOSITS ld WHERE NVL(ld.RECORD_STATUS, '_') &lt;&gt; 'REVE'</t>
        </is>
      </c>
      <c r="N201" s="377" t="inlineStr">
        <is>
          <t>COALESCE(CAST(ld.INTEREST_SPREAD AS DECIMAL(13,7)), 0)</t>
        </is>
      </c>
      <c r="O201" s="377" t="inlineStr">
        <is>
          <t>Source -&gt; PG_BRONZE (1:1) -&gt; PG_SILVER (Temp 2)</t>
        </is>
      </c>
      <c r="P201" s="357" t="inlineStr">
        <is>
          <t>Biên độ lãi suất (Map từ PG_BRONZE.T24CORE_LD_LOANS_AND_DEPOSITS.INTEREST_SPREAD -&gt; PG_SILVER.SAOKE_TINDUNG.INTEREST_SPREAD)</t>
        </is>
      </c>
    </row>
    <row r="202" ht="14.25" customHeight="1" s="335">
      <c r="A202" s="416">
        <f>C202&amp;D202&amp;E202</f>
        <v/>
      </c>
      <c r="B202" s="416" t="inlineStr">
        <is>
          <t>SAOKE_TINDUNG</t>
        </is>
      </c>
      <c r="C202" s="416" t="inlineStr">
        <is>
          <t>T24CORE</t>
        </is>
      </c>
      <c r="D202" s="416" t="inlineStr">
        <is>
          <t>LD_LOANS_AND_DEPOSITS</t>
        </is>
      </c>
      <c r="E202" s="416" t="inlineStr">
        <is>
          <t>LIMIT_REFERENCE</t>
        </is>
      </c>
      <c r="F202" s="417" t="inlineStr">
        <is>
          <t>1:1</t>
        </is>
      </c>
      <c r="G202" s="417" t="inlineStr">
        <is>
          <t>PG_BRONZE</t>
        </is>
      </c>
      <c r="H202" s="377" t="inlineStr">
        <is>
          <t>T24CORE_LD_LOANS_AND_DEPOSITS</t>
        </is>
      </c>
      <c r="I202" s="377" t="inlineStr">
        <is>
          <t>LIMIT_REFERENCE</t>
        </is>
      </c>
      <c r="J202" s="417" t="inlineStr">
        <is>
          <t>PG_SILVER</t>
        </is>
      </c>
      <c r="K202" s="377" t="inlineStr">
        <is>
          <t>LIMIT_REFERENCE</t>
        </is>
      </c>
      <c r="L202" s="417" t="inlineStr">
        <is>
          <t>VARCHAR2(100)</t>
        </is>
      </c>
      <c r="M202" s="377" t="inlineStr">
        <is>
          <t>FROM PG_BRONZE.T24CORE_LD_LOANS_AND_DEPOSITS ld WHERE NVL(ld.RECORD_STATUS, '_') &lt;&gt; 'REVE'</t>
        </is>
      </c>
      <c r="N202" s="377" t="inlineStr">
        <is>
          <t>TRIM(ld.LIMIT_REFERENCE)</t>
        </is>
      </c>
      <c r="O202" s="377" t="inlineStr">
        <is>
          <t>Source -&gt; PG_BRONZE (1:1) -&gt; PG_SILVER (Temp 2)</t>
        </is>
      </c>
      <c r="P202" s="357" t="inlineStr">
        <is>
          <t>Mã tham chiếu hạn mức (Map từ PG_BRONZE.T24CORE_LD_LOANS_AND_DEPOSITS.LIMIT_REFERENCE -&gt; PG_SILVER.SAOKE_TINDUNG.LIMIT_REFERENCE)</t>
        </is>
      </c>
    </row>
    <row r="203" ht="14.25" customHeight="1" s="335">
      <c r="A203" s="416">
        <f>C203&amp;D203&amp;E203</f>
        <v/>
      </c>
      <c r="B203" s="416" t="inlineStr">
        <is>
          <t>SAOKE_TINDUNG</t>
        </is>
      </c>
      <c r="C203" s="418" t="inlineStr">
        <is>
          <t>T24CORE</t>
        </is>
      </c>
      <c r="D203" s="418" t="inlineStr">
        <is>
          <t>LD_LOANS_AND_DEPOSITS</t>
        </is>
      </c>
      <c r="E203" s="416" t="inlineStr">
        <is>
          <t>LOC_TERM</t>
        </is>
      </c>
      <c r="F203" s="417" t="inlineStr">
        <is>
          <t>1:1</t>
        </is>
      </c>
      <c r="G203" s="417" t="inlineStr">
        <is>
          <t>PG_BRONZE</t>
        </is>
      </c>
      <c r="H203" s="377" t="inlineStr">
        <is>
          <t>T24CORE_LD_LOANS_AND_DEPOSITS</t>
        </is>
      </c>
      <c r="I203" s="377" t="inlineStr">
        <is>
          <t>LOC_TERM</t>
        </is>
      </c>
      <c r="J203" s="417" t="inlineStr">
        <is>
          <t>PG_SILVER</t>
        </is>
      </c>
      <c r="K203" s="377" t="inlineStr">
        <is>
          <t>LOC_TERM</t>
        </is>
      </c>
      <c r="L203" s="417" t="inlineStr">
        <is>
          <t>VARCHAR2(100)</t>
        </is>
      </c>
      <c r="M203" s="377" t="inlineStr">
        <is>
          <t>FROM PG_BRONZE.T24CORE_LD_LOANS_AND_DEPOSITS ld WHERE NVL(ld.RECORD_STATUS, '_') &lt;&gt; 'REVE'</t>
        </is>
      </c>
      <c r="N203" s="377" t="inlineStr">
        <is>
          <t>TRIM(ld.LOC_TERM)</t>
        </is>
      </c>
      <c r="O203" s="377" t="inlineStr">
        <is>
          <t>Source -&gt; PG_BRONZE (1:1) -&gt; PG_SILVER (Temp 2)</t>
        </is>
      </c>
      <c r="P203" s="357" t="inlineStr">
        <is>
          <t>Kỳ hạn (Map từ PG_BRONZE.T24CORE_LD_LOANS_AND_DEPOSITS.LOC_TERM -&gt; PG_SILVER.SAOKE_TINDUNG.LOC_TERM)</t>
        </is>
      </c>
    </row>
    <row r="204" ht="14.25" customHeight="1" s="335">
      <c r="A204" s="416">
        <f>C204&amp;D204&amp;E204</f>
        <v/>
      </c>
      <c r="B204" s="416" t="inlineStr">
        <is>
          <t>SAOKE_TINDUNG</t>
        </is>
      </c>
      <c r="C204" s="416" t="inlineStr">
        <is>
          <t>T24CORE</t>
        </is>
      </c>
      <c r="D204" s="416" t="inlineStr">
        <is>
          <t>LD_LOANS_AND_DEPOSITS</t>
        </is>
      </c>
      <c r="E204" s="416" t="inlineStr">
        <is>
          <t>LOS_FAC_CODE</t>
        </is>
      </c>
      <c r="F204" s="417" t="inlineStr">
        <is>
          <t>1:1</t>
        </is>
      </c>
      <c r="G204" s="417" t="inlineStr">
        <is>
          <t>PG_BRONZE</t>
        </is>
      </c>
      <c r="H204" s="377" t="inlineStr">
        <is>
          <t>T24CORE_LD_LOANS_AND_DEPOSITS</t>
        </is>
      </c>
      <c r="I204" s="377" t="inlineStr">
        <is>
          <t>LOS_FAC_CODE</t>
        </is>
      </c>
      <c r="J204" s="417" t="inlineStr">
        <is>
          <t>PG_SILVER</t>
        </is>
      </c>
      <c r="K204" s="377" t="inlineStr">
        <is>
          <t>LOS_FAC_CODE</t>
        </is>
      </c>
      <c r="L204" s="417" t="inlineStr">
        <is>
          <t>VARCHAR2(100)</t>
        </is>
      </c>
      <c r="M204" s="377" t="inlineStr">
        <is>
          <t>FROM PG_BRONZE.T24CORE_LD_LOANS_AND_DEPOSITS ld WHERE NVL(ld.RECORD_STATUS, '_') &lt;&gt; 'REVE'</t>
        </is>
      </c>
      <c r="N204" s="377" t="inlineStr">
        <is>
          <t>TRIM(ld.LOS_FAC_CODE)</t>
        </is>
      </c>
      <c r="O204" s="377" t="inlineStr">
        <is>
          <t>Source -&gt; PG_BRONZE (1:1) -&gt; PG_SILVER (Temp 2)</t>
        </is>
      </c>
      <c r="P204" s="357" t="inlineStr">
        <is>
          <t>Số hồ sơ (Map từ PG_BRONZE.T24CORE_LD_LOANS_AND_DEPOSITS.LOS_FAC_CODE -&gt; PG_SILVER.SAOKE_TINDUNG.LOS_FAC_CODE)</t>
        </is>
      </c>
    </row>
    <row r="205" ht="14.25" customHeight="1" s="335">
      <c r="A205" s="416">
        <f>C205&amp;D205&amp;E205</f>
        <v/>
      </c>
      <c r="B205" s="416" t="inlineStr">
        <is>
          <t>sk_lich_tra_no</t>
        </is>
      </c>
      <c r="C205" s="416" t="inlineStr">
        <is>
          <t>T24CORE</t>
        </is>
      </c>
      <c r="D205" s="416" t="inlineStr">
        <is>
          <t>LD_LOANS_AND_DEPOSITS</t>
        </is>
      </c>
      <c r="E205" s="416" t="inlineStr">
        <is>
          <t>MB_RM_BANCHEO</t>
        </is>
      </c>
      <c r="F205" s="417" t="inlineStr">
        <is>
          <t>1:1</t>
        </is>
      </c>
      <c r="G205" s="417" t="inlineStr">
        <is>
          <t>PG_BRONZE</t>
        </is>
      </c>
      <c r="H205" s="377" t="inlineStr">
        <is>
          <t>T24CORE_LD_LOANS_AND_DEPOSITS</t>
        </is>
      </c>
      <c r="I205" s="377" t="inlineStr">
        <is>
          <t>MB_RM_BANCHEO</t>
        </is>
      </c>
      <c r="J205" s="417" t="inlineStr">
        <is>
          <t>PG_SILVER</t>
        </is>
      </c>
      <c r="K205" s="377" t="inlineStr">
        <is>
          <t>LD_MB_RM_BANCHEO</t>
        </is>
      </c>
      <c r="L205" s="417" t="inlineStr">
        <is>
          <t>VARCHAR2(100)</t>
        </is>
      </c>
      <c r="M205" s="377" t="inlineStr">
        <is>
          <t>LEFT JOIN PG_BRONZE.T24CORE_LD_LOANS_AND_DEPOSITS ld ON SUBSTR(pdmv.RECID, 3, 12) = ld.RECID</t>
        </is>
      </c>
      <c r="N205" s="377" t="inlineStr">
        <is>
          <t>TRIM(ld.MB_RM_BANCHEO)</t>
        </is>
      </c>
      <c r="O205" s="377" t="inlineStr">
        <is>
          <t>Source -&gt; PG_BRONZE (1:1) -&gt; PG_SILVER (Temp 1)</t>
        </is>
      </c>
      <c r="P205" s="357" t="inlineStr">
        <is>
          <t>ID nhân viên giới thiệu (Map từ PG_BRONZE.T24CORE_LD_LOANS_AND_DEPOSITS.MB_RM_BANCHEO -&gt; PG_SILVER.sk_lich_tra_no.LD_MB_RM_BANCHEO)</t>
        </is>
      </c>
    </row>
    <row r="206" ht="14.25" customHeight="1" s="335">
      <c r="A206" s="416">
        <f>C206&amp;D206&amp;E206</f>
        <v/>
      </c>
      <c r="B206" s="416" t="inlineStr">
        <is>
          <t>sk_lich_tra_no</t>
        </is>
      </c>
      <c r="C206" s="416" t="inlineStr">
        <is>
          <t>T24CORE</t>
        </is>
      </c>
      <c r="D206" s="416" t="inlineStr">
        <is>
          <t>LD_LOANS_AND_DEPOSITS</t>
        </is>
      </c>
      <c r="E206" s="416" t="inlineStr">
        <is>
          <t>ORIG_VAL_DATE</t>
        </is>
      </c>
      <c r="F206" s="417" t="inlineStr">
        <is>
          <t>1:1</t>
        </is>
      </c>
      <c r="G206" s="417" t="inlineStr">
        <is>
          <t>PG_BRONZE</t>
        </is>
      </c>
      <c r="H206" s="377" t="inlineStr">
        <is>
          <t>T24CORE_LD_LOANS_AND_DEPOSITS</t>
        </is>
      </c>
      <c r="I206" s="377" t="inlineStr">
        <is>
          <t>ORIG_VAL_DATE</t>
        </is>
      </c>
      <c r="J206" s="417" t="inlineStr">
        <is>
          <t>PG_SILVER</t>
        </is>
      </c>
      <c r="K206" s="377" t="inlineStr">
        <is>
          <t>LD_ORIG_VAL_DATE</t>
        </is>
      </c>
      <c r="L206" s="417" t="inlineStr">
        <is>
          <t>DATE</t>
        </is>
      </c>
      <c r="M206" s="377" t="inlineStr">
        <is>
          <t>LEFT JOIN PG_BRONZE.T24CORE_LD_LOANS_AND_DEPOSITS ld ON SUBSTR(pdmv.RECID, 3, 12) = ld.RECID</t>
        </is>
      </c>
      <c r="N206" s="377" t="inlineStr">
        <is>
          <t>TO_DATE(CAST(ld.ORIG_VAL_DATE AS VARCHAR(20)), 'YYYYMMDD')</t>
        </is>
      </c>
      <c r="O206" s="377" t="inlineStr">
        <is>
          <t>Source -&gt; PG_BRONZE (1:1) -&gt; PG_SILVER (Temp 1)</t>
        </is>
      </c>
      <c r="P206" s="357" t="inlineStr">
        <is>
          <t>Ngày hiệu lực đầu tiên của hợp đồng (Map từ PG_BRONZE.T24CORE_LD_LOANS_AND_DEPOSITS.ORIG_VAL_DATE -&gt; PG_SILVER.sk_lich_tra_no.LD_ORIG_VAL_DATE)</t>
        </is>
      </c>
    </row>
    <row r="207" ht="14.25" customHeight="1" s="335">
      <c r="A207" s="416">
        <f>C207&amp;D207&amp;E207</f>
        <v/>
      </c>
      <c r="B207" s="416" t="inlineStr">
        <is>
          <t>sk_lich_tra_no</t>
        </is>
      </c>
      <c r="C207" s="416" t="inlineStr">
        <is>
          <t>T24CORE</t>
        </is>
      </c>
      <c r="D207" s="416" t="inlineStr">
        <is>
          <t>LD_LOANS_AND_DEPOSITS</t>
        </is>
      </c>
      <c r="E207" s="416" t="inlineStr">
        <is>
          <t>PE_RATE</t>
        </is>
      </c>
      <c r="F207" s="417" t="inlineStr">
        <is>
          <t>1:1</t>
        </is>
      </c>
      <c r="G207" s="417" t="inlineStr">
        <is>
          <t>PG_BRONZE</t>
        </is>
      </c>
      <c r="H207" s="377" t="inlineStr">
        <is>
          <t>T24CORE_LD_LOANS_AND_DEPOSITS</t>
        </is>
      </c>
      <c r="I207" s="377" t="inlineStr">
        <is>
          <t>PE_RATE</t>
        </is>
      </c>
      <c r="J207" s="417" t="inlineStr">
        <is>
          <t>PG_SILVER</t>
        </is>
      </c>
      <c r="K207" s="377" t="inlineStr">
        <is>
          <t>LD_PE_RATE</t>
        </is>
      </c>
      <c r="L207" s="417" t="inlineStr">
        <is>
          <t>NUMBER(13.7)</t>
        </is>
      </c>
      <c r="M207" s="377" t="inlineStr">
        <is>
          <t>LEFT JOIN PG_BRONZE.T24CORE_LD_LOANS_AND_DEPOSITS ld ON SUBSTR(pdmv.RECID, 3, 12) = ld.RECID</t>
        </is>
      </c>
      <c r="N207" s="377" t="inlineStr">
        <is>
          <t>COALESCE(CAST(ld.PE_RATE AS DECIMAL(13,7)), 0)</t>
        </is>
      </c>
      <c r="O207" s="377" t="inlineStr">
        <is>
          <t>Source -&gt; PG_BRONZE (1:1) -&gt; PG_SILVER (Temp 1)</t>
        </is>
      </c>
      <c r="P207" s="357" t="inlineStr">
        <is>
          <t>Lãi phạt penalty rate (Map từ PG_BRONZE.T24CORE_LD_LOANS_AND_DEPOSITS.PE_RATE -&gt; PG_SILVER.sk_lich_tra_no.LD_PE_RATE)</t>
        </is>
      </c>
    </row>
    <row r="208" ht="14.25" customHeight="1" s="335">
      <c r="A208" s="416">
        <f>C208&amp;D208&amp;E208</f>
        <v/>
      </c>
      <c r="B208" s="416" t="inlineStr">
        <is>
          <t>sk_lich_tra_no</t>
        </is>
      </c>
      <c r="C208" s="418" t="inlineStr">
        <is>
          <t>T24CORE</t>
        </is>
      </c>
      <c r="D208" s="418" t="inlineStr">
        <is>
          <t>LD_LOANS_AND_DEPOSITS</t>
        </is>
      </c>
      <c r="E208" s="416" t="inlineStr">
        <is>
          <t>PRIN_LIQ_ACCT</t>
        </is>
      </c>
      <c r="F208" s="417" t="inlineStr">
        <is>
          <t>1:1</t>
        </is>
      </c>
      <c r="G208" s="417" t="inlineStr">
        <is>
          <t>PG_BRONZE</t>
        </is>
      </c>
      <c r="H208" s="377" t="inlineStr">
        <is>
          <t>T24CORE_LD_LOANS_AND_DEPOSITS</t>
        </is>
      </c>
      <c r="I208" s="377" t="inlineStr">
        <is>
          <t>PRIN_LIQ_ACCT</t>
        </is>
      </c>
      <c r="J208" s="417" t="inlineStr">
        <is>
          <t>PG_SILVER</t>
        </is>
      </c>
      <c r="K208" s="377" t="inlineStr">
        <is>
          <t>LD_PRIN_LIQ_ACCT</t>
        </is>
      </c>
      <c r="L208" s="417" t="inlineStr">
        <is>
          <t>VARCHAR2(100)</t>
        </is>
      </c>
      <c r="M208" s="377" t="inlineStr">
        <is>
          <t>LEFT JOIN PG_BRONZE.T24CORE_LD_LOANS_AND_DEPOSITS ld ON SUBSTR(pdmv.RECID, 3, 12) = ld.RECID</t>
        </is>
      </c>
      <c r="N208" s="377" t="inlineStr">
        <is>
          <t>TRIM(ld.PRIN_LIQ_ACCT)</t>
        </is>
      </c>
      <c r="O208" s="377" t="inlineStr">
        <is>
          <t>Source -&gt; PG_BRONZE (1:1) -&gt; PG_SILVER (Temp 1)</t>
        </is>
      </c>
      <c r="P208" s="357" t="inlineStr">
        <is>
          <t>Tài khoản thanh toán gốc (Map từ PG_BRONZE.T24CORE_LD_LOANS_AND_DEPOSITS.PRIN_LIQ_ACCT -&gt; PG_SILVER.sk_lich_tra_no.LD_PRIN_LIQ_ACCT)</t>
        </is>
      </c>
    </row>
    <row r="209" ht="14.25" customHeight="1" s="335">
      <c r="A209" s="416">
        <f>C209&amp;D209&amp;E209</f>
        <v/>
      </c>
      <c r="B209" s="416" t="inlineStr">
        <is>
          <t>sk_lich_tra_no</t>
        </is>
      </c>
      <c r="C209" s="416" t="inlineStr">
        <is>
          <t>T24CORE</t>
        </is>
      </c>
      <c r="D209" s="416" t="inlineStr">
        <is>
          <t>LD_LOANS_AND_DEPOSITS</t>
        </is>
      </c>
      <c r="E209" s="416" t="inlineStr">
        <is>
          <t>PRODUCTGR_CODE</t>
        </is>
      </c>
      <c r="F209" s="417" t="inlineStr">
        <is>
          <t>1:1</t>
        </is>
      </c>
      <c r="G209" s="417" t="inlineStr">
        <is>
          <t>PG_BRONZE</t>
        </is>
      </c>
      <c r="H209" s="377" t="inlineStr">
        <is>
          <t>T24CORE_LD_LOANS_AND_DEPOSITS</t>
        </is>
      </c>
      <c r="I209" s="377" t="inlineStr">
        <is>
          <t>PRODUCTGR_CODE</t>
        </is>
      </c>
      <c r="J209" s="417" t="inlineStr">
        <is>
          <t>PG_SILVER</t>
        </is>
      </c>
      <c r="K209" s="377" t="inlineStr">
        <is>
          <t>LD_PRODUCTGR_CODE</t>
        </is>
      </c>
      <c r="L209" s="417" t="inlineStr">
        <is>
          <t>VARCHAR2(100)</t>
        </is>
      </c>
      <c r="M209" s="377" t="inlineStr">
        <is>
          <t>LEFT JOIN PG_BRONZE.T24CORE_LD_LOANS_AND_DEPOSITS ld ON SUBSTR(pdmv.RECID, 3, 12) = ld.RECID</t>
        </is>
      </c>
      <c r="N209" s="377" t="inlineStr">
        <is>
          <t>TRIM(ld.PRODUCTGR_CODE)</t>
        </is>
      </c>
      <c r="O209" s="377" t="inlineStr">
        <is>
          <t>Source -&gt; PG_BRONZE (1:1) -&gt; PG_SILVER (Temp 1)</t>
        </is>
      </c>
      <c r="P209" s="357" t="inlineStr">
        <is>
          <t>Mã nhóm sản phẩm (Map từ PG_BRONZE.T24CORE_LD_LOANS_AND_DEPOSITS.PRODUCTGR_CODE -&gt; PG_SILVER.sk_lich_tra_no.LD_PRODUCTGR_CODE)</t>
        </is>
      </c>
    </row>
    <row r="210" ht="14.25" customHeight="1" s="335">
      <c r="A210" s="416">
        <f>C210&amp;D210&amp;E210</f>
        <v/>
      </c>
      <c r="B210" s="416" t="inlineStr">
        <is>
          <t>sk_lich_tra_no</t>
        </is>
      </c>
      <c r="C210" s="416" t="inlineStr">
        <is>
          <t>T24CORE</t>
        </is>
      </c>
      <c r="D210" s="416" t="inlineStr">
        <is>
          <t>LD_LOANS_AND_DEPOSITS</t>
        </is>
      </c>
      <c r="E210" s="416" t="inlineStr">
        <is>
          <t>PS_RATE</t>
        </is>
      </c>
      <c r="F210" s="417" t="inlineStr">
        <is>
          <t>1:1</t>
        </is>
      </c>
      <c r="G210" s="417" t="inlineStr">
        <is>
          <t>PG_BRONZE</t>
        </is>
      </c>
      <c r="H210" s="377" t="inlineStr">
        <is>
          <t>T24CORE_LD_LOANS_AND_DEPOSITS</t>
        </is>
      </c>
      <c r="I210" s="377" t="inlineStr">
        <is>
          <t>PS_RATE</t>
        </is>
      </c>
      <c r="J210" s="417" t="inlineStr">
        <is>
          <t>PG_SILVER</t>
        </is>
      </c>
      <c r="K210" s="377" t="inlineStr">
        <is>
          <t>PS_RATE</t>
        </is>
      </c>
      <c r="L210" s="417" t="inlineStr">
        <is>
          <t>NUMBER(13.7)</t>
        </is>
      </c>
      <c r="M210" s="377" t="inlineStr">
        <is>
          <t>LEFT JOIN PG_BRONZE.T24CORE_LD_LOANS_AND_DEPOSITS ld ON SUBSTR(pdmv.RECID, 3, 12) = ld.RECID</t>
        </is>
      </c>
      <c r="N210" s="377" t="inlineStr">
        <is>
          <t>COALESCE(CAST(ld.PS_RATE AS DECIMAL(13,7)), 0)</t>
        </is>
      </c>
      <c r="O210" s="377" t="inlineStr">
        <is>
          <t>Source -&gt; PG_BRONZE (1:1) -&gt; PG_SILVER (Temp 1)</t>
        </is>
      </c>
      <c r="P210" s="357" t="inlineStr">
        <is>
          <t>Lãi suất cho quá hạn (Map từ PG_BRONZE.T24CORE_LD_LOANS_AND_DEPOSITS.PS_RATE -&gt; PG_SILVER.sk_lich_tra_no.PS_RATE)</t>
        </is>
      </c>
    </row>
    <row r="211" ht="14.25" customHeight="1" s="335">
      <c r="A211" s="416">
        <f>C211&amp;D211&amp;E211</f>
        <v/>
      </c>
      <c r="B211" s="416" t="inlineStr">
        <is>
          <t>sk_lich_tra_no</t>
        </is>
      </c>
      <c r="C211" s="416" t="inlineStr">
        <is>
          <t>T24CORE</t>
        </is>
      </c>
      <c r="D211" s="416" t="inlineStr">
        <is>
          <t>LD_LOANS_AND_DEPOSITS</t>
        </is>
      </c>
      <c r="E211" s="416" t="inlineStr">
        <is>
          <t>REAL_RATE</t>
        </is>
      </c>
      <c r="F211" s="417" t="inlineStr">
        <is>
          <t>1:1</t>
        </is>
      </c>
      <c r="G211" s="417" t="inlineStr">
        <is>
          <t>PG_BRONZE</t>
        </is>
      </c>
      <c r="H211" s="377" t="inlineStr">
        <is>
          <t>T24CORE_LD_LOANS_AND_DEPOSITS</t>
        </is>
      </c>
      <c r="I211" s="377" t="inlineStr">
        <is>
          <t>REAL_RATE</t>
        </is>
      </c>
      <c r="J211" s="417" t="inlineStr">
        <is>
          <t>PG_SILVER</t>
        </is>
      </c>
      <c r="K211" s="377" t="inlineStr">
        <is>
          <t>LD_REAL_RATE</t>
        </is>
      </c>
      <c r="L211" s="417" t="inlineStr">
        <is>
          <t>NUMBER(13.7)</t>
        </is>
      </c>
      <c r="M211" s="377" t="inlineStr">
        <is>
          <t>LEFT JOIN PG_BRONZE.T24CORE_LD_LOANS_AND_DEPOSITS ld ON SUBSTR(pdmv.RECID, 3, 12) = ld.RECID</t>
        </is>
      </c>
      <c r="N211" s="377" t="inlineStr">
        <is>
          <t>COALESCE(CAST(ld.REAL_RATE AS DECIMAL(13,7)), 0)</t>
        </is>
      </c>
      <c r="O211" s="377" t="inlineStr">
        <is>
          <t>Source -&gt; PG_BRONZE (1:1) -&gt; PG_SILVER (Temp 1)</t>
        </is>
      </c>
      <c r="P211" s="357" t="inlineStr">
        <is>
          <t>Lãi suât thực tế (Map từ PG_BRONZE.T24CORE_LD_LOANS_AND_DEPOSITS.REAL_RATE -&gt; PG_SILVER.sk_lich_tra_no.LD_REAL_RATE)</t>
        </is>
      </c>
    </row>
    <row r="212" ht="14.25" customHeight="1" s="335">
      <c r="A212" s="416">
        <f>C212&amp;D212&amp;E212</f>
        <v/>
      </c>
      <c r="B212" s="416" t="inlineStr">
        <is>
          <t>sk_lich_tra_no</t>
        </is>
      </c>
      <c r="C212" s="418" t="inlineStr">
        <is>
          <t>T24CORE</t>
        </is>
      </c>
      <c r="D212" s="418" t="inlineStr">
        <is>
          <t>LD_LOANS_AND_DEPOSITS</t>
        </is>
      </c>
      <c r="E212" s="416" t="inlineStr">
        <is>
          <t>RECID</t>
        </is>
      </c>
      <c r="F212" s="417" t="inlineStr">
        <is>
          <t>1:1</t>
        </is>
      </c>
      <c r="G212" s="417" t="inlineStr">
        <is>
          <t>PG_BRONZE</t>
        </is>
      </c>
      <c r="H212" s="377" t="inlineStr">
        <is>
          <t>T24CORE_LD_LOANS_AND_DEPOSITS</t>
        </is>
      </c>
      <c r="I212" s="377" t="inlineStr">
        <is>
          <t>RECID</t>
        </is>
      </c>
      <c r="J212" s="417" t="inlineStr">
        <is>
          <t>PG_SILVER</t>
        </is>
      </c>
      <c r="K212" s="377" t="inlineStr">
        <is>
          <t>LD_RECID</t>
        </is>
      </c>
      <c r="L212" s="417" t="inlineStr">
        <is>
          <t>VARCHAR2(100)</t>
        </is>
      </c>
      <c r="M212" s="377" t="inlineStr">
        <is>
          <t>LEFT JOIN PG_BRONZE.T24CORE_LD_LOANS_AND_DEPOSITS ld ON SUBSTR(pdmv.RECID, 3, 12) = ld.RECID</t>
        </is>
      </c>
      <c r="N212" s="377" t="inlineStr">
        <is>
          <t>TRIM(ld.RECID)</t>
        </is>
      </c>
      <c r="O212" s="377" t="inlineStr">
        <is>
          <t>Source -&gt; PG_BRONZE (1:1) -&gt; PG_SILVER (Temp 1)</t>
        </is>
      </c>
      <c r="P212" s="357" t="inlineStr">
        <is>
          <t>Mã hợp đồng (Map từ PG_BRONZE.T24CORE_LD_LOANS_AND_DEPOSITS.RECID -&gt; PG_SILVER.sk_lich_tra_no.LD_RECID)</t>
        </is>
      </c>
    </row>
    <row r="213" ht="14.25" customHeight="1" s="335">
      <c r="A213" s="416">
        <f>C213&amp;D213&amp;E213</f>
        <v/>
      </c>
      <c r="B213" s="416" t="inlineStr">
        <is>
          <t>sk_lich_tra_no</t>
        </is>
      </c>
      <c r="C213" s="416" t="inlineStr">
        <is>
          <t>T24CORE</t>
        </is>
      </c>
      <c r="D213" s="416" t="inlineStr">
        <is>
          <t>LD_LOANS_AND_DEPOSITS</t>
        </is>
      </c>
      <c r="E213" s="416" t="inlineStr">
        <is>
          <t>RECORD_STATUS</t>
        </is>
      </c>
      <c r="F213" s="417" t="inlineStr">
        <is>
          <t>1:1</t>
        </is>
      </c>
      <c r="G213" s="417" t="inlineStr">
        <is>
          <t>PG_BRONZE</t>
        </is>
      </c>
      <c r="H213" s="377" t="inlineStr">
        <is>
          <t>T24CORE_LD_LOANS_AND_DEPOSITS</t>
        </is>
      </c>
      <c r="I213" s="377" t="inlineStr">
        <is>
          <t>RECORD_STATUS</t>
        </is>
      </c>
      <c r="J213" s="417" t="inlineStr">
        <is>
          <t>PG_SILVER</t>
        </is>
      </c>
      <c r="K213" s="377" t="inlineStr">
        <is>
          <t>LD_RECORD_STATUS</t>
        </is>
      </c>
      <c r="L213" s="417" t="inlineStr">
        <is>
          <t>VARCHAR2(100)</t>
        </is>
      </c>
      <c r="M213" s="377" t="inlineStr">
        <is>
          <t>LEFT JOIN PG_BRONZE.T24CORE_LD_LOANS_AND_DEPOSITS ld ON SUBSTR(pdmv.RECID, 3, 12) = ld.RECID</t>
        </is>
      </c>
      <c r="N213" s="377" t="inlineStr">
        <is>
          <t>TRIM(ld.RECORD_STATUS)</t>
        </is>
      </c>
      <c r="O213" s="377" t="inlineStr">
        <is>
          <t>Source -&gt; PG_BRONZE (1:1) -&gt; PG_SILVER (Temp 1)</t>
        </is>
      </c>
      <c r="P213" s="357" t="inlineStr">
        <is>
          <t>Trạng thái bản ghi (Map từ PG_BRONZE.T24CORE_LD_LOANS_AND_DEPOSITS.RECORD_STATUS -&gt; PG_SILVER.sk_lich_tra_no.LD_RECORD_STATUS)</t>
        </is>
      </c>
    </row>
    <row r="214" ht="14.25" customHeight="1" s="335">
      <c r="A214" s="416">
        <f>C214&amp;D214&amp;E214</f>
        <v/>
      </c>
      <c r="B214" s="416" t="inlineStr">
        <is>
          <t>sk_lich_tra_no</t>
        </is>
      </c>
      <c r="C214" s="416" t="inlineStr">
        <is>
          <t>T24CORE</t>
        </is>
      </c>
      <c r="D214" s="416" t="inlineStr">
        <is>
          <t>LD_LOANS_AND_DEPOSITS</t>
        </is>
      </c>
      <c r="E214" s="416" t="inlineStr">
        <is>
          <t>STATUS</t>
        </is>
      </c>
      <c r="F214" s="417" t="inlineStr">
        <is>
          <t>1:1</t>
        </is>
      </c>
      <c r="G214" s="417" t="inlineStr">
        <is>
          <t>PG_BRONZE</t>
        </is>
      </c>
      <c r="H214" s="377" t="inlineStr">
        <is>
          <t>T24CORE_LD_LOANS_AND_DEPOSITS</t>
        </is>
      </c>
      <c r="I214" s="377" t="inlineStr">
        <is>
          <t>STATUS</t>
        </is>
      </c>
      <c r="J214" s="417" t="inlineStr">
        <is>
          <t>PG_SILVER</t>
        </is>
      </c>
      <c r="K214" s="377" t="inlineStr">
        <is>
          <t>STATUS</t>
        </is>
      </c>
      <c r="L214" s="417" t="inlineStr">
        <is>
          <t>VARCHAR2(100)</t>
        </is>
      </c>
      <c r="M214" s="377" t="inlineStr">
        <is>
          <t>LEFT JOIN PG_BRONZE.T24CORE_LD_LOANS_AND_DEPOSITS ld ON SUBSTR(pdmv.RECID, 3, 12) = ld.RECID</t>
        </is>
      </c>
      <c r="N214" s="377" t="inlineStr">
        <is>
          <t>TRIM(ld.STATUS)</t>
        </is>
      </c>
      <c r="O214" s="377" t="inlineStr">
        <is>
          <t>Source -&gt; PG_BRONZE (1:1) -&gt; PG_SILVER (Temp 1)</t>
        </is>
      </c>
      <c r="P214" s="357" t="inlineStr">
        <is>
          <t>Trạng thái (Map từ PG_BRONZE.T24CORE_LD_LOANS_AND_DEPOSITS.STATUS -&gt; PG_SILVER.sk_lich_tra_no.STATUS)</t>
        </is>
      </c>
    </row>
    <row r="215" ht="14.25" customHeight="1" s="335">
      <c r="A215" s="416">
        <f>C215&amp;D215&amp;E215</f>
        <v/>
      </c>
      <c r="B215" s="416" t="inlineStr">
        <is>
          <t>sk_lich_tra_no</t>
        </is>
      </c>
      <c r="C215" s="416" t="inlineStr">
        <is>
          <t>T24CORE</t>
        </is>
      </c>
      <c r="D215" s="416" t="inlineStr">
        <is>
          <t>LD_LOANS_AND_DEPOSITS</t>
        </is>
      </c>
      <c r="E215" s="416" t="inlineStr">
        <is>
          <t>USE_OF_LOAN</t>
        </is>
      </c>
      <c r="F215" s="417" t="inlineStr">
        <is>
          <t>1:1</t>
        </is>
      </c>
      <c r="G215" s="417" t="inlineStr">
        <is>
          <t>PG_BRONZE</t>
        </is>
      </c>
      <c r="H215" s="377" t="inlineStr">
        <is>
          <t>T24CORE_LD_LOANS_AND_DEPOSITS</t>
        </is>
      </c>
      <c r="I215" s="377" t="inlineStr">
        <is>
          <t>USE_OF_LOAN</t>
        </is>
      </c>
      <c r="J215" s="417" t="inlineStr">
        <is>
          <t>PG_SILVER</t>
        </is>
      </c>
      <c r="K215" s="377" t="inlineStr">
        <is>
          <t>LD_USE_OF_LOAN</t>
        </is>
      </c>
      <c r="L215" s="417" t="inlineStr">
        <is>
          <t>VARCHAR2(100)</t>
        </is>
      </c>
      <c r="M215" s="377" t="inlineStr">
        <is>
          <t>LEFT JOIN PG_BRONZE.T24CORE_LD_LOANS_AND_DEPOSITS ld ON SUBSTR(pdmv.RECID, 3, 12) = ld.RECID</t>
        </is>
      </c>
      <c r="N215" s="377" t="inlineStr">
        <is>
          <t>TRIM(ld.USE_OF_LOAN)</t>
        </is>
      </c>
      <c r="O215" s="377" t="inlineStr">
        <is>
          <t>Source -&gt; PG_BRONZE (1:1) -&gt; PG_SILVER (Temp 1)</t>
        </is>
      </c>
      <c r="P215" s="357" t="inlineStr">
        <is>
          <t>Mã mục đích vay (Map từ PG_BRONZE.T24CORE_LD_LOANS_AND_DEPOSITS.USE_OF_LOAN -&gt; PG_SILVER.sk_lich_tra_no.LD_USE_OF_LOAN)</t>
        </is>
      </c>
    </row>
    <row r="216" ht="14.25" customHeight="1" s="335">
      <c r="A216" s="416">
        <f>C216&amp;D216&amp;E216</f>
        <v/>
      </c>
      <c r="B216" s="416" t="inlineStr">
        <is>
          <t>sk_lich_tra_no</t>
        </is>
      </c>
      <c r="C216" s="416" t="inlineStr">
        <is>
          <t>T24CORE</t>
        </is>
      </c>
      <c r="D216" s="416" t="inlineStr">
        <is>
          <t>LD_LOANS_AND_DEPOSITS</t>
        </is>
      </c>
      <c r="E216" s="416" t="inlineStr">
        <is>
          <t>USE_OF_LOAN_CHA</t>
        </is>
      </c>
      <c r="F216" s="417" t="inlineStr">
        <is>
          <t>1:1</t>
        </is>
      </c>
      <c r="G216" s="417" t="inlineStr">
        <is>
          <t>PG_BRONZE</t>
        </is>
      </c>
      <c r="H216" s="377" t="inlineStr">
        <is>
          <t>T24CORE_LD_LOANS_AND_DEPOSITS</t>
        </is>
      </c>
      <c r="I216" s="377" t="inlineStr">
        <is>
          <t>USE_OF_LOAN_CHA</t>
        </is>
      </c>
      <c r="J216" s="417" t="inlineStr">
        <is>
          <t>PG_SILVER</t>
        </is>
      </c>
      <c r="K216" s="377" t="inlineStr">
        <is>
          <t>LD_USE_OF_LOAN_CHA</t>
        </is>
      </c>
      <c r="L216" s="417" t="inlineStr">
        <is>
          <t>VARCHAR2(100)</t>
        </is>
      </c>
      <c r="M216" s="377" t="inlineStr">
        <is>
          <t>LEFT JOIN PG_BRONZE.T24CORE_LD_LOANS_AND_DEPOSITS ld ON SUBSTR(pdmv.RECID, 3, 12) = ld.RECID</t>
        </is>
      </c>
      <c r="N216" s="377" t="inlineStr">
        <is>
          <t>TRIM(ld.USE_OF_LOAN_CHA)</t>
        </is>
      </c>
      <c r="O216" s="377" t="inlineStr">
        <is>
          <t>Source -&gt; PG_BRONZE (1:1) -&gt; PG_SILVER (Temp 1)</t>
        </is>
      </c>
      <c r="P216" s="357" t="inlineStr">
        <is>
          <t>Mã nhóm mục đích vay (Map từ PG_BRONZE.T24CORE_LD_LOANS_AND_DEPOSITS.USE_OF_LOAN_CHA -&gt; PG_SILVER.sk_lich_tra_no.LD_USE_OF_LOAN_CHA)</t>
        </is>
      </c>
    </row>
    <row r="217" ht="14.25" customHeight="1" s="335">
      <c r="A217" s="416">
        <f>C217&amp;D217&amp;E217</f>
        <v/>
      </c>
      <c r="B217" s="416" t="inlineStr">
        <is>
          <t>sk_lich_tra_no</t>
        </is>
      </c>
      <c r="C217" s="416" t="inlineStr">
        <is>
          <t>T24CORE</t>
        </is>
      </c>
      <c r="D217" s="416" t="inlineStr">
        <is>
          <t>LD_LOANS_AND_DEPOSITS</t>
        </is>
      </c>
      <c r="E217" s="416" t="inlineStr">
        <is>
          <t>VALUE_DATE</t>
        </is>
      </c>
      <c r="F217" s="417" t="inlineStr">
        <is>
          <t>1:1</t>
        </is>
      </c>
      <c r="G217" s="417" t="inlineStr">
        <is>
          <t>PG_BRONZE</t>
        </is>
      </c>
      <c r="H217" s="377" t="inlineStr">
        <is>
          <t>T24CORE_LD_LOANS_AND_DEPOSITS</t>
        </is>
      </c>
      <c r="I217" s="377" t="inlineStr">
        <is>
          <t>VALUE_DATE</t>
        </is>
      </c>
      <c r="J217" s="417" t="inlineStr">
        <is>
          <t>PG_SILVER</t>
        </is>
      </c>
      <c r="K217" s="377" t="inlineStr">
        <is>
          <t>LD_VALUE_DATE</t>
        </is>
      </c>
      <c r="L217" s="417" t="inlineStr">
        <is>
          <t>DATE</t>
        </is>
      </c>
      <c r="M217" s="377" t="inlineStr">
        <is>
          <t>LEFT JOIN PG_BRONZE.T24CORE_LD_LOANS_AND_DEPOSITS ld ON SUBSTR(pdmv.RECID, 3, 12) = ld.RECID</t>
        </is>
      </c>
      <c r="N217" s="377" t="inlineStr">
        <is>
          <t>TO_DATE(CAST(ld.VALUE_DATE AS VARCHAR(20)), 'YYYYMMDD')</t>
        </is>
      </c>
      <c r="O217" s="377" t="inlineStr">
        <is>
          <t>Source -&gt; PG_BRONZE (1:1) -&gt; PG_SILVER (Temp 1)</t>
        </is>
      </c>
      <c r="P217" s="357" t="inlineStr">
        <is>
          <t>Ngày hiệu lực hợp đồng (Map từ PG_BRONZE.T24CORE_LD_LOANS_AND_DEPOSITS.VALUE_DATE -&gt; PG_SILVER.sk_lich_tra_no.LD_VALUE_DATE)</t>
        </is>
      </c>
    </row>
    <row r="218" ht="14.25" customHeight="1" s="335">
      <c r="A218" s="416">
        <f>C218&amp;D218&amp;E218</f>
        <v/>
      </c>
      <c r="B218" s="416" t="inlineStr">
        <is>
          <t>sk_lich_tra_no</t>
        </is>
      </c>
      <c r="C218" s="416" t="inlineStr">
        <is>
          <t>T24CORE</t>
        </is>
      </c>
      <c r="D218" s="416" t="inlineStr">
        <is>
          <t>LD_LOANS_AND_DEPOSITS_HIS</t>
        </is>
      </c>
      <c r="E218" s="416" t="inlineStr">
        <is>
          <t>ACC_FCC</t>
        </is>
      </c>
      <c r="F218" s="417" t="inlineStr">
        <is>
          <t>1:1</t>
        </is>
      </c>
      <c r="G218" s="417" t="inlineStr">
        <is>
          <t>PG_BRONZE</t>
        </is>
      </c>
      <c r="H218" s="377" t="inlineStr">
        <is>
          <t>T24CORE_LD_LOANS_AND_DEPOSITS_HIS</t>
        </is>
      </c>
      <c r="I218" s="377" t="inlineStr">
        <is>
          <t>ACC_FCC</t>
        </is>
      </c>
      <c r="J218" s="417" t="inlineStr">
        <is>
          <t>PG_SILVER</t>
        </is>
      </c>
      <c r="K218" s="377" t="inlineStr">
        <is>
          <t>LDH_ACC_FCC</t>
        </is>
      </c>
      <c r="L218" s="417" t="inlineStr">
        <is>
          <t>VARCHAR2(100)</t>
        </is>
      </c>
      <c r="M218" s="377" t="inlineStr">
        <is>
          <t>LEFT JOIN PG_BRONZE.T24CORE_LD_LOANS_AND_DEPOSITS_HIS ldh ON SUBSTR(pdmv.RECID, 3, 12) = SUBSTR(ldh.RECID, 1, INSTR(ldh.RECID, ';') - 1)</t>
        </is>
      </c>
      <c r="N218" s="377" t="inlineStr">
        <is>
          <t>TRIM(ldh.ACC_FCC)</t>
        </is>
      </c>
      <c r="O218" s="377" t="inlineStr">
        <is>
          <t>Source -&gt; PG_BRONZE (1:1) -&gt; PG_SILVER (Temp 1)</t>
        </is>
      </c>
      <c r="P218" s="357" t="inlineStr">
        <is>
          <t>Mã hợp đồng FlexCube (Map từ PG_BRONZE.T24CORE_LD_LOANS_AND_DEPOSITS_HIS.ACC_FCC -&gt; PG_SILVER.sk_lich_tra_no.LDH_ACC_FCC)</t>
        </is>
      </c>
    </row>
    <row r="219" ht="14.25" customHeight="1" s="335">
      <c r="A219" s="416">
        <f>C219&amp;D219&amp;E219</f>
        <v/>
      </c>
      <c r="B219" s="416" t="inlineStr">
        <is>
          <t>sk_lich_tra_no</t>
        </is>
      </c>
      <c r="C219" s="416" t="inlineStr">
        <is>
          <t>T24CORE</t>
        </is>
      </c>
      <c r="D219" s="416" t="inlineStr">
        <is>
          <t>LD_LOANS_AND_DEPOSITS_HIS</t>
        </is>
      </c>
      <c r="E219" s="416" t="inlineStr">
        <is>
          <t>AMOUNT</t>
        </is>
      </c>
      <c r="F219" s="417" t="inlineStr">
        <is>
          <t>1:1</t>
        </is>
      </c>
      <c r="G219" s="417" t="inlineStr">
        <is>
          <t>PG_BRONZE</t>
        </is>
      </c>
      <c r="H219" s="377" t="inlineStr">
        <is>
          <t>T24CORE_LD_LOANS_AND_DEPOSITS_HIS</t>
        </is>
      </c>
      <c r="I219" s="377" t="inlineStr">
        <is>
          <t>AMOUNT</t>
        </is>
      </c>
      <c r="J219" s="417" t="inlineStr">
        <is>
          <t>PG_SILVER</t>
        </is>
      </c>
      <c r="K219" s="377" t="inlineStr">
        <is>
          <t>AMOUNT</t>
        </is>
      </c>
      <c r="L219" s="417" t="inlineStr">
        <is>
          <t>NUMBER(25.5)</t>
        </is>
      </c>
      <c r="M219" s="377" t="inlineStr">
        <is>
          <t>LEFT JOIN PG_BRONZE.T24CORE_LD_LOANS_AND_DEPOSITS_HIS ldh ON SUBSTR(pdmv.RECID, 3, 12) = SUBSTR(ldh.RECID, 1, INSTR(ldh.RECID, ';') - 1)</t>
        </is>
      </c>
      <c r="N219" s="377" t="inlineStr">
        <is>
          <t>COALESCE(CAST(ldh.AMOUNT AS DECIMAL(25,5)), 0)</t>
        </is>
      </c>
      <c r="O219" s="377" t="inlineStr">
        <is>
          <t>Source -&gt; PG_BRONZE (1:1) -&gt; PG_SILVER (Temp 1)</t>
        </is>
      </c>
      <c r="P219" s="357" t="inlineStr">
        <is>
          <t>Dự nợ hợp đồng (Map từ PG_BRONZE.T24CORE_LD_LOANS_AND_DEPOSITS_HIS.AMOUNT -&gt; PG_SILVER.sk_lich_tra_no.AMOUNT)</t>
        </is>
      </c>
    </row>
    <row r="220" ht="14.25" customHeight="1" s="335">
      <c r="A220" s="416">
        <f>C220&amp;D220&amp;E220</f>
        <v/>
      </c>
      <c r="B220" s="416" t="inlineStr">
        <is>
          <t>sk_lich_tra_no</t>
        </is>
      </c>
      <c r="C220" s="416" t="inlineStr">
        <is>
          <t>T24CORE</t>
        </is>
      </c>
      <c r="D220" s="416" t="inlineStr">
        <is>
          <t>LD_LOANS_AND_DEPOSITS_HIS</t>
        </is>
      </c>
      <c r="E220" s="416" t="inlineStr">
        <is>
          <t>APPROVE_AMOUNT</t>
        </is>
      </c>
      <c r="F220" s="417" t="inlineStr">
        <is>
          <t>1:1</t>
        </is>
      </c>
      <c r="G220" s="417" t="inlineStr">
        <is>
          <t>PG_BRONZE</t>
        </is>
      </c>
      <c r="H220" s="377" t="inlineStr">
        <is>
          <t>T24CORE_LD_LOANS_AND_DEPOSITS_HIS</t>
        </is>
      </c>
      <c r="I220" s="377" t="inlineStr">
        <is>
          <t>APPROVE_AMOUNT</t>
        </is>
      </c>
      <c r="J220" s="417" t="inlineStr">
        <is>
          <t>PG_SILVER</t>
        </is>
      </c>
      <c r="K220" s="377" t="inlineStr">
        <is>
          <t>LDH_APPROVE_AMOUNT</t>
        </is>
      </c>
      <c r="L220" s="417" t="inlineStr">
        <is>
          <t>NUMBER(25.5)</t>
        </is>
      </c>
      <c r="M220" s="377" t="inlineStr">
        <is>
          <t>LEFT JOIN PG_BRONZE.T24CORE_LD_LOANS_AND_DEPOSITS_HIS ldh ON SUBSTR(pdmv.RECID, 3, 12) = SUBSTR(ldh.RECID, 1, INSTR(ldh.RECID, ';') - 1)</t>
        </is>
      </c>
      <c r="N220" s="377" t="inlineStr">
        <is>
          <t>COALESCE(CAST(ldh.APPROVE_AMOUNT AS DECIMAL(25,5)), 0)</t>
        </is>
      </c>
      <c r="O220" s="377" t="inlineStr">
        <is>
          <t>Source -&gt; PG_BRONZE (1:1) -&gt; PG_SILVER (Temp 1)</t>
        </is>
      </c>
      <c r="P220" s="357" t="inlineStr">
        <is>
          <t>Giá trị giải ngân (Map từ PG_BRONZE.T24CORE_LD_LOANS_AND_DEPOSITS_HIS.APPROVE_AMOUNT -&gt; PG_SILVER.sk_lich_tra_no.LDH_APPROVE_AMOUNT)</t>
        </is>
      </c>
    </row>
    <row r="221" ht="14.25" customHeight="1" s="335">
      <c r="A221" s="416">
        <f>C221&amp;D221&amp;E221</f>
        <v/>
      </c>
      <c r="B221" s="416" t="inlineStr">
        <is>
          <t>sk_lich_tra_no</t>
        </is>
      </c>
      <c r="C221" s="416" t="inlineStr">
        <is>
          <t>T24CORE</t>
        </is>
      </c>
      <c r="D221" s="416" t="inlineStr">
        <is>
          <t>LD_LOANS_AND_DEPOSITS_HIS</t>
        </is>
      </c>
      <c r="E221" s="416" t="inlineStr">
        <is>
          <t>CATEGORY</t>
        </is>
      </c>
      <c r="F221" s="417" t="inlineStr">
        <is>
          <t>1:1</t>
        </is>
      </c>
      <c r="G221" s="417" t="inlineStr">
        <is>
          <t>PG_BRONZE</t>
        </is>
      </c>
      <c r="H221" s="377" t="inlineStr">
        <is>
          <t>T24CORE_LD_LOANS_AND_DEPOSITS_HIS</t>
        </is>
      </c>
      <c r="I221" s="377" t="inlineStr">
        <is>
          <t>CATEGORY</t>
        </is>
      </c>
      <c r="J221" s="417" t="inlineStr">
        <is>
          <t>PG_SILVER</t>
        </is>
      </c>
      <c r="K221" s="377" t="inlineStr">
        <is>
          <t>LDH_CATEGORY</t>
        </is>
      </c>
      <c r="L221" s="417" t="inlineStr">
        <is>
          <t>VARCHAR2(100)</t>
        </is>
      </c>
      <c r="M221" s="377" t="inlineStr">
        <is>
          <t>LEFT JOIN PG_BRONZE.T24CORE_LD_LOANS_AND_DEPOSITS_HIS ldh ON SUBSTR(pdmv.RECID, 3, 12) = SUBSTR(ldh.RECID, 1, INSTR(ldh.RECID, ';') - 1)</t>
        </is>
      </c>
      <c r="N221" s="377" t="inlineStr">
        <is>
          <t>TRIM(ldh.CATEGORY)</t>
        </is>
      </c>
      <c r="O221" s="377" t="inlineStr">
        <is>
          <t>Source -&gt; PG_BRONZE (1:1) -&gt; PG_SILVER (Temp 1)</t>
        </is>
      </c>
      <c r="P221" s="357" t="inlineStr">
        <is>
          <t>Mã phân loại sản phẩm (Map từ PG_BRONZE.T24CORE_LD_LOANS_AND_DEPOSITS_HIS.CATEGORY -&gt; PG_SILVER.sk_lich_tra_no.LDH_CATEGORY)</t>
        </is>
      </c>
    </row>
    <row r="222" ht="14.25" customHeight="1" s="335">
      <c r="A222" s="416">
        <f>C222&amp;D222&amp;E222</f>
        <v/>
      </c>
      <c r="B222" s="416" t="inlineStr">
        <is>
          <t>sk_lich_tra_no</t>
        </is>
      </c>
      <c r="C222" s="416" t="inlineStr">
        <is>
          <t>T24CORE</t>
        </is>
      </c>
      <c r="D222" s="416" t="inlineStr">
        <is>
          <t>LD_LOANS_AND_DEPOSITS_HIS</t>
        </is>
      </c>
      <c r="E222" s="416" t="inlineStr">
        <is>
          <t>CO_CODE</t>
        </is>
      </c>
      <c r="F222" s="417" t="inlineStr">
        <is>
          <t>1:1</t>
        </is>
      </c>
      <c r="G222" s="417" t="inlineStr">
        <is>
          <t>PG_BRONZE</t>
        </is>
      </c>
      <c r="H222" s="377" t="inlineStr">
        <is>
          <t>T24CORE_LD_LOANS_AND_DEPOSITS_HIS</t>
        </is>
      </c>
      <c r="I222" s="377" t="inlineStr">
        <is>
          <t>CO_CODE</t>
        </is>
      </c>
      <c r="J222" s="417" t="inlineStr">
        <is>
          <t>PG_SILVER</t>
        </is>
      </c>
      <c r="K222" s="377" t="inlineStr">
        <is>
          <t>LDH_CO_CODE</t>
        </is>
      </c>
      <c r="L222" s="417" t="inlineStr">
        <is>
          <t>VARCHAR2(100)</t>
        </is>
      </c>
      <c r="M222" s="377" t="inlineStr">
        <is>
          <t>LEFT JOIN PG_BRONZE.T24CORE_LD_LOANS_AND_DEPOSITS_HIS ldh ON SUBSTR(pdmv.RECID, 3, 12) = SUBSTR(ldh.RECID, 1, INSTR(ldh.RECID, ';') - 1)</t>
        </is>
      </c>
      <c r="N222" s="377" t="inlineStr">
        <is>
          <t>TRIM(ldh.CO_CODE)</t>
        </is>
      </c>
      <c r="O222" s="377" t="inlineStr">
        <is>
          <t>Source -&gt; PG_BRONZE (1:1) -&gt; PG_SILVER (Temp 1)</t>
        </is>
      </c>
      <c r="P222" s="357" t="inlineStr">
        <is>
          <t>Mã chi nhánh (Map từ PG_BRONZE.T24CORE_LD_LOANS_AND_DEPOSITS_HIS.CO_CODE -&gt; PG_SILVER.sk_lich_tra_no.LDH_CO_CODE)</t>
        </is>
      </c>
    </row>
    <row r="223" ht="14.25" customHeight="1" s="335">
      <c r="A223" s="416">
        <f>C223&amp;D223&amp;E223</f>
        <v/>
      </c>
      <c r="B223" s="416" t="inlineStr">
        <is>
          <t>sk_lich_tra_no</t>
        </is>
      </c>
      <c r="C223" s="416" t="inlineStr">
        <is>
          <t>T24CORE</t>
        </is>
      </c>
      <c r="D223" s="416" t="inlineStr">
        <is>
          <t>LD_LOANS_AND_DEPOSITS_HIS</t>
        </is>
      </c>
      <c r="E223" s="416" t="inlineStr">
        <is>
          <t>COMMIT_ACTION</t>
        </is>
      </c>
      <c r="F223" s="417" t="inlineStr">
        <is>
          <t>1:1</t>
        </is>
      </c>
      <c r="G223" s="417" t="inlineStr">
        <is>
          <t>PG_BRONZE</t>
        </is>
      </c>
      <c r="H223" s="377" t="inlineStr">
        <is>
          <t>T24CORE_LD_LOANS_AND_DEPOSITS_HIS</t>
        </is>
      </c>
      <c r="I223" s="377" t="inlineStr">
        <is>
          <t>COMMIT_ACTION</t>
        </is>
      </c>
      <c r="J223" s="417" t="inlineStr">
        <is>
          <t>PG_SILVER</t>
        </is>
      </c>
      <c r="K223" s="377" t="inlineStr">
        <is>
          <t>LDH_COMMIT_ACTION</t>
        </is>
      </c>
      <c r="L223" s="417" t="inlineStr">
        <is>
          <t>VARCHAR2(100)</t>
        </is>
      </c>
      <c r="M223" s="377" t="inlineStr">
        <is>
          <t>LEFT JOIN PG_BRONZE.T24CORE_LD_LOANS_AND_DEPOSITS_HIS ldh ON SUBSTR(pdmv.RECID, 3, 12) = SUBSTR(ldh.RECID, 1, INSTR(ldh.RECID, ';') - 1)</t>
        </is>
      </c>
      <c r="N223" s="377" t="inlineStr">
        <is>
          <t>TRIM(ldh.COMMIT_ACTION)</t>
        </is>
      </c>
      <c r="O223" s="377" t="inlineStr">
        <is>
          <t>Source -&gt; PG_BRONZE (1:1) -&gt; PG_SILVER (Temp 1)</t>
        </is>
      </c>
      <c r="P223" s="357" t="inlineStr">
        <is>
          <t>Trường COMMIT_ACTION của bảng nguồn T24CORE.LD_LOANS_AND_DEPOSITS_HIS (Map từ PG_BRONZE.T24CORE_LD_LOANS_AND_DEPOSITS_HIS.COMMIT_ACTION -&gt; PG_SILVER.sk_lich_tra_no.LDH_COMMIT_ACTION)</t>
        </is>
      </c>
    </row>
    <row r="224" ht="14.25" customHeight="1" s="335">
      <c r="A224" s="416">
        <f>C224&amp;D224&amp;E224</f>
        <v/>
      </c>
      <c r="B224" s="416" t="inlineStr">
        <is>
          <t>sk_lich_tra_no</t>
        </is>
      </c>
      <c r="C224" s="416" t="inlineStr">
        <is>
          <t>T24CORE</t>
        </is>
      </c>
      <c r="D224" s="416" t="inlineStr">
        <is>
          <t>LD_LOANS_AND_DEPOSITS_HIS</t>
        </is>
      </c>
      <c r="E224" s="416" t="inlineStr">
        <is>
          <t>CRA_LD</t>
        </is>
      </c>
      <c r="F224" s="417" t="inlineStr">
        <is>
          <t>1:1</t>
        </is>
      </c>
      <c r="G224" s="417" t="inlineStr">
        <is>
          <t>PG_BRONZE</t>
        </is>
      </c>
      <c r="H224" s="377" t="inlineStr">
        <is>
          <t>T24CORE_LD_LOANS_AND_DEPOSITS_HIS</t>
        </is>
      </c>
      <c r="I224" s="377" t="inlineStr">
        <is>
          <t>CRA_LD</t>
        </is>
      </c>
      <c r="J224" s="417" t="inlineStr">
        <is>
          <t>PG_SILVER</t>
        </is>
      </c>
      <c r="K224" s="377" t="inlineStr">
        <is>
          <t>CRA_LD</t>
        </is>
      </c>
      <c r="L224" s="417" t="inlineStr">
        <is>
          <t>VARCHAR2(100)</t>
        </is>
      </c>
      <c r="M224" s="377" t="inlineStr">
        <is>
          <t>LEFT JOIN PG_BRONZE.T24CORE_LD_LOANS_AND_DEPOSITS_HIS ldh ON SUBSTR(pdmv.RECID, 3, 12) = SUBSTR(ldh.RECID, 1, INSTR(ldh.RECID, ';') - 1)</t>
        </is>
      </c>
      <c r="N224" s="377" t="inlineStr">
        <is>
          <t>TRIM(ldh.CRA_LD)</t>
        </is>
      </c>
      <c r="O224" s="377" t="inlineStr">
        <is>
          <t>Source -&gt; PG_BRONZE (1:1) -&gt; PG_SILVER (Temp 1)</t>
        </is>
      </c>
      <c r="P224" s="357" t="inlineStr">
        <is>
          <t>Mã hồ sơ (Map từ PG_BRONZE.T24CORE_LD_LOANS_AND_DEPOSITS_HIS.CRA_LD -&gt; PG_SILVER.sk_lich_tra_no.CRA_LD)</t>
        </is>
      </c>
    </row>
    <row r="225" ht="14.25" customHeight="1" s="335">
      <c r="A225" s="416">
        <f>C225&amp;D225&amp;E225</f>
        <v/>
      </c>
      <c r="B225" s="416" t="inlineStr">
        <is>
          <t>sk_lich_tra_no</t>
        </is>
      </c>
      <c r="C225" s="416" t="inlineStr">
        <is>
          <t>T24CORE</t>
        </is>
      </c>
      <c r="D225" s="416" t="inlineStr">
        <is>
          <t>LD_LOANS_AND_DEPOSITS_HIS</t>
        </is>
      </c>
      <c r="E225" s="416" t="inlineStr">
        <is>
          <t>CURR_NO</t>
        </is>
      </c>
      <c r="F225" s="417" t="inlineStr">
        <is>
          <t>1:1</t>
        </is>
      </c>
      <c r="G225" s="417" t="inlineStr">
        <is>
          <t>PG_BRONZE</t>
        </is>
      </c>
      <c r="H225" s="377" t="inlineStr">
        <is>
          <t>T24CORE_LD_LOANS_AND_DEPOSITS_HIS</t>
        </is>
      </c>
      <c r="I225" s="377" t="inlineStr">
        <is>
          <t>CURR_NO</t>
        </is>
      </c>
      <c r="J225" s="417" t="inlineStr">
        <is>
          <t>PG_SILVER</t>
        </is>
      </c>
      <c r="K225" s="377" t="inlineStr">
        <is>
          <t>LDH_CURR_NO</t>
        </is>
      </c>
      <c r="L225" s="417" t="inlineStr">
        <is>
          <t>NUMBER(10)</t>
        </is>
      </c>
      <c r="M225" s="377" t="inlineStr">
        <is>
          <t>LEFT JOIN PG_BRONZE.T24CORE_LD_LOANS_AND_DEPOSITS_HIS ldh ON SUBSTR(pdmv.RECID, 3, 12) = SUBSTR(ldh.RECID, 1, INSTR(ldh.RECID, ';') - 1)</t>
        </is>
      </c>
      <c r="N225" s="377" t="inlineStr">
        <is>
          <t>COALESCE(CAST(ldh.CURR_NO AS DECIMAL(10)), 0)</t>
        </is>
      </c>
      <c r="O225" s="377" t="inlineStr">
        <is>
          <t>Source -&gt; PG_BRONZE (1:1) -&gt; PG_SILVER (Temp 1)</t>
        </is>
      </c>
      <c r="P225" s="357" t="inlineStr">
        <is>
          <t>Version của bản ghi (Map từ PG_BRONZE.T24CORE_LD_LOANS_AND_DEPOSITS_HIS.CURR_NO -&gt; PG_SILVER.sk_lich_tra_no.LDH_CURR_NO)</t>
        </is>
      </c>
    </row>
    <row r="226" ht="14.25" customHeight="1" s="335">
      <c r="A226" s="416">
        <f>C226&amp;D226&amp;E226</f>
        <v/>
      </c>
      <c r="B226" s="416" t="inlineStr">
        <is>
          <t>sk_lich_tra_no</t>
        </is>
      </c>
      <c r="C226" s="416" t="inlineStr">
        <is>
          <t>T24CORE</t>
        </is>
      </c>
      <c r="D226" s="416" t="inlineStr">
        <is>
          <t>LD_LOANS_AND_DEPOSITS_HIS</t>
        </is>
      </c>
      <c r="E226" s="416" t="inlineStr">
        <is>
          <t>CURRENCY</t>
        </is>
      </c>
      <c r="F226" s="417" t="inlineStr">
        <is>
          <t>1:1</t>
        </is>
      </c>
      <c r="G226" s="417" t="inlineStr">
        <is>
          <t>PG_BRONZE</t>
        </is>
      </c>
      <c r="H226" s="377" t="inlineStr">
        <is>
          <t>T24CORE_LD_LOANS_AND_DEPOSITS_HIS</t>
        </is>
      </c>
      <c r="I226" s="377" t="inlineStr">
        <is>
          <t>CURRENCY</t>
        </is>
      </c>
      <c r="J226" s="417" t="inlineStr">
        <is>
          <t>PG_SILVER</t>
        </is>
      </c>
      <c r="K226" s="377" t="inlineStr">
        <is>
          <t>LDH_CURRENCY</t>
        </is>
      </c>
      <c r="L226" s="417" t="inlineStr">
        <is>
          <t>VARCHAR2(100)</t>
        </is>
      </c>
      <c r="M226" s="377" t="inlineStr">
        <is>
          <t>LEFT JOIN PG_BRONZE.T24CORE_LD_LOANS_AND_DEPOSITS_HIS ldh ON SUBSTR(pdmv.RECID, 3, 12) = SUBSTR(ldh.RECID, 1, INSTR(ldh.RECID, ';') - 1)</t>
        </is>
      </c>
      <c r="N226" s="377" t="inlineStr">
        <is>
          <t>TRIM(ldh.CURRENCY)</t>
        </is>
      </c>
      <c r="O226" s="377" t="inlineStr">
        <is>
          <t>Source -&gt; PG_BRONZE (1:1) -&gt; PG_SILVER (Temp 1)</t>
        </is>
      </c>
      <c r="P226" s="357" t="inlineStr">
        <is>
          <t>Mã loại tiền (Map từ PG_BRONZE.T24CORE_LD_LOANS_AND_DEPOSITS_HIS.CURRENCY -&gt; PG_SILVER.sk_lich_tra_no.LDH_CURRENCY)</t>
        </is>
      </c>
    </row>
    <row r="227" ht="14.25" customHeight="1" s="335">
      <c r="A227" s="416">
        <f>C227&amp;D227&amp;E227</f>
        <v/>
      </c>
      <c r="B227" s="416" t="inlineStr">
        <is>
          <t>sk_lich_tra_no</t>
        </is>
      </c>
      <c r="C227" s="416" t="inlineStr">
        <is>
          <t>T24CORE</t>
        </is>
      </c>
      <c r="D227" s="416" t="inlineStr">
        <is>
          <t>LD_LOANS_AND_DEPOSITS_HIS</t>
        </is>
      </c>
      <c r="E227" s="416" t="inlineStr">
        <is>
          <t>CUSTOMER_ID</t>
        </is>
      </c>
      <c r="F227" s="417" t="inlineStr">
        <is>
          <t>1:1</t>
        </is>
      </c>
      <c r="G227" s="417" t="inlineStr">
        <is>
          <t>PG_BRONZE</t>
        </is>
      </c>
      <c r="H227" s="377" t="inlineStr">
        <is>
          <t>T24CORE_LD_LOANS_AND_DEPOSITS_HIS</t>
        </is>
      </c>
      <c r="I227" s="377" t="inlineStr">
        <is>
          <t>CUSTOMER_ID</t>
        </is>
      </c>
      <c r="J227" s="417" t="inlineStr">
        <is>
          <t>PG_SILVER</t>
        </is>
      </c>
      <c r="K227" s="377" t="inlineStr">
        <is>
          <t>CUSTOMER_ID</t>
        </is>
      </c>
      <c r="L227" s="417" t="inlineStr">
        <is>
          <t>VARCHAR2(100)</t>
        </is>
      </c>
      <c r="M227" s="377" t="inlineStr">
        <is>
          <t>LEFT JOIN PG_BRONZE.T24CORE_LD_LOANS_AND_DEPOSITS_HIS ldh ON SUBSTR(pdmv.RECID, 3, 12) = SUBSTR(ldh.RECID, 1, INSTR(ldh.RECID, ';') - 1)</t>
        </is>
      </c>
      <c r="N227" s="377" t="inlineStr">
        <is>
          <t>TRIM(ldh.CUSTOMER_ID)</t>
        </is>
      </c>
      <c r="O227" s="377" t="inlineStr">
        <is>
          <t>Source -&gt; PG_BRONZE (1:1) -&gt; PG_SILVER (Temp 1)</t>
        </is>
      </c>
      <c r="P227" s="357" t="inlineStr">
        <is>
          <t>Mã khách hành (Map từ PG_BRONZE.T24CORE_LD_LOANS_AND_DEPOSITS_HIS.CUSTOMER_ID -&gt; PG_SILVER.sk_lich_tra_no.CUSTOMER_ID)</t>
        </is>
      </c>
    </row>
    <row r="228" ht="14.25" customHeight="1" s="335">
      <c r="A228" s="416">
        <f>C228&amp;D228&amp;E228</f>
        <v/>
      </c>
      <c r="B228" s="416" t="inlineStr">
        <is>
          <t>sk_lich_tra_no</t>
        </is>
      </c>
      <c r="C228" s="416" t="inlineStr">
        <is>
          <t>T24CORE</t>
        </is>
      </c>
      <c r="D228" s="416" t="inlineStr">
        <is>
          <t>LD_LOANS_AND_DEPOSITS_HIS</t>
        </is>
      </c>
      <c r="E228" s="416" t="inlineStr">
        <is>
          <t>DATE_TIME</t>
        </is>
      </c>
      <c r="F228" s="417" t="inlineStr">
        <is>
          <t>1:1</t>
        </is>
      </c>
      <c r="G228" s="417" t="inlineStr">
        <is>
          <t>PG_BRONZE</t>
        </is>
      </c>
      <c r="H228" s="377" t="inlineStr">
        <is>
          <t>T24CORE_LD_LOANS_AND_DEPOSITS_HIS</t>
        </is>
      </c>
      <c r="I228" s="377" t="inlineStr">
        <is>
          <t>DATE_TIME</t>
        </is>
      </c>
      <c r="J228" s="417" t="inlineStr">
        <is>
          <t>PG_SILVER</t>
        </is>
      </c>
      <c r="K228" s="377" t="inlineStr">
        <is>
          <t>LDH_DATE_TIME</t>
        </is>
      </c>
      <c r="L228" s="417" t="inlineStr">
        <is>
          <t>DATE</t>
        </is>
      </c>
      <c r="M228" s="377" t="inlineStr">
        <is>
          <t>LEFT JOIN PG_BRONZE.T24CORE_LD_LOANS_AND_DEPOSITS_HIS ldh ON SUBSTR(pdmv.RECID, 3, 12) = SUBSTR(ldh.RECID, 1, INSTR(ldh.RECID, ';') - 1)</t>
        </is>
      </c>
      <c r="N228" s="377" t="inlineStr">
        <is>
          <t>TO_DATE(CAST(ldh.DATE_TIME AS VARCHAR(20)), 'YYYYMMDD')</t>
        </is>
      </c>
      <c r="O228" s="377" t="inlineStr">
        <is>
          <t>Source -&gt; PG_BRONZE (1:1) -&gt; PG_SILVER (Temp 1)</t>
        </is>
      </c>
      <c r="P228" s="357" t="inlineStr">
        <is>
          <t>Ngày nhập liệu Core (Map từ PG_BRONZE.T24CORE_LD_LOANS_AND_DEPOSITS_HIS.DATE_TIME -&gt; PG_SILVER.sk_lich_tra_no.LDH_DATE_TIME)</t>
        </is>
      </c>
    </row>
    <row r="229" ht="14.25" customHeight="1" s="335">
      <c r="A229" s="416">
        <f>C229&amp;D229&amp;E229</f>
        <v/>
      </c>
      <c r="B229" s="416" t="inlineStr">
        <is>
          <t>sk_lich_tra_no</t>
        </is>
      </c>
      <c r="C229" s="416" t="inlineStr">
        <is>
          <t>T24CORE</t>
        </is>
      </c>
      <c r="D229" s="416" t="inlineStr">
        <is>
          <t>LD_LOANS_AND_DEPOSITS_HIS</t>
        </is>
      </c>
      <c r="E229" s="416" t="inlineStr">
        <is>
          <t>DRAWDOWN_NET_AMT</t>
        </is>
      </c>
      <c r="F229" s="417" t="inlineStr">
        <is>
          <t>1:1</t>
        </is>
      </c>
      <c r="G229" s="417" t="inlineStr">
        <is>
          <t>PG_BRONZE</t>
        </is>
      </c>
      <c r="H229" s="377" t="inlineStr">
        <is>
          <t>T24CORE_LD_LOANS_AND_DEPOSITS_HIS</t>
        </is>
      </c>
      <c r="I229" s="377" t="inlineStr">
        <is>
          <t>DRAWDOWN_NET_AMT</t>
        </is>
      </c>
      <c r="J229" s="417" t="inlineStr">
        <is>
          <t>PG_SILVER</t>
        </is>
      </c>
      <c r="K229" s="377" t="inlineStr">
        <is>
          <t>DRAWDOWN_NET_AMT</t>
        </is>
      </c>
      <c r="L229" s="417" t="inlineStr">
        <is>
          <t>NUMBER(25.5)</t>
        </is>
      </c>
      <c r="M229" s="377" t="inlineStr">
        <is>
          <t>LEFT JOIN PG_BRONZE.T24CORE_LD_LOANS_AND_DEPOSITS_HIS ldh ON SUBSTR(pdmv.RECID, 3, 12) = SUBSTR(ldh.RECID, 1, INSTR(ldh.RECID, ';') - 1)</t>
        </is>
      </c>
      <c r="N229" s="377" t="inlineStr">
        <is>
          <t>COALESCE(CAST(ldh.DRAWDOWN_NET_AMT AS DECIMAL(25,5)), 0)</t>
        </is>
      </c>
      <c r="O229" s="377" t="inlineStr">
        <is>
          <t>Source -&gt; PG_BRONZE (1:1) -&gt; PG_SILVER (Temp 1)</t>
        </is>
      </c>
      <c r="P229" s="357" t="inlineStr">
        <is>
          <t>Số tiền thực tế giải ngân (Map từ PG_BRONZE.T24CORE_LD_LOANS_AND_DEPOSITS_HIS.DRAWDOWN_NET_AMT -&gt; PG_SILVER.sk_lich_tra_no.DRAWDOWN_NET_AMT)</t>
        </is>
      </c>
    </row>
    <row r="230" ht="14.25" customHeight="1" s="335">
      <c r="A230" s="416">
        <f>C230&amp;D230&amp;E230</f>
        <v/>
      </c>
      <c r="B230" s="416" t="inlineStr">
        <is>
          <t>sk_lich_tra_no</t>
        </is>
      </c>
      <c r="C230" s="416" t="inlineStr">
        <is>
          <t>T24CORE</t>
        </is>
      </c>
      <c r="D230" s="416" t="inlineStr">
        <is>
          <t>LD_LOANS_AND_DEPOSITS_HIS</t>
        </is>
      </c>
      <c r="E230" s="416" t="inlineStr">
        <is>
          <t>EXCG_RATE</t>
        </is>
      </c>
      <c r="F230" s="417" t="inlineStr">
        <is>
          <t>1:1</t>
        </is>
      </c>
      <c r="G230" s="417" t="inlineStr">
        <is>
          <t>PG_BRONZE</t>
        </is>
      </c>
      <c r="H230" s="377" t="inlineStr">
        <is>
          <t>T24CORE_LD_LOANS_AND_DEPOSITS_HIS</t>
        </is>
      </c>
      <c r="I230" s="377" t="inlineStr">
        <is>
          <t>EXCG_RATE</t>
        </is>
      </c>
      <c r="J230" s="417" t="inlineStr">
        <is>
          <t>PG_SILVER</t>
        </is>
      </c>
      <c r="K230" s="377" t="inlineStr">
        <is>
          <t>EXCG_RATE</t>
        </is>
      </c>
      <c r="L230" s="417" t="inlineStr">
        <is>
          <t>NUMBER(13.7)</t>
        </is>
      </c>
      <c r="M230" s="377" t="inlineStr">
        <is>
          <t>LEFT JOIN PG_BRONZE.T24CORE_LD_LOANS_AND_DEPOSITS_HIS ldh ON SUBSTR(pdmv.RECID, 3, 12) = SUBSTR(ldh.RECID, 1, INSTR(ldh.RECID, ';') - 1)</t>
        </is>
      </c>
      <c r="N230" s="377" t="inlineStr">
        <is>
          <t>COALESCE(CAST(ldh.EXCG_RATE AS DECIMAL(13,7)), 0)</t>
        </is>
      </c>
      <c r="O230" s="377" t="inlineStr">
        <is>
          <t>Source -&gt; PG_BRONZE (1:1) -&gt; PG_SILVER (Temp 1)</t>
        </is>
      </c>
      <c r="P230" s="357" t="inlineStr">
        <is>
          <t>Tỷ giá quy đổi (Map từ PG_BRONZE.T24CORE_LD_LOANS_AND_DEPOSITS_HIS.EXCG_RATE -&gt; PG_SILVER.sk_lich_tra_no.EXCG_RATE)</t>
        </is>
      </c>
    </row>
    <row r="231" ht="14.25" customHeight="1" s="335">
      <c r="A231" s="416">
        <f>C231&amp;D231&amp;E231</f>
        <v/>
      </c>
      <c r="B231" s="416" t="inlineStr">
        <is>
          <t>sk_lich_tra_no</t>
        </is>
      </c>
      <c r="C231" s="416" t="inlineStr">
        <is>
          <t>T24CORE</t>
        </is>
      </c>
      <c r="D231" s="416" t="inlineStr">
        <is>
          <t>LD_LOANS_AND_DEPOSITS_HIS</t>
        </is>
      </c>
      <c r="E231" s="416" t="inlineStr">
        <is>
          <t>FIN_MAT_DATE</t>
        </is>
      </c>
      <c r="F231" s="417" t="inlineStr">
        <is>
          <t>1:1</t>
        </is>
      </c>
      <c r="G231" s="417" t="inlineStr">
        <is>
          <t>PG_BRONZE</t>
        </is>
      </c>
      <c r="H231" s="377" t="inlineStr">
        <is>
          <t>T24CORE_LD_LOANS_AND_DEPOSITS_HIS</t>
        </is>
      </c>
      <c r="I231" s="377" t="inlineStr">
        <is>
          <t>FIN_MAT_DATE</t>
        </is>
      </c>
      <c r="J231" s="417" t="inlineStr">
        <is>
          <t>PG_SILVER</t>
        </is>
      </c>
      <c r="K231" s="377" t="inlineStr">
        <is>
          <t>FIN_MAT_DATE</t>
        </is>
      </c>
      <c r="L231" s="417" t="inlineStr">
        <is>
          <t>DATE</t>
        </is>
      </c>
      <c r="M231" s="377" t="inlineStr">
        <is>
          <t>LEFT JOIN PG_BRONZE.T24CORE_LD_LOANS_AND_DEPOSITS_HIS ldh ON SUBSTR(pdmv.RECID, 3, 12) = SUBSTR(ldh.RECID, 1, INSTR(ldh.RECID, ';') - 1)</t>
        </is>
      </c>
      <c r="N231" s="377" t="inlineStr">
        <is>
          <t>TO_DATE(CAST(ldh.FIN_MAT_DATE AS VARCHAR(20)), 'YYYYMMDD')</t>
        </is>
      </c>
      <c r="O231" s="377" t="inlineStr">
        <is>
          <t>Source -&gt; PG_BRONZE (1:1) -&gt; PG_SILVER (Temp 1)</t>
        </is>
      </c>
      <c r="P231" s="357" t="inlineStr">
        <is>
          <t>Ngày đáo hạn (Map từ PG_BRONZE.T24CORE_LD_LOANS_AND_DEPOSITS_HIS.FIN_MAT_DATE -&gt; PG_SILVER.sk_lich_tra_no.FIN_MAT_DATE)</t>
        </is>
      </c>
    </row>
    <row r="232" ht="14.25" customHeight="1" s="335">
      <c r="A232" s="416">
        <f>C232&amp;D232&amp;E232</f>
        <v/>
      </c>
      <c r="B232" s="416" t="inlineStr">
        <is>
          <t>sk_lich_tra_no</t>
        </is>
      </c>
      <c r="C232" s="416" t="inlineStr">
        <is>
          <t>T24CORE</t>
        </is>
      </c>
      <c r="D232" s="416" t="inlineStr">
        <is>
          <t>LD_LOANS_AND_DEPOSITS_HIS</t>
        </is>
      </c>
      <c r="E232" s="416" t="inlineStr">
        <is>
          <t>INT_LIQ_ACCT</t>
        </is>
      </c>
      <c r="F232" s="417" t="inlineStr">
        <is>
          <t>1:1</t>
        </is>
      </c>
      <c r="G232" s="417" t="inlineStr">
        <is>
          <t>PG_BRONZE</t>
        </is>
      </c>
      <c r="H232" s="377" t="inlineStr">
        <is>
          <t>T24CORE_LD_LOANS_AND_DEPOSITS_HIS</t>
        </is>
      </c>
      <c r="I232" s="377" t="inlineStr">
        <is>
          <t>INT_LIQ_ACCT</t>
        </is>
      </c>
      <c r="J232" s="417" t="inlineStr">
        <is>
          <t>PG_SILVER</t>
        </is>
      </c>
      <c r="K232" s="377" t="inlineStr">
        <is>
          <t>INT_LIQ_ACCT</t>
        </is>
      </c>
      <c r="L232" s="417" t="inlineStr">
        <is>
          <t>VARCHAR2(100)</t>
        </is>
      </c>
      <c r="M232" s="377" t="inlineStr">
        <is>
          <t>LEFT JOIN PG_BRONZE.T24CORE_LD_LOANS_AND_DEPOSITS_HIS ldh ON SUBSTR(pdmv.RECID, 3, 12) = SUBSTR(ldh.RECID, 1, INSTR(ldh.RECID, ';') - 1)</t>
        </is>
      </c>
      <c r="N232" s="377" t="inlineStr">
        <is>
          <t>TRIM(ldh.INT_LIQ_ACCT)</t>
        </is>
      </c>
      <c r="O232" s="377" t="inlineStr">
        <is>
          <t>Source -&gt; PG_BRONZE (1:1) -&gt; PG_SILVER (Temp 1)</t>
        </is>
      </c>
      <c r="P232" s="357" t="inlineStr">
        <is>
          <t>Tài khoản thanh toán lãi (Map từ PG_BRONZE.T24CORE_LD_LOANS_AND_DEPOSITS_HIS.INT_LIQ_ACCT -&gt; PG_SILVER.sk_lich_tra_no.INT_LIQ_ACCT)</t>
        </is>
      </c>
    </row>
    <row r="233" ht="14.25" customHeight="1" s="335">
      <c r="A233" s="416">
        <f>C233&amp;D233&amp;E233</f>
        <v/>
      </c>
      <c r="B233" s="416" t="inlineStr">
        <is>
          <t>sk_lich_tra_no</t>
        </is>
      </c>
      <c r="C233" s="416" t="inlineStr">
        <is>
          <t>T24CORE</t>
        </is>
      </c>
      <c r="D233" s="416" t="inlineStr">
        <is>
          <t>LD_LOANS_AND_DEPOSITS_HIS</t>
        </is>
      </c>
      <c r="E233" s="416" t="inlineStr">
        <is>
          <t>INT_RATE_TYPE</t>
        </is>
      </c>
      <c r="F233" s="417" t="inlineStr">
        <is>
          <t>1:1</t>
        </is>
      </c>
      <c r="G233" s="417" t="inlineStr">
        <is>
          <t>PG_BRONZE</t>
        </is>
      </c>
      <c r="H233" s="377" t="inlineStr">
        <is>
          <t>T24CORE_LD_LOANS_AND_DEPOSITS_HIS</t>
        </is>
      </c>
      <c r="I233" s="377" t="inlineStr">
        <is>
          <t>INT_RATE_TYPE</t>
        </is>
      </c>
      <c r="J233" s="417" t="inlineStr">
        <is>
          <t>PG_SILVER</t>
        </is>
      </c>
      <c r="K233" s="377" t="inlineStr">
        <is>
          <t>INT_RATE_TYPE</t>
        </is>
      </c>
      <c r="L233" s="417" t="inlineStr">
        <is>
          <t>VARCHAR2(20)</t>
        </is>
      </c>
      <c r="M233" s="377" t="inlineStr">
        <is>
          <t>LEFT JOIN PG_BRONZE.T24CORE_LD_LOANS_AND_DEPOSITS_HIS ldh ON SUBSTR(pdmv.RECID, 3, 12) = SUBSTR(ldh.RECID, 1, INSTR(ldh.RECID, ';') - 1)</t>
        </is>
      </c>
      <c r="N233" s="377" t="inlineStr">
        <is>
          <t>TRIM(ldh.INT_RATE_TYPE)</t>
        </is>
      </c>
      <c r="O233" s="377" t="inlineStr">
        <is>
          <t>Source -&gt; PG_BRONZE (1:1) -&gt; PG_SILVER (Temp 1)</t>
        </is>
      </c>
      <c r="P233" s="357" t="inlineStr">
        <is>
          <t>Loại lãi suất: cố định, thả nổi (Map từ PG_BRONZE.T24CORE_LD_LOANS_AND_DEPOSITS_HIS.INT_RATE_TYPE -&gt; PG_SILVER.sk_lich_tra_no.INT_RATE_TYPE)</t>
        </is>
      </c>
    </row>
    <row r="234" ht="14.25" customHeight="1" s="335">
      <c r="A234" s="416">
        <f>C234&amp;D234&amp;E234</f>
        <v/>
      </c>
      <c r="B234" s="416" t="inlineStr">
        <is>
          <t>sk_lich_tra_no</t>
        </is>
      </c>
      <c r="C234" s="416" t="inlineStr">
        <is>
          <t>T24CORE</t>
        </is>
      </c>
      <c r="D234" s="416" t="inlineStr">
        <is>
          <t>LD_LOANS_AND_DEPOSITS_HIS</t>
        </is>
      </c>
      <c r="E234" s="416" t="inlineStr">
        <is>
          <t>INT_VALUE_DATE</t>
        </is>
      </c>
      <c r="F234" s="417" t="inlineStr">
        <is>
          <t>1:1</t>
        </is>
      </c>
      <c r="G234" s="417" t="inlineStr">
        <is>
          <t>PG_BRONZE</t>
        </is>
      </c>
      <c r="H234" s="377" t="inlineStr">
        <is>
          <t>T24CORE_LD_LOANS_AND_DEPOSITS_HIS</t>
        </is>
      </c>
      <c r="I234" s="377" t="inlineStr">
        <is>
          <t>INT_VALUE_DATE</t>
        </is>
      </c>
      <c r="J234" s="417" t="inlineStr">
        <is>
          <t>PG_SILVER</t>
        </is>
      </c>
      <c r="K234" s="377" t="inlineStr">
        <is>
          <t>INT_VALUE_DATE</t>
        </is>
      </c>
      <c r="L234" s="417" t="inlineStr">
        <is>
          <t>DATE</t>
        </is>
      </c>
      <c r="M234" s="377" t="inlineStr">
        <is>
          <t>LEFT JOIN PG_BRONZE.T24CORE_LD_LOANS_AND_DEPOSITS_HIS ldh ON SUBSTR(pdmv.RECID, 3, 12) = SUBSTR(ldh.RECID, 1, INSTR(ldh.RECID, ';') - 1)</t>
        </is>
      </c>
      <c r="N234" s="377" t="inlineStr">
        <is>
          <t>TO_DATE(CAST(ldh.INT_VALUE_DATE AS VARCHAR(20)), 'YYYYMMDD')</t>
        </is>
      </c>
      <c r="O234" s="377" t="inlineStr">
        <is>
          <t>Source -&gt; PG_BRONZE (1:1) -&gt; PG_SILVER (Temp 1)</t>
        </is>
      </c>
      <c r="P234" s="357" t="inlineStr">
        <is>
          <t>Ngày thu lãi (Map từ PG_BRONZE.T24CORE_LD_LOANS_AND_DEPOSITS_HIS.INT_VALUE_DATE -&gt; PG_SILVER.sk_lich_tra_no.INT_VALUE_DATE)</t>
        </is>
      </c>
    </row>
    <row r="235" ht="14.25" customHeight="1" s="335">
      <c r="A235" s="416">
        <f>C235&amp;D235&amp;E235</f>
        <v/>
      </c>
      <c r="B235" s="416" t="inlineStr">
        <is>
          <t>sk_lich_tra_no</t>
        </is>
      </c>
      <c r="C235" s="416" t="inlineStr">
        <is>
          <t>T24CORE</t>
        </is>
      </c>
      <c r="D235" s="416" t="inlineStr">
        <is>
          <t>LD_LOANS_AND_DEPOSITS_HIS</t>
        </is>
      </c>
      <c r="E235" s="416" t="inlineStr">
        <is>
          <t>INTEREST_RATE</t>
        </is>
      </c>
      <c r="F235" s="417" t="inlineStr">
        <is>
          <t>1:1</t>
        </is>
      </c>
      <c r="G235" s="417" t="inlineStr">
        <is>
          <t>PG_BRONZE</t>
        </is>
      </c>
      <c r="H235" s="377" t="inlineStr">
        <is>
          <t>T24CORE_LD_LOANS_AND_DEPOSITS_HIS</t>
        </is>
      </c>
      <c r="I235" s="377" t="inlineStr">
        <is>
          <t>INTEREST_RATE</t>
        </is>
      </c>
      <c r="J235" s="417" t="inlineStr">
        <is>
          <t>PG_SILVER</t>
        </is>
      </c>
      <c r="K235" s="377" t="inlineStr">
        <is>
          <t>INTEREST_RATE</t>
        </is>
      </c>
      <c r="L235" s="417" t="inlineStr">
        <is>
          <t>NUMBER(13.7)</t>
        </is>
      </c>
      <c r="M235" s="377" t="inlineStr">
        <is>
          <t>LEFT JOIN PG_BRONZE.T24CORE_LD_LOANS_AND_DEPOSITS_HIS ldh ON SUBSTR(pdmv.RECID, 3, 12) = SUBSTR(ldh.RECID, 1, INSTR(ldh.RECID, ';') - 1)</t>
        </is>
      </c>
      <c r="N235" s="377" t="inlineStr">
        <is>
          <t>COALESCE(CAST(ldh.INTEREST_RATE AS DECIMAL(13,7)), 0)</t>
        </is>
      </c>
      <c r="O235" s="377" t="inlineStr">
        <is>
          <t>Source -&gt; PG_BRONZE (1:1) -&gt; PG_SILVER (Temp 1)</t>
        </is>
      </c>
      <c r="P235" s="357" t="inlineStr">
        <is>
          <t>Giá trị lãi suất (Map từ PG_BRONZE.T24CORE_LD_LOANS_AND_DEPOSITS_HIS.INTEREST_RATE -&gt; PG_SILVER.sk_lich_tra_no.INTEREST_RATE)</t>
        </is>
      </c>
    </row>
    <row r="236" ht="14.25" customHeight="1" s="335">
      <c r="A236" s="416">
        <f>C236&amp;D236&amp;E236</f>
        <v/>
      </c>
      <c r="B236" s="416" t="inlineStr">
        <is>
          <t>sk_lich_tra_no</t>
        </is>
      </c>
      <c r="C236" s="416" t="inlineStr">
        <is>
          <t>T24CORE</t>
        </is>
      </c>
      <c r="D236" s="416" t="inlineStr">
        <is>
          <t>LD_LOANS_AND_DEPOSITS_HIS</t>
        </is>
      </c>
      <c r="E236" s="416" t="inlineStr">
        <is>
          <t>INTEREST_SPREAD</t>
        </is>
      </c>
      <c r="F236" s="417" t="inlineStr">
        <is>
          <t>1:1</t>
        </is>
      </c>
      <c r="G236" s="417" t="inlineStr">
        <is>
          <t>PG_BRONZE</t>
        </is>
      </c>
      <c r="H236" s="377" t="inlineStr">
        <is>
          <t>T24CORE_LD_LOANS_AND_DEPOSITS_HIS</t>
        </is>
      </c>
      <c r="I236" s="377" t="inlineStr">
        <is>
          <t>INTEREST_SPREAD</t>
        </is>
      </c>
      <c r="J236" s="417" t="inlineStr">
        <is>
          <t>PG_SILVER</t>
        </is>
      </c>
      <c r="K236" s="377" t="inlineStr">
        <is>
          <t>INTEREST_SPREAD</t>
        </is>
      </c>
      <c r="L236" s="417" t="inlineStr">
        <is>
          <t>NUMBER(13.7)</t>
        </is>
      </c>
      <c r="M236" s="377" t="inlineStr">
        <is>
          <t>LEFT JOIN PG_BRONZE.T24CORE_LD_LOANS_AND_DEPOSITS_HIS ldh ON SUBSTR(pdmv.RECID, 3, 12) = SUBSTR(ldh.RECID, 1, INSTR(ldh.RECID, ';') - 1)</t>
        </is>
      </c>
      <c r="N236" s="377" t="inlineStr">
        <is>
          <t>COALESCE(CAST(ldh.INTEREST_SPREAD AS DECIMAL(13,7)), 0)</t>
        </is>
      </c>
      <c r="O236" s="377" t="inlineStr">
        <is>
          <t>Source -&gt; PG_BRONZE (1:1) -&gt; PG_SILVER (Temp 1)</t>
        </is>
      </c>
      <c r="P236" s="357" t="inlineStr">
        <is>
          <t>Biên độ lãi suất (Map từ PG_BRONZE.T24CORE_LD_LOANS_AND_DEPOSITS_HIS.INTEREST_SPREAD -&gt; PG_SILVER.sk_lich_tra_no.INTEREST_SPREAD)</t>
        </is>
      </c>
    </row>
    <row r="237" ht="14.25" customHeight="1" s="335">
      <c r="A237" s="416">
        <f>C237&amp;D237&amp;E237</f>
        <v/>
      </c>
      <c r="B237" s="416" t="inlineStr">
        <is>
          <t>sk_lich_tra_no</t>
        </is>
      </c>
      <c r="C237" s="416" t="inlineStr">
        <is>
          <t>T24CORE</t>
        </is>
      </c>
      <c r="D237" s="416" t="inlineStr">
        <is>
          <t>LD_LOANS_AND_DEPOSITS_HIS</t>
        </is>
      </c>
      <c r="E237" s="416" t="inlineStr">
        <is>
          <t>LOC_TERM</t>
        </is>
      </c>
      <c r="F237" s="417" t="inlineStr">
        <is>
          <t>1:1</t>
        </is>
      </c>
      <c r="G237" s="417" t="inlineStr">
        <is>
          <t>PG_BRONZE</t>
        </is>
      </c>
      <c r="H237" s="377" t="inlineStr">
        <is>
          <t>T24CORE_LD_LOANS_AND_DEPOSITS_HIS</t>
        </is>
      </c>
      <c r="I237" s="377" t="inlineStr">
        <is>
          <t>LOC_TERM</t>
        </is>
      </c>
      <c r="J237" s="417" t="inlineStr">
        <is>
          <t>PG_SILVER</t>
        </is>
      </c>
      <c r="K237" s="377" t="inlineStr">
        <is>
          <t>LOC_TERM</t>
        </is>
      </c>
      <c r="L237" s="417" t="inlineStr">
        <is>
          <t>VARCHAR2(100)</t>
        </is>
      </c>
      <c r="M237" s="377" t="inlineStr">
        <is>
          <t>LEFT JOIN PG_BRONZE.T24CORE_LD_LOANS_AND_DEPOSITS_HIS ldh ON SUBSTR(pdmv.RECID, 3, 12) = SUBSTR(ldh.RECID, 1, INSTR(ldh.RECID, ';') - 1)</t>
        </is>
      </c>
      <c r="N237" s="377" t="inlineStr">
        <is>
          <t>TRIM(ldh.LOC_TERM)</t>
        </is>
      </c>
      <c r="O237" s="377" t="inlineStr">
        <is>
          <t>Source -&gt; PG_BRONZE (1:1) -&gt; PG_SILVER (Temp 1)</t>
        </is>
      </c>
      <c r="P237" s="357" t="inlineStr">
        <is>
          <t>Kỳ hạn (Map từ PG_BRONZE.T24CORE_LD_LOANS_AND_DEPOSITS_HIS.LOC_TERM -&gt; PG_SILVER.sk_lich_tra_no.LOC_TERM)</t>
        </is>
      </c>
    </row>
    <row r="238" ht="14.25" customHeight="1" s="335">
      <c r="A238" s="416">
        <f>C238&amp;D238&amp;E238</f>
        <v/>
      </c>
      <c r="B238" s="416" t="inlineStr">
        <is>
          <t>sk_lich_tra_no</t>
        </is>
      </c>
      <c r="C238" s="416" t="inlineStr">
        <is>
          <t>T24CORE</t>
        </is>
      </c>
      <c r="D238" s="416" t="inlineStr">
        <is>
          <t>LD_LOANS_AND_DEPOSITS_HIS</t>
        </is>
      </c>
      <c r="E238" s="416" t="inlineStr">
        <is>
          <t>MB_RM_BANCHEO</t>
        </is>
      </c>
      <c r="F238" s="417" t="inlineStr">
        <is>
          <t>1:1</t>
        </is>
      </c>
      <c r="G238" s="417" t="inlineStr">
        <is>
          <t>PG_BRONZE</t>
        </is>
      </c>
      <c r="H238" s="377" t="inlineStr">
        <is>
          <t>T24CORE_LD_LOANS_AND_DEPOSITS_HIS</t>
        </is>
      </c>
      <c r="I238" s="377" t="inlineStr">
        <is>
          <t>MB_RM_BANCHEO</t>
        </is>
      </c>
      <c r="J238" s="417" t="inlineStr">
        <is>
          <t>PG_SILVER</t>
        </is>
      </c>
      <c r="K238" s="377" t="inlineStr">
        <is>
          <t>LDH_MB_RM_BANCHEO</t>
        </is>
      </c>
      <c r="L238" s="417" t="inlineStr">
        <is>
          <t>VARCHAR2(100)</t>
        </is>
      </c>
      <c r="M238" s="377" t="inlineStr">
        <is>
          <t>LEFT JOIN PG_BRONZE.T24CORE_LD_LOANS_AND_DEPOSITS_HIS ldh ON SUBSTR(pdmv.RECID, 3, 12) = SUBSTR(ldh.RECID, 1, INSTR(ldh.RECID, ';') - 1)</t>
        </is>
      </c>
      <c r="N238" s="377" t="inlineStr">
        <is>
          <t>TRIM(ldh.MB_RM_BANCHEO)</t>
        </is>
      </c>
      <c r="O238" s="377" t="inlineStr">
        <is>
          <t>Source -&gt; PG_BRONZE (1:1) -&gt; PG_SILVER (Temp 1)</t>
        </is>
      </c>
      <c r="P238" s="357" t="inlineStr">
        <is>
          <t>ID nhân viên giới thiệu (Map từ PG_BRONZE.T24CORE_LD_LOANS_AND_DEPOSITS_HIS.MB_RM_BANCHEO -&gt; PG_SILVER.sk_lich_tra_no.LDH_MB_RM_BANCHEO)</t>
        </is>
      </c>
    </row>
    <row r="239" ht="14.25" customHeight="1" s="335">
      <c r="A239" s="416">
        <f>C239&amp;D239&amp;E239</f>
        <v/>
      </c>
      <c r="B239" s="416" t="inlineStr">
        <is>
          <t>sk_lich_tra_no</t>
        </is>
      </c>
      <c r="C239" s="416" t="inlineStr">
        <is>
          <t>T24CORE</t>
        </is>
      </c>
      <c r="D239" s="416" t="inlineStr">
        <is>
          <t>LD_LOANS_AND_DEPOSITS_HIS</t>
        </is>
      </c>
      <c r="E239" s="416" t="inlineStr">
        <is>
          <t>ORIG_VAL_DATE</t>
        </is>
      </c>
      <c r="F239" s="417" t="inlineStr">
        <is>
          <t>1:1</t>
        </is>
      </c>
      <c r="G239" s="417" t="inlineStr">
        <is>
          <t>PG_BRONZE</t>
        </is>
      </c>
      <c r="H239" s="377" t="inlineStr">
        <is>
          <t>T24CORE_LD_LOANS_AND_DEPOSITS_HIS</t>
        </is>
      </c>
      <c r="I239" s="377" t="inlineStr">
        <is>
          <t>ORIG_VAL_DATE</t>
        </is>
      </c>
      <c r="J239" s="417" t="inlineStr">
        <is>
          <t>PG_SILVER</t>
        </is>
      </c>
      <c r="K239" s="377" t="inlineStr">
        <is>
          <t>LDH_ORIG_VAL_DATE</t>
        </is>
      </c>
      <c r="L239" s="417" t="inlineStr">
        <is>
          <t>DATE</t>
        </is>
      </c>
      <c r="M239" s="377" t="inlineStr">
        <is>
          <t>LEFT JOIN PG_BRONZE.T24CORE_LD_LOANS_AND_DEPOSITS_HIS ldh ON SUBSTR(pdmv.RECID, 3, 12) = SUBSTR(ldh.RECID, 1, INSTR(ldh.RECID, ';') - 1)</t>
        </is>
      </c>
      <c r="N239" s="377" t="inlineStr">
        <is>
          <t>TO_DATE(CAST(ldh.ORIG_VAL_DATE AS VARCHAR(20)), 'YYYYMMDD')</t>
        </is>
      </c>
      <c r="O239" s="377" t="inlineStr">
        <is>
          <t>Source -&gt; PG_BRONZE (1:1) -&gt; PG_SILVER (Temp 1)</t>
        </is>
      </c>
      <c r="P239" s="357" t="inlineStr">
        <is>
          <t>Ngày hiệu lực đầu tiên của hợp đồng (Map từ PG_BRONZE.T24CORE_LD_LOANS_AND_DEPOSITS_HIS.ORIG_VAL_DATE -&gt; PG_SILVER.sk_lich_tra_no.LDH_ORIG_VAL_DATE)</t>
        </is>
      </c>
    </row>
    <row r="240" ht="14.25" customHeight="1" s="335">
      <c r="A240" s="416">
        <f>C240&amp;D240&amp;E240</f>
        <v/>
      </c>
      <c r="B240" s="416" t="inlineStr">
        <is>
          <t>sk_lich_tra_no</t>
        </is>
      </c>
      <c r="C240" s="416" t="inlineStr">
        <is>
          <t>T24CORE</t>
        </is>
      </c>
      <c r="D240" s="416" t="inlineStr">
        <is>
          <t>LD_LOANS_AND_DEPOSITS_HIS</t>
        </is>
      </c>
      <c r="E240" s="416" t="inlineStr">
        <is>
          <t>PRIN_LIQ_ACCT</t>
        </is>
      </c>
      <c r="F240" s="417" t="inlineStr">
        <is>
          <t>1:1</t>
        </is>
      </c>
      <c r="G240" s="417" t="inlineStr">
        <is>
          <t>PG_BRONZE</t>
        </is>
      </c>
      <c r="H240" s="377" t="inlineStr">
        <is>
          <t>T24CORE_LD_LOANS_AND_DEPOSITS_HIS</t>
        </is>
      </c>
      <c r="I240" s="377" t="inlineStr">
        <is>
          <t>PRIN_LIQ_ACCT</t>
        </is>
      </c>
      <c r="J240" s="417" t="inlineStr">
        <is>
          <t>PG_SILVER</t>
        </is>
      </c>
      <c r="K240" s="377" t="inlineStr">
        <is>
          <t>LDH_PRIN_LIQ_ACCT</t>
        </is>
      </c>
      <c r="L240" s="417" t="inlineStr">
        <is>
          <t>VARCHAR2(100)</t>
        </is>
      </c>
      <c r="M240" s="377" t="inlineStr">
        <is>
          <t>LEFT JOIN PG_BRONZE.T24CORE_LD_LOANS_AND_DEPOSITS_HIS ldh ON SUBSTR(pdmv.RECID, 3, 12) = SUBSTR(ldh.RECID, 1, INSTR(ldh.RECID, ';') - 1)</t>
        </is>
      </c>
      <c r="N240" s="377" t="inlineStr">
        <is>
          <t>TRIM(ldh.PRIN_LIQ_ACCT)</t>
        </is>
      </c>
      <c r="O240" s="377" t="inlineStr">
        <is>
          <t>Source -&gt; PG_BRONZE (1:1) -&gt; PG_SILVER (Temp 1)</t>
        </is>
      </c>
      <c r="P240" s="357" t="inlineStr">
        <is>
          <t>tài khoản thanh toán gốc (Map từ PG_BRONZE.T24CORE_LD_LOANS_AND_DEPOSITS_HIS.PRIN_LIQ_ACCT -&gt; PG_SILVER.sk_lich_tra_no.LDH_PRIN_LIQ_ACCT)</t>
        </is>
      </c>
    </row>
    <row r="241" ht="14.25" customHeight="1" s="335">
      <c r="A241" s="416">
        <f>C241&amp;D241&amp;E241</f>
        <v/>
      </c>
      <c r="B241" s="416" t="inlineStr">
        <is>
          <t>sk_lich_tra_no</t>
        </is>
      </c>
      <c r="C241" s="416" t="inlineStr">
        <is>
          <t>T24CORE</t>
        </is>
      </c>
      <c r="D241" s="416" t="inlineStr">
        <is>
          <t>LD_LOANS_AND_DEPOSITS_HIS</t>
        </is>
      </c>
      <c r="E241" s="416" t="inlineStr">
        <is>
          <t>REAL_RATE</t>
        </is>
      </c>
      <c r="F241" s="417" t="inlineStr">
        <is>
          <t>1:1</t>
        </is>
      </c>
      <c r="G241" s="417" t="inlineStr">
        <is>
          <t>PG_BRONZE</t>
        </is>
      </c>
      <c r="H241" s="377" t="inlineStr">
        <is>
          <t>T24CORE_LD_LOANS_AND_DEPOSITS_HIS</t>
        </is>
      </c>
      <c r="I241" s="377" t="inlineStr">
        <is>
          <t>REAL_RATE</t>
        </is>
      </c>
      <c r="J241" s="417" t="inlineStr">
        <is>
          <t>PG_SILVER</t>
        </is>
      </c>
      <c r="K241" s="377" t="inlineStr">
        <is>
          <t>LDH_REAL_RATE</t>
        </is>
      </c>
      <c r="L241" s="417" t="inlineStr">
        <is>
          <t>NUMBER(13.7)</t>
        </is>
      </c>
      <c r="M241" s="377" t="inlineStr">
        <is>
          <t>LEFT JOIN PG_BRONZE.T24CORE_LD_LOANS_AND_DEPOSITS_HIS ldh ON SUBSTR(pdmv.RECID, 3, 12) = SUBSTR(ldh.RECID, 1, INSTR(ldh.RECID, ';') - 1)</t>
        </is>
      </c>
      <c r="N241" s="377" t="inlineStr">
        <is>
          <t>COALESCE(CAST(ldh.REAL_RATE AS DECIMAL(13,7)), 0)</t>
        </is>
      </c>
      <c r="O241" s="377" t="inlineStr">
        <is>
          <t>Source -&gt; PG_BRONZE (1:1) -&gt; PG_SILVER (Temp 1)</t>
        </is>
      </c>
      <c r="P241" s="357" t="inlineStr">
        <is>
          <t>Lãi suâất thực tế (Map từ PG_BRONZE.T24CORE_LD_LOANS_AND_DEPOSITS_HIS.REAL_RATE -&gt; PG_SILVER.sk_lich_tra_no.LDH_REAL_RATE)</t>
        </is>
      </c>
    </row>
    <row r="242" ht="14.25" customHeight="1" s="335">
      <c r="A242" s="416">
        <f>C242&amp;D242&amp;E242</f>
        <v/>
      </c>
      <c r="B242" s="416" t="inlineStr">
        <is>
          <t>sk_lich_tra_no</t>
        </is>
      </c>
      <c r="C242" s="416" t="inlineStr">
        <is>
          <t>T24CORE</t>
        </is>
      </c>
      <c r="D242" s="416" t="inlineStr">
        <is>
          <t>LD_LOANS_AND_DEPOSITS_HIS</t>
        </is>
      </c>
      <c r="E242" s="416" t="inlineStr">
        <is>
          <t>RECID</t>
        </is>
      </c>
      <c r="F242" s="417" t="inlineStr">
        <is>
          <t>1:1</t>
        </is>
      </c>
      <c r="G242" s="417" t="inlineStr">
        <is>
          <t>PG_BRONZE</t>
        </is>
      </c>
      <c r="H242" s="377" t="inlineStr">
        <is>
          <t>T24CORE_LD_LOANS_AND_DEPOSITS_HIS</t>
        </is>
      </c>
      <c r="I242" s="377" t="inlineStr">
        <is>
          <t>RECID</t>
        </is>
      </c>
      <c r="J242" s="417" t="inlineStr">
        <is>
          <t>PG_SILVER</t>
        </is>
      </c>
      <c r="K242" s="377" t="inlineStr">
        <is>
          <t>LDH_RECID</t>
        </is>
      </c>
      <c r="L242" s="417" t="inlineStr">
        <is>
          <t>VARCHAR2(100)</t>
        </is>
      </c>
      <c r="M242" s="377" t="inlineStr">
        <is>
          <t>LEFT JOIN PG_BRONZE.T24CORE_LD_LOANS_AND_DEPOSITS_HIS ldh ON SUBSTR(pdmv.RECID, 3, 12) = SUBSTR(ldh.RECID, 1, INSTR(ldh.RECID, ';') - 1)</t>
        </is>
      </c>
      <c r="N242" s="377" t="inlineStr">
        <is>
          <t>TRIM(ldh.RECID)</t>
        </is>
      </c>
      <c r="O242" s="377" t="inlineStr">
        <is>
          <t>Source -&gt; PG_BRONZE (1:1) -&gt; PG_SILVER (Temp 1)</t>
        </is>
      </c>
      <c r="P242" s="357" t="inlineStr">
        <is>
          <t>Mã Hợp đồng (Map từ PG_BRONZE.T24CORE_LD_LOANS_AND_DEPOSITS_HIS.RECID -&gt; PG_SILVER.sk_lich_tra_no.LDH_RECID)</t>
        </is>
      </c>
    </row>
    <row r="243" ht="14.25" customHeight="1" s="335">
      <c r="A243" s="416">
        <f>C243&amp;D243&amp;E243</f>
        <v/>
      </c>
      <c r="B243" s="416" t="inlineStr">
        <is>
          <t>sk_lich_tra_no</t>
        </is>
      </c>
      <c r="C243" s="416" t="inlineStr">
        <is>
          <t>T24CORE</t>
        </is>
      </c>
      <c r="D243" s="416" t="inlineStr">
        <is>
          <t>LD_LOANS_AND_DEPOSITS_HIS</t>
        </is>
      </c>
      <c r="E243" s="416" t="inlineStr">
        <is>
          <t>RECORD_STATUS</t>
        </is>
      </c>
      <c r="F243" s="417" t="inlineStr">
        <is>
          <t>1:1</t>
        </is>
      </c>
      <c r="G243" s="417" t="inlineStr">
        <is>
          <t>PG_BRONZE</t>
        </is>
      </c>
      <c r="H243" s="377" t="inlineStr">
        <is>
          <t>T24CORE_LD_LOANS_AND_DEPOSITS_HIS</t>
        </is>
      </c>
      <c r="I243" s="377" t="inlineStr">
        <is>
          <t>RECORD_STATUS</t>
        </is>
      </c>
      <c r="J243" s="417" t="inlineStr">
        <is>
          <t>PG_SILVER</t>
        </is>
      </c>
      <c r="K243" s="377" t="inlineStr">
        <is>
          <t>LDH_RECORD_STATUS</t>
        </is>
      </c>
      <c r="L243" s="417" t="inlineStr">
        <is>
          <t>VARCHAR2(100)</t>
        </is>
      </c>
      <c r="M243" s="377" t="inlineStr">
        <is>
          <t>LEFT JOIN PG_BRONZE.T24CORE_LD_LOANS_AND_DEPOSITS_HIS ldh ON SUBSTR(pdmv.RECID, 3, 12) = SUBSTR(ldh.RECID, 1, INSTR(ldh.RECID, ';') - 1)</t>
        </is>
      </c>
      <c r="N243" s="377" t="inlineStr">
        <is>
          <t>TRIM(ldh.RECORD_STATUS)</t>
        </is>
      </c>
      <c r="O243" s="377" t="inlineStr">
        <is>
          <t>Source -&gt; PG_BRONZE (1:1) -&gt; PG_SILVER (Temp 1)</t>
        </is>
      </c>
      <c r="P243" s="357" t="inlineStr">
        <is>
          <t>Trạng thái bản ghi (Map từ PG_BRONZE.T24CORE_LD_LOANS_AND_DEPOSITS_HIS.RECORD_STATUS -&gt; PG_SILVER.sk_lich_tra_no.LDH_RECORD_STATUS)</t>
        </is>
      </c>
    </row>
    <row r="244" ht="14.25" customHeight="1" s="335">
      <c r="A244" s="416">
        <f>C244&amp;D244&amp;E244</f>
        <v/>
      </c>
      <c r="B244" s="416" t="inlineStr">
        <is>
          <t>sk_lich_tra_no</t>
        </is>
      </c>
      <c r="C244" s="416" t="inlineStr">
        <is>
          <t>T24CORE</t>
        </is>
      </c>
      <c r="D244" s="416" t="inlineStr">
        <is>
          <t>LD_LOANS_AND_DEPOSITS_HIS</t>
        </is>
      </c>
      <c r="E244" s="416" t="inlineStr">
        <is>
          <t>USE_OF_LOAN</t>
        </is>
      </c>
      <c r="F244" s="417" t="inlineStr">
        <is>
          <t>1:1</t>
        </is>
      </c>
      <c r="G244" s="417" t="inlineStr">
        <is>
          <t>PG_BRONZE</t>
        </is>
      </c>
      <c r="H244" s="377" t="inlineStr">
        <is>
          <t>T24CORE_LD_LOANS_AND_DEPOSITS_HIS</t>
        </is>
      </c>
      <c r="I244" s="377" t="inlineStr">
        <is>
          <t>USE_OF_LOAN</t>
        </is>
      </c>
      <c r="J244" s="417" t="inlineStr">
        <is>
          <t>PG_SILVER</t>
        </is>
      </c>
      <c r="K244" s="377" t="inlineStr">
        <is>
          <t>LDH_USE_OF_LOAN</t>
        </is>
      </c>
      <c r="L244" s="417" t="inlineStr">
        <is>
          <t>VARCHAR2(100)</t>
        </is>
      </c>
      <c r="M244" s="377" t="inlineStr">
        <is>
          <t>LEFT JOIN PG_BRONZE.T24CORE_LD_LOANS_AND_DEPOSITS_HIS ldh ON SUBSTR(pdmv.RECID, 3, 12) = SUBSTR(ldh.RECID, 1, INSTR(ldh.RECID, ';') - 1)</t>
        </is>
      </c>
      <c r="N244" s="377" t="inlineStr">
        <is>
          <t>TRIM(ldh.USE_OF_LOAN)</t>
        </is>
      </c>
      <c r="O244" s="377" t="inlineStr">
        <is>
          <t>Source -&gt; PG_BRONZE (1:1) -&gt; PG_SILVER (Temp 1)</t>
        </is>
      </c>
      <c r="P244" s="357" t="inlineStr">
        <is>
          <t>Mã Mục đích vay (Map từ PG_BRONZE.T24CORE_LD_LOANS_AND_DEPOSITS_HIS.USE_OF_LOAN -&gt; PG_SILVER.sk_lich_tra_no.LDH_USE_OF_LOAN)</t>
        </is>
      </c>
    </row>
    <row r="245" ht="14.25" customHeight="1" s="335">
      <c r="A245" s="416">
        <f>C245&amp;D245&amp;E245</f>
        <v/>
      </c>
      <c r="B245" s="416" t="inlineStr">
        <is>
          <t>sk_lich_tra_no</t>
        </is>
      </c>
      <c r="C245" s="416" t="inlineStr">
        <is>
          <t>T24CORE</t>
        </is>
      </c>
      <c r="D245" s="416" t="inlineStr">
        <is>
          <t>LD_LOANS_AND_DEPOSITS_HIS</t>
        </is>
      </c>
      <c r="E245" s="416" t="inlineStr">
        <is>
          <t>USE_OF_LOAN_CHA</t>
        </is>
      </c>
      <c r="F245" s="417" t="inlineStr">
        <is>
          <t>1:1</t>
        </is>
      </c>
      <c r="G245" s="417" t="inlineStr">
        <is>
          <t>PG_BRONZE</t>
        </is>
      </c>
      <c r="H245" s="377" t="inlineStr">
        <is>
          <t>T24CORE_LD_LOANS_AND_DEPOSITS_HIS</t>
        </is>
      </c>
      <c r="I245" s="377" t="inlineStr">
        <is>
          <t>USE_OF_LOAN_CHA</t>
        </is>
      </c>
      <c r="J245" s="417" t="inlineStr">
        <is>
          <t>PG_SILVER</t>
        </is>
      </c>
      <c r="K245" s="377" t="inlineStr">
        <is>
          <t>LDH_USE_OF_LOAN_CHA</t>
        </is>
      </c>
      <c r="L245" s="417" t="inlineStr">
        <is>
          <t>VARCHAR2(100)</t>
        </is>
      </c>
      <c r="M245" s="377" t="inlineStr">
        <is>
          <t>LEFT JOIN PG_BRONZE.T24CORE_LD_LOANS_AND_DEPOSITS_HIS ldh ON SUBSTR(pdmv.RECID, 3, 12) = SUBSTR(ldh.RECID, 1, INSTR(ldh.RECID, ';') - 1)</t>
        </is>
      </c>
      <c r="N245" s="377" t="inlineStr">
        <is>
          <t>TRIM(ldh.USE_OF_LOAN_CHA)</t>
        </is>
      </c>
      <c r="O245" s="377" t="inlineStr">
        <is>
          <t>Source -&gt; PG_BRONZE (1:1) -&gt; PG_SILVER (Temp 1)</t>
        </is>
      </c>
      <c r="P245" s="357" t="inlineStr">
        <is>
          <t>Mã nhóm mục đích vay (Map từ PG_BRONZE.T24CORE_LD_LOANS_AND_DEPOSITS_HIS.USE_OF_LOAN_CHA -&gt; PG_SILVER.sk_lich_tra_no.LDH_USE_OF_LOAN_CHA)</t>
        </is>
      </c>
    </row>
    <row r="246" ht="14.25" customHeight="1" s="335">
      <c r="A246" s="416">
        <f>C246&amp;D246&amp;E246</f>
        <v/>
      </c>
      <c r="B246" s="416" t="inlineStr">
        <is>
          <t>sk_lich_tra_no</t>
        </is>
      </c>
      <c r="C246" s="416" t="inlineStr">
        <is>
          <t>T24CORE</t>
        </is>
      </c>
      <c r="D246" s="416" t="inlineStr">
        <is>
          <t>LD_LOANS_AND_DEPOSITS_HIS</t>
        </is>
      </c>
      <c r="E246" s="416" t="inlineStr">
        <is>
          <t>VALUE_DATE</t>
        </is>
      </c>
      <c r="F246" s="417" t="inlineStr">
        <is>
          <t>1:1</t>
        </is>
      </c>
      <c r="G246" s="417" t="inlineStr">
        <is>
          <t>PG_BRONZE</t>
        </is>
      </c>
      <c r="H246" s="377" t="inlineStr">
        <is>
          <t>T24CORE_LD_LOANS_AND_DEPOSITS_HIS</t>
        </is>
      </c>
      <c r="I246" s="377" t="inlineStr">
        <is>
          <t>VALUE_DATE</t>
        </is>
      </c>
      <c r="J246" s="417" t="inlineStr">
        <is>
          <t>PG_SILVER</t>
        </is>
      </c>
      <c r="K246" s="377" t="inlineStr">
        <is>
          <t>LDH_VALUE_DATE</t>
        </is>
      </c>
      <c r="L246" s="417" t="inlineStr">
        <is>
          <t>DATE</t>
        </is>
      </c>
      <c r="M246" s="377" t="inlineStr">
        <is>
          <t>LEFT JOIN PG_BRONZE.T24CORE_LD_LOANS_AND_DEPOSITS_HIS ldh ON SUBSTR(pdmv.RECID, 3, 12) = SUBSTR(ldh.RECID, 1, INSTR(ldh.RECID, ';') - 1)</t>
        </is>
      </c>
      <c r="N246" s="377" t="inlineStr">
        <is>
          <t>TO_DATE(CAST(ldh.VALUE_DATE AS VARCHAR(20)), 'YYYYMMDD')</t>
        </is>
      </c>
      <c r="O246" s="377" t="inlineStr">
        <is>
          <t>Source -&gt; PG_BRONZE (1:1) -&gt; PG_SILVER (Temp 1)</t>
        </is>
      </c>
      <c r="P246" s="357" t="inlineStr">
        <is>
          <t>Ngày hiệu lực hợp đồng (Map từ PG_BRONZE.T24CORE_LD_LOANS_AND_DEPOSITS_HIS.VALUE_DATE -&gt; PG_SILVER.sk_lich_tra_no.LDH_VALUE_DATE)</t>
        </is>
      </c>
    </row>
    <row r="247" ht="14.25" customHeight="1" s="335">
      <c r="A247" s="416">
        <f>C247&amp;D247&amp;E247</f>
        <v/>
      </c>
      <c r="B247" s="416" t="inlineStr">
        <is>
          <t>sk_lich_tra_no</t>
        </is>
      </c>
      <c r="C247" s="416" t="inlineStr">
        <is>
          <t>T24CORE</t>
        </is>
      </c>
      <c r="D247" s="416" t="inlineStr">
        <is>
          <t>LD_SCHEDULE_DEFINE_MV</t>
        </is>
      </c>
      <c r="E247" s="416" t="inlineStr">
        <is>
          <t>CONTRACT_ID</t>
        </is>
      </c>
      <c r="F247" s="417" t="inlineStr">
        <is>
          <t>1:1</t>
        </is>
      </c>
      <c r="G247" s="417" t="inlineStr">
        <is>
          <t>PG_BRONZE</t>
        </is>
      </c>
      <c r="H247" s="377" t="inlineStr">
        <is>
          <t>T24CORE_LD_SCHEDULE_DEFINE_MV</t>
        </is>
      </c>
      <c r="I247" s="377" t="inlineStr">
        <is>
          <t>CONTRACT_ID</t>
        </is>
      </c>
      <c r="J247" s="417" t="inlineStr">
        <is>
          <t>PG_SILVER</t>
        </is>
      </c>
      <c r="K247" s="377" t="inlineStr">
        <is>
          <t>CONTRACT_ID</t>
        </is>
      </c>
      <c r="L247" s="417" t="inlineStr">
        <is>
          <t>VARCHAR2(100)</t>
        </is>
      </c>
      <c r="M247" s="377" t="inlineStr">
        <is>
          <t>LEFT JOIN PG_BRONZE.T24CORE_LD_SCHEDULE_DEFINE_MV sch ON SUBSTR(pdmv.RECID, 3) = sch.CONTRACT_ID</t>
        </is>
      </c>
      <c r="N247" s="377" t="inlineStr">
        <is>
          <t>TRIM(sch.CONTRACT_ID)</t>
        </is>
      </c>
      <c r="O247" s="377" t="inlineStr">
        <is>
          <t>Source -&gt; PG_BRONZE (1:1) -&gt; PG_SILVER (Temp 1)</t>
        </is>
      </c>
      <c r="P247" s="357" t="inlineStr">
        <is>
          <t>Mã Hợp đồng (Map từ PG_BRONZE.T24CORE_LD_SCHEDULE_DEFINE_MV.CONTRACT_ID -&gt; PG_SILVER.sk_lich_tra_no.CONTRACT_ID)</t>
        </is>
      </c>
    </row>
    <row r="248" ht="14.25" customHeight="1" s="335">
      <c r="A248" s="416">
        <f>C248&amp;D248&amp;E248</f>
        <v/>
      </c>
      <c r="B248" s="416" t="inlineStr">
        <is>
          <t>sk_lich_tra_no</t>
        </is>
      </c>
      <c r="C248" s="416" t="inlineStr">
        <is>
          <t>T24CORE</t>
        </is>
      </c>
      <c r="D248" s="416" t="inlineStr">
        <is>
          <t>LD_SCHEDULE_DEFINE_MV</t>
        </is>
      </c>
      <c r="E248" s="416" t="inlineStr">
        <is>
          <t>PREV_SCHED_DATE</t>
        </is>
      </c>
      <c r="F248" s="417" t="inlineStr">
        <is>
          <t>1:1</t>
        </is>
      </c>
      <c r="G248" s="417" t="inlineStr">
        <is>
          <t>PG_BRONZE</t>
        </is>
      </c>
      <c r="H248" s="377" t="inlineStr">
        <is>
          <t>T24CORE_LD_SCHEDULE_DEFINE_MV</t>
        </is>
      </c>
      <c r="I248" s="377" t="inlineStr">
        <is>
          <t>PREV_SCHED_DATE</t>
        </is>
      </c>
      <c r="J248" s="417" t="inlineStr">
        <is>
          <t>PG_SILVER</t>
        </is>
      </c>
      <c r="K248" s="377" t="inlineStr">
        <is>
          <t>PREV_SCHED_DATE</t>
        </is>
      </c>
      <c r="L248" s="417" t="inlineStr">
        <is>
          <t>DATE</t>
        </is>
      </c>
      <c r="M248" s="377" t="inlineStr">
        <is>
          <t>LEFT JOIN PG_BRONZE.T24CORE_LD_SCHEDULE_DEFINE_MV sch ON SUBSTR(pdmv.RECID, 3) = sch.CONTRACT_ID</t>
        </is>
      </c>
      <c r="N248" s="377" t="inlineStr">
        <is>
          <t>TO_DATE(CAST(sch.PREV_SCHED_DATE AS VARCHAR(20)), 'YYYYMMDD')</t>
        </is>
      </c>
      <c r="O248" s="377" t="inlineStr">
        <is>
          <t>Source -&gt; PG_BRONZE (1:1) -&gt; PG_SILVER (Temp 1)</t>
        </is>
      </c>
      <c r="P248" s="357" t="inlineStr">
        <is>
          <t>Ngày thanh toán gần nhất (Map từ PG_BRONZE.T24CORE_LD_SCHEDULE_DEFINE_MV.PREV_SCHED_DATE -&gt; PG_SILVER.sk_lich_tra_no.PREV_SCHED_DATE)</t>
        </is>
      </c>
    </row>
    <row r="249" ht="14.25" customHeight="1" s="335">
      <c r="A249" s="416">
        <f>C249&amp;D249&amp;E249</f>
        <v/>
      </c>
      <c r="B249" s="416" t="inlineStr">
        <is>
          <t>sk_lich_tra_no</t>
        </is>
      </c>
      <c r="C249" s="416" t="inlineStr">
        <is>
          <t>T24CORE</t>
        </is>
      </c>
      <c r="D249" s="416" t="inlineStr">
        <is>
          <t>MB_MG_SAVING_MULTI</t>
        </is>
      </c>
      <c r="E249" s="416" t="inlineStr">
        <is>
          <t>LD_ID</t>
        </is>
      </c>
      <c r="F249" s="417" t="inlineStr">
        <is>
          <t>1:1</t>
        </is>
      </c>
      <c r="G249" s="417" t="inlineStr">
        <is>
          <t>PG_BRONZE</t>
        </is>
      </c>
      <c r="H249" s="377" t="inlineStr">
        <is>
          <t>T24CORE_MB_MG_SAVING_MULTI</t>
        </is>
      </c>
      <c r="I249" s="377" t="inlineStr">
        <is>
          <t>LD_ID</t>
        </is>
      </c>
      <c r="J249" s="417" t="inlineStr">
        <is>
          <t>PG_SILVER</t>
        </is>
      </c>
      <c r="K249" s="377" t="inlineStr">
        <is>
          <t>LD_ID</t>
        </is>
      </c>
      <c r="L249" s="417" t="inlineStr">
        <is>
          <t>VARCHAR2(100)</t>
        </is>
      </c>
      <c r="M249" s="377" t="inlineStr">
        <is>
          <t>LEFT JOIN PG_BRONZE.T24CORE_MB_MG_SAVING_MULTI mg ON ld.RECID = mg.LD_ID</t>
        </is>
      </c>
      <c r="N249" s="377" t="inlineStr">
        <is>
          <t>TRIM(mg.LD_ID)</t>
        </is>
      </c>
      <c r="O249" s="377" t="inlineStr">
        <is>
          <t>Source -&gt; PG_BRONZE (1:1) -&gt; PG_SILVER (Temp 1)</t>
        </is>
      </c>
      <c r="P249" s="357" t="inlineStr">
        <is>
          <t>Mã Hợp đồng (Map từ PG_BRONZE.T24CORE_MB_MG_SAVING_MULTI.LD_ID -&gt; PG_SILVER.sk_lich_tra_no.LD_ID)</t>
        </is>
      </c>
    </row>
    <row r="250" ht="14.25" customHeight="1" s="335">
      <c r="A250" s="416">
        <f>C250&amp;D250&amp;E250</f>
        <v/>
      </c>
      <c r="B250" s="416" t="inlineStr">
        <is>
          <t>sk_lich_tra_no</t>
        </is>
      </c>
      <c r="C250" s="416" t="inlineStr">
        <is>
          <t>T24CORE</t>
        </is>
      </c>
      <c r="D250" s="416" t="inlineStr">
        <is>
          <t>MB_MG_SAVING_MULTI</t>
        </is>
      </c>
      <c r="E250" s="416" t="inlineStr">
        <is>
          <t>PRODUCTGR_CODE</t>
        </is>
      </c>
      <c r="F250" s="417" t="inlineStr">
        <is>
          <t>1:1</t>
        </is>
      </c>
      <c r="G250" s="417" t="inlineStr">
        <is>
          <t>PG_BRONZE</t>
        </is>
      </c>
      <c r="H250" s="377" t="inlineStr">
        <is>
          <t>T24CORE_MB_MG_SAVING_MULTI</t>
        </is>
      </c>
      <c r="I250" s="377" t="inlineStr">
        <is>
          <t>PRODUCTGR_CODE</t>
        </is>
      </c>
      <c r="J250" s="417" t="inlineStr">
        <is>
          <t>PG_SILVER</t>
        </is>
      </c>
      <c r="K250" s="377" t="inlineStr">
        <is>
          <t>MG_PRODUCTGR_CODE</t>
        </is>
      </c>
      <c r="L250" s="417" t="inlineStr">
        <is>
          <t>VARCHAR2(100)</t>
        </is>
      </c>
      <c r="M250" s="377" t="inlineStr">
        <is>
          <t>LEFT JOIN PG_BRONZE.T24CORE_MB_MG_SAVING_MULTI mg ON ld.RECID = mg.LD_ID</t>
        </is>
      </c>
      <c r="N250" s="377" t="inlineStr">
        <is>
          <t>TRIM(mg.PRODUCTGR_CODE)</t>
        </is>
      </c>
      <c r="O250" s="377" t="inlineStr">
        <is>
          <t>Source -&gt; PG_BRONZE (1:1) -&gt; PG_SILVER (Temp 1)</t>
        </is>
      </c>
      <c r="P250" s="357" t="inlineStr">
        <is>
          <t>Mã sản phẩm (Map từ PG_BRONZE.T24CORE_MB_MG_SAVING_MULTI.PRODUCTGR_CODE -&gt; PG_SILVER.sk_lich_tra_no.MG_PRODUCTGR_CODE)</t>
        </is>
      </c>
    </row>
    <row r="251" ht="14.25" customHeight="1" s="335">
      <c r="A251" s="416">
        <f>C251&amp;D251&amp;E251</f>
        <v/>
      </c>
      <c r="B251" s="416" t="inlineStr">
        <is>
          <t>sk_lich_tra_no</t>
        </is>
      </c>
      <c r="C251" s="416" t="inlineStr">
        <is>
          <t>T24CORE</t>
        </is>
      </c>
      <c r="D251" s="416" t="inlineStr">
        <is>
          <t>PD_PAYMENT_DUE</t>
        </is>
      </c>
      <c r="E251" s="416" t="inlineStr">
        <is>
          <t>AUTHORISER</t>
        </is>
      </c>
      <c r="F251" s="417" t="inlineStr">
        <is>
          <t>1:1</t>
        </is>
      </c>
      <c r="G251" s="417" t="inlineStr">
        <is>
          <t>PG_BRONZE</t>
        </is>
      </c>
      <c r="H251" s="377" t="inlineStr">
        <is>
          <t>T24CORE_PD_PAYMENT_DUE</t>
        </is>
      </c>
      <c r="I251" s="377" t="inlineStr">
        <is>
          <t>AUTHORISER</t>
        </is>
      </c>
      <c r="J251" s="417" t="inlineStr">
        <is>
          <t>PG_SILVER</t>
        </is>
      </c>
      <c r="K251" s="377" t="inlineStr">
        <is>
          <t>AUTHORISER</t>
        </is>
      </c>
      <c r="L251" s="417" t="inlineStr">
        <is>
          <t>VARCHAR2(100)</t>
        </is>
      </c>
      <c r="M251" s="377" t="inlineStr">
        <is>
          <t>LEFT JOIN PG_BRONZE.T24CORE_PD_PAYMENT_DUE pd ON pdmv.RECID = pd.RECID</t>
        </is>
      </c>
      <c r="N251" s="377" t="inlineStr">
        <is>
          <t>TRIM(pd.AUTHORISER)</t>
        </is>
      </c>
      <c r="O251" s="377" t="inlineStr">
        <is>
          <t>Source -&gt; PG_BRONZE (1:1) -&gt; PG_SILVER (Temp 1)</t>
        </is>
      </c>
      <c r="P251" s="357" t="inlineStr">
        <is>
          <t>ID người phê duyệt (Map từ PG_BRONZE.T24CORE_PD_PAYMENT_DUE.AUTHORISER -&gt; PG_SILVER.sk_lich_tra_no.AUTHORISER)</t>
        </is>
      </c>
    </row>
    <row r="252" ht="14.25" customHeight="1" s="335">
      <c r="A252" s="416">
        <f>C252&amp;D252&amp;E252</f>
        <v/>
      </c>
      <c r="B252" s="416" t="inlineStr">
        <is>
          <t>sk_lich_tra_no</t>
        </is>
      </c>
      <c r="C252" s="416" t="inlineStr">
        <is>
          <t>T24CORE</t>
        </is>
      </c>
      <c r="D252" s="416" t="inlineStr">
        <is>
          <t>PD_PAYMENT_DUE</t>
        </is>
      </c>
      <c r="E252" s="416" t="inlineStr">
        <is>
          <t>CREDIT_STATUS</t>
        </is>
      </c>
      <c r="F252" s="417" t="inlineStr">
        <is>
          <t>1:1</t>
        </is>
      </c>
      <c r="G252" s="417" t="inlineStr">
        <is>
          <t>PG_BRONZE</t>
        </is>
      </c>
      <c r="H252" s="377" t="inlineStr">
        <is>
          <t>T24CORE_PD_PAYMENT_DUE</t>
        </is>
      </c>
      <c r="I252" s="377" t="inlineStr">
        <is>
          <t>CREDIT_STATUS</t>
        </is>
      </c>
      <c r="J252" s="417" t="inlineStr">
        <is>
          <t>PG_SILVER</t>
        </is>
      </c>
      <c r="K252" s="377" t="inlineStr">
        <is>
          <t>PD_CREDIT_STATUS</t>
        </is>
      </c>
      <c r="L252" s="417" t="inlineStr">
        <is>
          <t>VARCHAR2(100)</t>
        </is>
      </c>
      <c r="M252" s="377" t="inlineStr">
        <is>
          <t>LEFT JOIN PG_BRONZE.T24CORE_PD_PAYMENT_DUE pd ON pdmv.RECID = pd.RECID</t>
        </is>
      </c>
      <c r="N252" s="377" t="inlineStr">
        <is>
          <t>TRIM(pd.CREDIT_STATUS)</t>
        </is>
      </c>
      <c r="O252" s="377" t="inlineStr">
        <is>
          <t>Source -&gt; PG_BRONZE (1:1) -&gt; PG_SILVER (Temp 1)</t>
        </is>
      </c>
      <c r="P252" s="357" t="inlineStr">
        <is>
          <t>Tình trạng tín dụng (Map từ PG_BRONZE.T24CORE_PD_PAYMENT_DUE.CREDIT_STATUS -&gt; PG_SILVER.sk_lich_tra_no.PD_CREDIT_STATUS)</t>
        </is>
      </c>
    </row>
    <row r="253" ht="14.25" customHeight="1" s="335">
      <c r="A253" s="416">
        <f>C253&amp;D253&amp;E253</f>
        <v/>
      </c>
      <c r="B253" s="416" t="inlineStr">
        <is>
          <t>sk_lich_tra_no</t>
        </is>
      </c>
      <c r="C253" s="416" t="inlineStr">
        <is>
          <t>T24CORE</t>
        </is>
      </c>
      <c r="D253" s="416" t="inlineStr">
        <is>
          <t>PD_PAYMENT_DUE</t>
        </is>
      </c>
      <c r="E253" s="416" t="inlineStr">
        <is>
          <t>CURR_NO</t>
        </is>
      </c>
      <c r="F253" s="417" t="inlineStr">
        <is>
          <t>1:1</t>
        </is>
      </c>
      <c r="G253" s="417" t="inlineStr">
        <is>
          <t>PG_BRONZE</t>
        </is>
      </c>
      <c r="H253" s="377" t="inlineStr">
        <is>
          <t>T24CORE_PD_PAYMENT_DUE</t>
        </is>
      </c>
      <c r="I253" s="377" t="inlineStr">
        <is>
          <t>CURR_NO</t>
        </is>
      </c>
      <c r="J253" s="417" t="inlineStr">
        <is>
          <t>PG_SILVER</t>
        </is>
      </c>
      <c r="K253" s="377" t="inlineStr">
        <is>
          <t>PD_CURR_NO</t>
        </is>
      </c>
      <c r="L253" s="417" t="inlineStr">
        <is>
          <t>NUMBER(10)</t>
        </is>
      </c>
      <c r="M253" s="377" t="inlineStr">
        <is>
          <t>LEFT JOIN PG_BRONZE.T24CORE_PD_PAYMENT_DUE pd ON pdmv.RECID = pd.RECID</t>
        </is>
      </c>
      <c r="N253" s="377" t="inlineStr">
        <is>
          <t>COALESCE(CAST(pd.CURR_NO AS DECIMAL(10)), 0)</t>
        </is>
      </c>
      <c r="O253" s="377" t="inlineStr">
        <is>
          <t>Source -&gt; PG_BRONZE (1:1) -&gt; PG_SILVER (Temp 1)</t>
        </is>
      </c>
      <c r="P253" s="357" t="inlineStr">
        <is>
          <t>Version hiện tại của bản ghi (Map từ PG_BRONZE.T24CORE_PD_PAYMENT_DUE.CURR_NO -&gt; PG_SILVER.sk_lich_tra_no.PD_CURR_NO)</t>
        </is>
      </c>
    </row>
    <row r="254" ht="14.25" customHeight="1" s="335">
      <c r="A254" s="416">
        <f>C254&amp;D254&amp;E254</f>
        <v/>
      </c>
      <c r="B254" s="416" t="inlineStr">
        <is>
          <t>sk_lich_tra_no</t>
        </is>
      </c>
      <c r="C254" s="416" t="inlineStr">
        <is>
          <t>T24CORE</t>
        </is>
      </c>
      <c r="D254" s="416" t="inlineStr">
        <is>
          <t>PD_PAYMENT_DUE</t>
        </is>
      </c>
      <c r="E254" s="416" t="inlineStr">
        <is>
          <t>CUSTOMER</t>
        </is>
      </c>
      <c r="F254" s="417" t="inlineStr">
        <is>
          <t>1:1</t>
        </is>
      </c>
      <c r="G254" s="417" t="inlineStr">
        <is>
          <t>PG_BRONZE</t>
        </is>
      </c>
      <c r="H254" s="377" t="inlineStr">
        <is>
          <t>T24CORE_PD_PAYMENT_DUE</t>
        </is>
      </c>
      <c r="I254" s="377" t="inlineStr">
        <is>
          <t>CUSTOMER</t>
        </is>
      </c>
      <c r="J254" s="417" t="inlineStr">
        <is>
          <t>PG_SILVER</t>
        </is>
      </c>
      <c r="K254" s="377" t="inlineStr">
        <is>
          <t>PD_CUSTOMER</t>
        </is>
      </c>
      <c r="L254" s="417" t="inlineStr">
        <is>
          <t>VARCHAR2(100)</t>
        </is>
      </c>
      <c r="M254" s="377" t="inlineStr">
        <is>
          <t>LEFT JOIN PG_BRONZE.T24CORE_PD_PAYMENT_DUE pd ON pdmv.RECID = pd.RECID</t>
        </is>
      </c>
      <c r="N254" s="377" t="inlineStr">
        <is>
          <t>TRIM(pd.CUSTOMER)</t>
        </is>
      </c>
      <c r="O254" s="377" t="inlineStr">
        <is>
          <t>Source -&gt; PG_BRONZE (1:1) -&gt; PG_SILVER (Temp 1)</t>
        </is>
      </c>
      <c r="P254" s="357" t="inlineStr">
        <is>
          <t>Mã Khách hàng (Map từ PG_BRONZE.T24CORE_PD_PAYMENT_DUE.CUSTOMER -&gt; PG_SILVER.sk_lich_tra_no.PD_CUSTOMER)</t>
        </is>
      </c>
    </row>
    <row r="255" ht="14.25" customHeight="1" s="335">
      <c r="A255" s="416">
        <f>C255&amp;D255&amp;E255</f>
        <v/>
      </c>
      <c r="B255" s="416" t="inlineStr">
        <is>
          <t>sk_lich_tra_no</t>
        </is>
      </c>
      <c r="C255" s="416" t="inlineStr">
        <is>
          <t>T24CORE</t>
        </is>
      </c>
      <c r="D255" s="416" t="inlineStr">
        <is>
          <t>PD_PAYMENT_DUE</t>
        </is>
      </c>
      <c r="E255" s="416" t="inlineStr">
        <is>
          <t>FLAG_STATUS</t>
        </is>
      </c>
      <c r="F255" s="417" t="inlineStr">
        <is>
          <t>1:1</t>
        </is>
      </c>
      <c r="G255" s="417" t="inlineStr">
        <is>
          <t>PG_BRONZE</t>
        </is>
      </c>
      <c r="H255" s="377" t="inlineStr">
        <is>
          <t>T24CORE_PD_PAYMENT_DUE</t>
        </is>
      </c>
      <c r="I255" s="377" t="inlineStr">
        <is>
          <t>FLAG_STATUS</t>
        </is>
      </c>
      <c r="J255" s="417" t="inlineStr">
        <is>
          <t>PG_SILVER</t>
        </is>
      </c>
      <c r="K255" s="377" t="inlineStr">
        <is>
          <t>PD_FLAG_STATUS</t>
        </is>
      </c>
      <c r="L255" s="417" t="inlineStr">
        <is>
          <t>VARCHAR2(100)</t>
        </is>
      </c>
      <c r="M255" s="377" t="inlineStr">
        <is>
          <t>LEFT JOIN PG_BRONZE.T24CORE_PD_PAYMENT_DUE pd ON pdmv.RECID = pd.RECID</t>
        </is>
      </c>
      <c r="N255" s="377" t="inlineStr">
        <is>
          <t>TRIM(pd.FLAG_STATUS)</t>
        </is>
      </c>
      <c r="O255" s="377" t="inlineStr">
        <is>
          <t>Source -&gt; PG_BRONZE (1:1) -&gt; PG_SILVER (Temp 1)</t>
        </is>
      </c>
      <c r="P255" s="357" t="inlineStr">
        <is>
          <t>Trường FLAG_STATUS của bảng nguồn T24CORE.PD_PAYMENT_DUE (Map từ PG_BRONZE.T24CORE_PD_PAYMENT_DUE.FLAG_STATUS -&gt; PG_SILVER.sk_lich_tra_no.PD_FLAG_STATUS)</t>
        </is>
      </c>
    </row>
    <row r="256" ht="14.25" customHeight="1" s="335">
      <c r="A256" s="416">
        <f>C256&amp;D256&amp;E256</f>
        <v/>
      </c>
      <c r="B256" s="416" t="inlineStr">
        <is>
          <t>sk_lich_tra_no</t>
        </is>
      </c>
      <c r="C256" s="416" t="inlineStr">
        <is>
          <t>T24CORE</t>
        </is>
      </c>
      <c r="D256" s="416" t="inlineStr">
        <is>
          <t>PD_PAYMENT_DUE</t>
        </is>
      </c>
      <c r="E256" s="416" t="inlineStr">
        <is>
          <t>INPUTTER</t>
        </is>
      </c>
      <c r="F256" s="417" t="inlineStr">
        <is>
          <t>1:1</t>
        </is>
      </c>
      <c r="G256" s="417" t="inlineStr">
        <is>
          <t>PG_BRONZE</t>
        </is>
      </c>
      <c r="H256" s="377" t="inlineStr">
        <is>
          <t>T24CORE_PD_PAYMENT_DUE</t>
        </is>
      </c>
      <c r="I256" s="377" t="inlineStr">
        <is>
          <t>INPUTTER</t>
        </is>
      </c>
      <c r="J256" s="417" t="inlineStr">
        <is>
          <t>PG_SILVER</t>
        </is>
      </c>
      <c r="K256" s="377" t="inlineStr">
        <is>
          <t>INPUTTER</t>
        </is>
      </c>
      <c r="L256" s="417" t="inlineStr">
        <is>
          <t>VARCHAR2(100)</t>
        </is>
      </c>
      <c r="M256" s="377" t="inlineStr">
        <is>
          <t>LEFT JOIN PG_BRONZE.T24CORE_PD_PAYMENT_DUE pd ON pdmv.RECID = pd.RECID</t>
        </is>
      </c>
      <c r="N256" s="377" t="inlineStr">
        <is>
          <t>TRIM(pd.INPUTTER)</t>
        </is>
      </c>
      <c r="O256" s="377" t="inlineStr">
        <is>
          <t>Source -&gt; PG_BRONZE (1:1) -&gt; PG_SILVER (Temp 1)</t>
        </is>
      </c>
      <c r="P256" s="357" t="inlineStr">
        <is>
          <t>ID người nhập liệu (Map từ PG_BRONZE.T24CORE_PD_PAYMENT_DUE.INPUTTER -&gt; PG_SILVER.sk_lich_tra_no.INPUTTER)</t>
        </is>
      </c>
    </row>
    <row r="257" ht="14.25" customHeight="1" s="335">
      <c r="A257" s="416">
        <f>C257&amp;D257&amp;E257</f>
        <v/>
      </c>
      <c r="B257" s="416" t="inlineStr">
        <is>
          <t>sk_lich_tra_no</t>
        </is>
      </c>
      <c r="C257" s="416" t="inlineStr">
        <is>
          <t>T24CORE</t>
        </is>
      </c>
      <c r="D257" s="416" t="inlineStr">
        <is>
          <t>PD_PAYMENT_DUE</t>
        </is>
      </c>
      <c r="E257" s="416" t="inlineStr">
        <is>
          <t>LOS_FAC_CODE</t>
        </is>
      </c>
      <c r="F257" s="417" t="inlineStr">
        <is>
          <t>1:1</t>
        </is>
      </c>
      <c r="G257" s="417" t="inlineStr">
        <is>
          <t>PG_BRONZE</t>
        </is>
      </c>
      <c r="H257" s="377" t="inlineStr">
        <is>
          <t>T24CORE_PD_PAYMENT_DUE</t>
        </is>
      </c>
      <c r="I257" s="377" t="inlineStr">
        <is>
          <t>LOS_FAC_CODE</t>
        </is>
      </c>
      <c r="J257" s="417" t="inlineStr">
        <is>
          <t>PG_SILVER</t>
        </is>
      </c>
      <c r="K257" s="377" t="inlineStr">
        <is>
          <t>LOS_FAC_CODE</t>
        </is>
      </c>
      <c r="L257" s="417" t="inlineStr">
        <is>
          <t>VARCHAR2(100)</t>
        </is>
      </c>
      <c r="M257" s="377" t="inlineStr">
        <is>
          <t>LEFT JOIN PG_BRONZE.T24CORE_PD_PAYMENT_DUE pd ON pdmv.RECID = pd.RECID</t>
        </is>
      </c>
      <c r="N257" s="377" t="inlineStr">
        <is>
          <t>TRIM(pd.LOS_FAC_CODE)</t>
        </is>
      </c>
      <c r="O257" s="377" t="inlineStr">
        <is>
          <t>Source -&gt; PG_BRONZE (1:1) -&gt; PG_SILVER (Temp 1)</t>
        </is>
      </c>
      <c r="P257" s="357" t="inlineStr">
        <is>
          <t>Số hồ sơ (Map từ PG_BRONZE.T24CORE_PD_PAYMENT_DUE.LOS_FAC_CODE -&gt; PG_SILVER.sk_lich_tra_no.LOS_FAC_CODE)</t>
        </is>
      </c>
    </row>
    <row r="258" ht="14.25" customHeight="1" s="335">
      <c r="A258" s="416">
        <f>C258&amp;D258&amp;E258</f>
        <v/>
      </c>
      <c r="B258" s="416" t="inlineStr">
        <is>
          <t>sk_lich_tra_no</t>
        </is>
      </c>
      <c r="C258" s="416" t="inlineStr">
        <is>
          <t>T24CORE</t>
        </is>
      </c>
      <c r="D258" s="416" t="inlineStr">
        <is>
          <t>PD_PAYMENT_DUE</t>
        </is>
      </c>
      <c r="E258" s="416" t="inlineStr">
        <is>
          <t>ORIGINAL_MAT</t>
        </is>
      </c>
      <c r="F258" s="417" t="inlineStr">
        <is>
          <t>1:1</t>
        </is>
      </c>
      <c r="G258" s="417" t="inlineStr">
        <is>
          <t>PG_BRONZE</t>
        </is>
      </c>
      <c r="H258" s="377" t="inlineStr">
        <is>
          <t>T24CORE_PD_PAYMENT_DUE</t>
        </is>
      </c>
      <c r="I258" s="377" t="inlineStr">
        <is>
          <t>ORIGINAL_MAT</t>
        </is>
      </c>
      <c r="J258" s="417" t="inlineStr">
        <is>
          <t>PG_SILVER</t>
        </is>
      </c>
      <c r="K258" s="377" t="inlineStr">
        <is>
          <t>PD_ORIGINAL_MAT</t>
        </is>
      </c>
      <c r="L258" s="417" t="inlineStr">
        <is>
          <t>DATE</t>
        </is>
      </c>
      <c r="M258" s="377" t="inlineStr">
        <is>
          <t>LEFT JOIN PG_BRONZE.T24CORE_PD_PAYMENT_DUE pd ON pdmv.RECID = pd.RECID</t>
        </is>
      </c>
      <c r="N258" s="377" t="inlineStr">
        <is>
          <t>TO_DATE(CAST(pd.ORIGINAL_MAT AS VARCHAR(20)), 'YYYYMMDD')</t>
        </is>
      </c>
      <c r="O258" s="377" t="inlineStr">
        <is>
          <t>Source -&gt; PG_BRONZE (1:1) -&gt; PG_SILVER (Temp 1)</t>
        </is>
      </c>
      <c r="P258" s="357" t="inlineStr">
        <is>
          <t>Kỳ hạn gốc (Map từ PG_BRONZE.T24CORE_PD_PAYMENT_DUE.ORIGINAL_MAT -&gt; PG_SILVER.sk_lich_tra_no.PD_ORIGINAL_MAT)</t>
        </is>
      </c>
    </row>
    <row r="259" ht="14.25" customHeight="1" s="335">
      <c r="A259" s="416">
        <f>C259&amp;D259&amp;E259</f>
        <v/>
      </c>
      <c r="B259" s="416" t="inlineStr">
        <is>
          <t>sk_lich_tra_no</t>
        </is>
      </c>
      <c r="C259" s="416" t="inlineStr">
        <is>
          <t>T24CORE</t>
        </is>
      </c>
      <c r="D259" s="416" t="inlineStr">
        <is>
          <t>PD_PAYMENT_DUE</t>
        </is>
      </c>
      <c r="E259" s="416" t="inlineStr">
        <is>
          <t>PD_TYPE</t>
        </is>
      </c>
      <c r="F259" s="417" t="inlineStr">
        <is>
          <t>1:1</t>
        </is>
      </c>
      <c r="G259" s="417" t="inlineStr">
        <is>
          <t>PG_BRONZE</t>
        </is>
      </c>
      <c r="H259" s="377" t="inlineStr">
        <is>
          <t>T24CORE_PD_PAYMENT_DUE</t>
        </is>
      </c>
      <c r="I259" s="377" t="inlineStr">
        <is>
          <t>PD_TYPE</t>
        </is>
      </c>
      <c r="J259" s="417" t="inlineStr">
        <is>
          <t>PG_SILVER</t>
        </is>
      </c>
      <c r="K259" s="377" t="inlineStr">
        <is>
          <t>PD_PD_TYPE</t>
        </is>
      </c>
      <c r="L259" s="417" t="inlineStr">
        <is>
          <t>VARCHAR2(100)</t>
        </is>
      </c>
      <c r="M259" s="377" t="inlineStr">
        <is>
          <t>LEFT JOIN PG_BRONZE.T24CORE_PD_PAYMENT_DUE pd ON pdmv.RECID = pd.RECID</t>
        </is>
      </c>
      <c r="N259" s="377" t="inlineStr">
        <is>
          <t>TRIM(pd.PD_TYPE)</t>
        </is>
      </c>
      <c r="O259" s="377" t="inlineStr">
        <is>
          <t>Source -&gt; PG_BRONZE (1:1) -&gt; PG_SILVER (Temp 1)</t>
        </is>
      </c>
      <c r="P259" s="357" t="inlineStr">
        <is>
          <t>Pd_type = 1 là các khoản phạt gốc quá hạn, lãi quá hạn đc migrate sang thành phần IN
Null là gốc, lãi quá hạn (Map từ PG_BRONZE.T24CORE_PD_PAYMENT_DUE.PD_TYPE -&gt; PG_SILVER.sk_lich_tra_no.PD_PD_TYPE)</t>
        </is>
      </c>
    </row>
    <row r="260" ht="14.25" customHeight="1" s="335">
      <c r="A260" s="416">
        <f>C260&amp;D260&amp;E260</f>
        <v/>
      </c>
      <c r="B260" s="416" t="inlineStr">
        <is>
          <t>sk_lich_tra_no</t>
        </is>
      </c>
      <c r="C260" s="416" t="inlineStr">
        <is>
          <t>T24CORE</t>
        </is>
      </c>
      <c r="D260" s="416" t="inlineStr">
        <is>
          <t>PD_PAYMENT_DUE</t>
        </is>
      </c>
      <c r="E260" s="416" t="inlineStr">
        <is>
          <t>PE_RATE</t>
        </is>
      </c>
      <c r="F260" s="417" t="inlineStr">
        <is>
          <t>1:1</t>
        </is>
      </c>
      <c r="G260" s="417" t="inlineStr">
        <is>
          <t>PG_BRONZE</t>
        </is>
      </c>
      <c r="H260" s="377" t="inlineStr">
        <is>
          <t>T24CORE_PD_PAYMENT_DUE</t>
        </is>
      </c>
      <c r="I260" s="377" t="inlineStr">
        <is>
          <t>PE_RATE</t>
        </is>
      </c>
      <c r="J260" s="417" t="inlineStr">
        <is>
          <t>PG_SILVER</t>
        </is>
      </c>
      <c r="K260" s="377" t="inlineStr">
        <is>
          <t>PD_PE_RATE</t>
        </is>
      </c>
      <c r="L260" s="417" t="inlineStr">
        <is>
          <t>NUMBER(13.7)</t>
        </is>
      </c>
      <c r="M260" s="377" t="inlineStr">
        <is>
          <t>LEFT JOIN PG_BRONZE.T24CORE_PD_PAYMENT_DUE pd ON pdmv.RECID = pd.RECID</t>
        </is>
      </c>
      <c r="N260" s="377" t="inlineStr">
        <is>
          <t>COALESCE(CAST(pd.PE_RATE AS DECIMAL(13,7)), 0)</t>
        </is>
      </c>
      <c r="O260" s="377" t="inlineStr">
        <is>
          <t>Source -&gt; PG_BRONZE (1:1) -&gt; PG_SILVER (Temp 1)</t>
        </is>
      </c>
      <c r="P260" s="357" t="inlineStr">
        <is>
          <t>Lãi phạt penalty rate (Map từ PG_BRONZE.T24CORE_PD_PAYMENT_DUE.PE_RATE -&gt; PG_SILVER.sk_lich_tra_no.PD_PE_RATE)</t>
        </is>
      </c>
    </row>
    <row r="261" ht="14.25" customHeight="1" s="335">
      <c r="A261" s="416">
        <f>C261&amp;D261&amp;E261</f>
        <v/>
      </c>
      <c r="B261" s="416" t="inlineStr">
        <is>
          <t>sk_lich_tra_no</t>
        </is>
      </c>
      <c r="C261" s="416" t="inlineStr">
        <is>
          <t>T24CORE</t>
        </is>
      </c>
      <c r="D261" s="416" t="inlineStr">
        <is>
          <t>PD_PAYMENT_DUE</t>
        </is>
      </c>
      <c r="E261" s="416" t="inlineStr">
        <is>
          <t>PENALTY_RATE</t>
        </is>
      </c>
      <c r="F261" s="417" t="inlineStr">
        <is>
          <t>1:1</t>
        </is>
      </c>
      <c r="G261" s="417" t="inlineStr">
        <is>
          <t>PG_BRONZE</t>
        </is>
      </c>
      <c r="H261" s="377" t="inlineStr">
        <is>
          <t>T24CORE_PD_PAYMENT_DUE</t>
        </is>
      </c>
      <c r="I261" s="377" t="inlineStr">
        <is>
          <t>PENALTY_RATE</t>
        </is>
      </c>
      <c r="J261" s="417" t="inlineStr">
        <is>
          <t>PG_SILVER</t>
        </is>
      </c>
      <c r="K261" s="377" t="inlineStr">
        <is>
          <t>PD_PENALTY_RATE</t>
        </is>
      </c>
      <c r="L261" s="417" t="inlineStr">
        <is>
          <t>NUMBER(13.7)</t>
        </is>
      </c>
      <c r="M261" s="377" t="inlineStr">
        <is>
          <t>LEFT JOIN PG_BRONZE.T24CORE_PD_PAYMENT_DUE pd ON pdmv.RECID = pd.RECID</t>
        </is>
      </c>
      <c r="N261" s="377" t="inlineStr">
        <is>
          <t>COALESCE(CAST(pd.PENALTY_RATE AS DECIMAL(13,7)), 0)</t>
        </is>
      </c>
      <c r="O261" s="377" t="inlineStr">
        <is>
          <t>Source -&gt; PG_BRONZE (1:1) -&gt; PG_SILVER (Temp 1)</t>
        </is>
      </c>
      <c r="P261" s="357" t="inlineStr">
        <is>
          <t>Lãi suất phạt quá hạn danh nghĩa (Penalty Rate) (Map từ PG_BRONZE.T24CORE_PD_PAYMENT_DUE.PENALTY_RATE -&gt; PG_SILVER.sk_lich_tra_no.PD_PENALTY_RATE)</t>
        </is>
      </c>
    </row>
    <row r="262" ht="14.25" customHeight="1" s="335">
      <c r="A262" s="416">
        <f>C262&amp;D262&amp;E262</f>
        <v/>
      </c>
      <c r="B262" s="416" t="inlineStr">
        <is>
          <t>sk_lich_tra_no</t>
        </is>
      </c>
      <c r="C262" s="416" t="inlineStr">
        <is>
          <t>T24CORE</t>
        </is>
      </c>
      <c r="D262" s="416" t="inlineStr">
        <is>
          <t>PD_PAYMENT_DUE</t>
        </is>
      </c>
      <c r="E262" s="416" t="inlineStr">
        <is>
          <t>RECID</t>
        </is>
      </c>
      <c r="F262" s="417" t="inlineStr">
        <is>
          <t>1:1</t>
        </is>
      </c>
      <c r="G262" s="417" t="inlineStr">
        <is>
          <t>PG_BRONZE</t>
        </is>
      </c>
      <c r="H262" s="377" t="inlineStr">
        <is>
          <t>T24CORE_PD_PAYMENT_DUE</t>
        </is>
      </c>
      <c r="I262" s="377" t="inlineStr">
        <is>
          <t>RECID</t>
        </is>
      </c>
      <c r="J262" s="417" t="inlineStr">
        <is>
          <t>PG_SILVER</t>
        </is>
      </c>
      <c r="K262" s="377" t="inlineStr">
        <is>
          <t>PD_RECID</t>
        </is>
      </c>
      <c r="L262" s="417" t="inlineStr">
        <is>
          <t>VARCHAR2(100)</t>
        </is>
      </c>
      <c r="M262" s="377" t="inlineStr">
        <is>
          <t>LEFT JOIN PG_BRONZE.T24CORE_PD_PAYMENT_DUE pd ON pdmv.RECID = pd.RECID</t>
        </is>
      </c>
      <c r="N262" s="377" t="inlineStr">
        <is>
          <t>TRIM(pd.RECID)</t>
        </is>
      </c>
      <c r="O262" s="377" t="inlineStr">
        <is>
          <t>Source -&gt; PG_BRONZE (1:1) -&gt; PG_SILVER (Temp 1)</t>
        </is>
      </c>
      <c r="P262" s="357" t="inlineStr">
        <is>
          <t>Mã hợp đồng (Map từ PG_BRONZE.T24CORE_PD_PAYMENT_DUE.RECID -&gt; PG_SILVER.sk_lich_tra_no.PD_RECID)</t>
        </is>
      </c>
    </row>
    <row r="263" ht="14.25" customHeight="1" s="335">
      <c r="A263" s="416">
        <f>C263&amp;D263&amp;E263</f>
        <v/>
      </c>
      <c r="B263" s="416" t="inlineStr">
        <is>
          <t>sk_lich_tra_no</t>
        </is>
      </c>
      <c r="C263" s="416" t="inlineStr">
        <is>
          <t>T24CORE</t>
        </is>
      </c>
      <c r="D263" s="416" t="inlineStr">
        <is>
          <t>PD_PAYMENT_DUE</t>
        </is>
      </c>
      <c r="E263" s="416" t="inlineStr">
        <is>
          <t>SNQH_CHUYENDOI</t>
        </is>
      </c>
      <c r="F263" s="417" t="inlineStr">
        <is>
          <t>1:1</t>
        </is>
      </c>
      <c r="G263" s="417" t="inlineStr">
        <is>
          <t>PG_BRONZE</t>
        </is>
      </c>
      <c r="H263" s="377" t="inlineStr">
        <is>
          <t>T24CORE_PD_PAYMENT_DUE</t>
        </is>
      </c>
      <c r="I263" s="377" t="inlineStr">
        <is>
          <t>SNQH_CHUYENDOI</t>
        </is>
      </c>
      <c r="J263" s="417" t="inlineStr">
        <is>
          <t>PG_SILVER</t>
        </is>
      </c>
      <c r="K263" s="377" t="inlineStr">
        <is>
          <t>SNQH_CHUYENDOI</t>
        </is>
      </c>
      <c r="L263" s="417" t="inlineStr">
        <is>
          <t>NUMBER(10)</t>
        </is>
      </c>
      <c r="M263" s="377" t="inlineStr">
        <is>
          <t>LEFT JOIN PG_BRONZE.T24CORE_PD_PAYMENT_DUE pd ON pdmv.RECID = pd.RECID</t>
        </is>
      </c>
      <c r="N263" s="377" t="inlineStr">
        <is>
          <t>COALESCE(CAST(pd.SNQH_CHUYENDOI AS DECIMAL(10)), 0)</t>
        </is>
      </c>
      <c r="O263" s="377" t="inlineStr">
        <is>
          <t>Source -&gt; PG_BRONZE (1:1) -&gt; PG_SILVER (Temp 1)</t>
        </is>
      </c>
      <c r="P263" s="357" t="inlineStr">
        <is>
          <t>Số ngày quá hạn chuyển đổi (Map từ PG_BRONZE.T24CORE_PD_PAYMENT_DUE.SNQH_CHUYENDOI -&gt; PG_SILVER.sk_lich_tra_no.SNQH_CHUYENDOI)</t>
        </is>
      </c>
    </row>
    <row r="264" ht="14.25" customHeight="1" s="335">
      <c r="A264" s="416">
        <f>C264&amp;D264&amp;E264</f>
        <v/>
      </c>
      <c r="B264" s="416" t="inlineStr">
        <is>
          <t>sk_lich_tra_no</t>
        </is>
      </c>
      <c r="C264" s="416" t="inlineStr">
        <is>
          <t>T24CORE</t>
        </is>
      </c>
      <c r="D264" s="416" t="inlineStr">
        <is>
          <t>PD_PAYMENT_DUE</t>
        </is>
      </c>
      <c r="E264" s="416" t="inlineStr">
        <is>
          <t>USE_OF_LOAN</t>
        </is>
      </c>
      <c r="F264" s="417" t="inlineStr">
        <is>
          <t>1:1</t>
        </is>
      </c>
      <c r="G264" s="417" t="inlineStr">
        <is>
          <t>PG_BRONZE</t>
        </is>
      </c>
      <c r="H264" s="377" t="inlineStr">
        <is>
          <t>T24CORE_PD_PAYMENT_DUE</t>
        </is>
      </c>
      <c r="I264" s="377" t="inlineStr">
        <is>
          <t>USE_OF_LOAN</t>
        </is>
      </c>
      <c r="J264" s="417" t="inlineStr">
        <is>
          <t>PG_SILVER</t>
        </is>
      </c>
      <c r="K264" s="377" t="inlineStr">
        <is>
          <t>PD_USE_OF_LOAN</t>
        </is>
      </c>
      <c r="L264" s="417" t="inlineStr">
        <is>
          <t>VARCHAR2(100)</t>
        </is>
      </c>
      <c r="M264" s="377" t="inlineStr">
        <is>
          <t>LEFT JOIN PG_BRONZE.T24CORE_PD_PAYMENT_DUE pd ON pdmv.RECID = pd.RECID</t>
        </is>
      </c>
      <c r="N264" s="377" t="inlineStr">
        <is>
          <t>TRIM(pd.USE_OF_LOAN)</t>
        </is>
      </c>
      <c r="O264" s="377" t="inlineStr">
        <is>
          <t>Source -&gt; PG_BRONZE (1:1) -&gt; PG_SILVER (Temp 1)</t>
        </is>
      </c>
      <c r="P264" s="357" t="inlineStr">
        <is>
          <t>Mã mục đích vay (Map từ PG_BRONZE.T24CORE_PD_PAYMENT_DUE.USE_OF_LOAN -&gt; PG_SILVER.sk_lich_tra_no.PD_USE_OF_LOAN)</t>
        </is>
      </c>
    </row>
    <row r="265" ht="14.25" customHeight="1" s="335">
      <c r="A265" s="416">
        <f>C265&amp;D265&amp;E265</f>
        <v/>
      </c>
      <c r="B265" s="416" t="inlineStr">
        <is>
          <t>sk_lich_tra_no</t>
        </is>
      </c>
      <c r="C265" s="416" t="inlineStr">
        <is>
          <t>T24CORE</t>
        </is>
      </c>
      <c r="D265" s="416" t="inlineStr">
        <is>
          <t>PD_PAYMENT_DUE</t>
        </is>
      </c>
      <c r="E265" s="416" t="inlineStr">
        <is>
          <t>USE_OF_LOAN_CHA</t>
        </is>
      </c>
      <c r="F265" s="417" t="inlineStr">
        <is>
          <t>1:1</t>
        </is>
      </c>
      <c r="G265" s="417" t="inlineStr">
        <is>
          <t>PG_BRONZE</t>
        </is>
      </c>
      <c r="H265" s="377" t="inlineStr">
        <is>
          <t>T24CORE_PD_PAYMENT_DUE</t>
        </is>
      </c>
      <c r="I265" s="377" t="inlineStr">
        <is>
          <t>USE_OF_LOAN_CHA</t>
        </is>
      </c>
      <c r="J265" s="417" t="inlineStr">
        <is>
          <t>PG_SILVER</t>
        </is>
      </c>
      <c r="K265" s="377" t="inlineStr">
        <is>
          <t>PD_USE_OF_LOAN_CHA</t>
        </is>
      </c>
      <c r="L265" s="417" t="inlineStr">
        <is>
          <t>VARCHAR2(100)</t>
        </is>
      </c>
      <c r="M265" s="377" t="inlineStr">
        <is>
          <t>LEFT JOIN PG_BRONZE.T24CORE_PD_PAYMENT_DUE pd ON pdmv.RECID = pd.RECID</t>
        </is>
      </c>
      <c r="N265" s="377" t="inlineStr">
        <is>
          <t>TRIM(pd.USE_OF_LOAN_CHA)</t>
        </is>
      </c>
      <c r="O265" s="377" t="inlineStr">
        <is>
          <t>Source -&gt; PG_BRONZE (1:1) -&gt; PG_SILVER (Temp 1)</t>
        </is>
      </c>
      <c r="P265" s="357" t="inlineStr">
        <is>
          <t>Mã nhóm mục đích vay (Map từ PG_BRONZE.T24CORE_PD_PAYMENT_DUE.USE_OF_LOAN_CHA -&gt; PG_SILVER.sk_lich_tra_no.PD_USE_OF_LOAN_CHA)</t>
        </is>
      </c>
    </row>
    <row r="266" ht="14.25" customHeight="1" s="335">
      <c r="A266" s="416">
        <f>C266&amp;D266&amp;E266</f>
        <v/>
      </c>
      <c r="B266" s="416" t="inlineStr">
        <is>
          <t>sk_lich_tra_no</t>
        </is>
      </c>
      <c r="C266" s="416" t="inlineStr">
        <is>
          <t>T24CORE</t>
        </is>
      </c>
      <c r="D266" s="416" t="inlineStr">
        <is>
          <t>PD_PAYMENT_DUE_HIS</t>
        </is>
      </c>
      <c r="E266" s="416" t="inlineStr">
        <is>
          <t>CURR_NO</t>
        </is>
      </c>
      <c r="F266" s="417" t="inlineStr">
        <is>
          <t>1:1</t>
        </is>
      </c>
      <c r="G266" s="417" t="inlineStr">
        <is>
          <t>PG_BRONZE</t>
        </is>
      </c>
      <c r="H266" s="377" t="inlineStr">
        <is>
          <t>T24CORE_PD_PAYMENT_DUE_HIS</t>
        </is>
      </c>
      <c r="I266" s="377" t="inlineStr">
        <is>
          <t>CURR_NO</t>
        </is>
      </c>
      <c r="J266" s="417" t="inlineStr">
        <is>
          <t>PG_SILVER</t>
        </is>
      </c>
      <c r="K266" s="377" t="inlineStr">
        <is>
          <t>PDH_CURR_NO</t>
        </is>
      </c>
      <c r="L266" s="417" t="inlineStr">
        <is>
          <t>NUMBER(10)</t>
        </is>
      </c>
      <c r="M266" s="377" t="inlineStr">
        <is>
          <t>LEFT JOIN PG_BRONZE.T24CORE_PD_PAYMENT_DUE_HIS pdh ON pdmv.RECID = pdh.RECID AND pdh.ETL_DATE = ${ETL_DATE}</t>
        </is>
      </c>
      <c r="N266" s="377" t="inlineStr">
        <is>
          <t>COALESCE(CAST(pdh.CURR_NO AS DECIMAL(10)), 0)</t>
        </is>
      </c>
      <c r="O266" s="377" t="inlineStr">
        <is>
          <t>Source -&gt; PG_BRONZE (1:1) -&gt; PG_SILVER (Temp 1)</t>
        </is>
      </c>
      <c r="P266" s="357" t="inlineStr">
        <is>
          <t>Trường CURR_NO của bảng nguồn T24CORE.PD_PAYMENT_DUE_HIS (Map từ PG_BRONZE.T24CORE_PD_PAYMENT_DUE_HIS.CURR_NO -&gt; PG_SILVER.sk_lich_tra_no.PDH_CURR_NO)</t>
        </is>
      </c>
    </row>
    <row r="267" ht="14.25" customHeight="1" s="335">
      <c r="A267" s="416">
        <f>C267&amp;D267&amp;E267</f>
        <v/>
      </c>
      <c r="B267" s="416" t="inlineStr">
        <is>
          <t>sk_lich_tra_no</t>
        </is>
      </c>
      <c r="C267" s="416" t="inlineStr">
        <is>
          <t>T24CORE</t>
        </is>
      </c>
      <c r="D267" s="416" t="inlineStr">
        <is>
          <t>PD_PAYMENT_DUE_HIS</t>
        </is>
      </c>
      <c r="E267" s="416" t="inlineStr">
        <is>
          <t>PD_TYPE</t>
        </is>
      </c>
      <c r="F267" s="417" t="inlineStr">
        <is>
          <t>1:1</t>
        </is>
      </c>
      <c r="G267" s="417" t="inlineStr">
        <is>
          <t>PG_BRONZE</t>
        </is>
      </c>
      <c r="H267" s="377" t="inlineStr">
        <is>
          <t>T24CORE_PD_PAYMENT_DUE_HIS</t>
        </is>
      </c>
      <c r="I267" s="377" t="inlineStr">
        <is>
          <t>PD_TYPE</t>
        </is>
      </c>
      <c r="J267" s="417" t="inlineStr">
        <is>
          <t>PG_SILVER</t>
        </is>
      </c>
      <c r="K267" s="377" t="inlineStr">
        <is>
          <t>PDH_PD_TYPE</t>
        </is>
      </c>
      <c r="L267" s="417" t="inlineStr">
        <is>
          <t>VARCHAR2(100)</t>
        </is>
      </c>
      <c r="M267" s="377" t="inlineStr">
        <is>
          <t>LEFT JOIN PG_BRONZE.T24CORE_PD_PAYMENT_DUE_HIS pdh ON pdmv.RECID = pdh.RECID AND pdh.ETL_DATE = ${ETL_DATE}</t>
        </is>
      </c>
      <c r="N267" s="377" t="inlineStr">
        <is>
          <t>TRIM(pdh.PD_TYPE)</t>
        </is>
      </c>
      <c r="O267" s="377" t="inlineStr">
        <is>
          <t>Source -&gt; PG_BRONZE (1:1) -&gt; PG_SILVER (Temp 1)</t>
        </is>
      </c>
      <c r="P267" s="357" t="inlineStr">
        <is>
          <t>Loại sản phẩm (Map từ PG_BRONZE.T24CORE_PD_PAYMENT_DUE_HIS.PD_TYPE -&gt; PG_SILVER.sk_lich_tra_no.PDH_PD_TYPE)</t>
        </is>
      </c>
    </row>
    <row r="268" ht="14.25" customHeight="1" s="335">
      <c r="A268" s="416">
        <f>C268&amp;D268&amp;E268</f>
        <v/>
      </c>
      <c r="B268" s="416" t="inlineStr">
        <is>
          <t>sk_lich_tra_no</t>
        </is>
      </c>
      <c r="C268" s="416" t="inlineStr">
        <is>
          <t>T24CORE</t>
        </is>
      </c>
      <c r="D268" s="416" t="inlineStr">
        <is>
          <t>PD_PAYMENT_DUE_HIS</t>
        </is>
      </c>
      <c r="E268" s="416" t="inlineStr">
        <is>
          <t>RECID</t>
        </is>
      </c>
      <c r="F268" s="417" t="inlineStr">
        <is>
          <t>1:1</t>
        </is>
      </c>
      <c r="G268" s="417" t="inlineStr">
        <is>
          <t>PG_BRONZE</t>
        </is>
      </c>
      <c r="H268" s="377" t="inlineStr">
        <is>
          <t>T24CORE_PD_PAYMENT_DUE_HIS</t>
        </is>
      </c>
      <c r="I268" s="377" t="inlineStr">
        <is>
          <t>RECID</t>
        </is>
      </c>
      <c r="J268" s="417" t="inlineStr">
        <is>
          <t>PG_SILVER</t>
        </is>
      </c>
      <c r="K268" s="377" t="inlineStr">
        <is>
          <t>PDH_RECID</t>
        </is>
      </c>
      <c r="L268" s="417" t="inlineStr">
        <is>
          <t>VARCHAR2(100)</t>
        </is>
      </c>
      <c r="M268" s="377" t="inlineStr">
        <is>
          <t>LEFT JOIN PG_BRONZE.T24CORE_PD_PAYMENT_DUE_HIS pdh ON pdmv.RECID = pdh.RECID AND pdh.ETL_DATE = ${ETL_DATE}</t>
        </is>
      </c>
      <c r="N268" s="377" t="inlineStr">
        <is>
          <t>TRIM(pdh.RECID)</t>
        </is>
      </c>
      <c r="O268" s="377" t="inlineStr">
        <is>
          <t>Source -&gt; PG_BRONZE (1:1) -&gt; PG_SILVER (Temp 1)</t>
        </is>
      </c>
      <c r="P268" s="357" t="inlineStr">
        <is>
          <t>Số hồ sơ (Map từ PG_BRONZE.T24CORE_PD_PAYMENT_DUE_HIS.RECID -&gt; PG_SILVER.sk_lich_tra_no.PDH_RECID)</t>
        </is>
      </c>
    </row>
    <row r="269" ht="14.25" customHeight="1" s="335">
      <c r="A269" s="416">
        <f>C269&amp;D269&amp;E269</f>
        <v/>
      </c>
      <c r="B269" s="416" t="inlineStr">
        <is>
          <t>sk_lich_tra_no</t>
        </is>
      </c>
      <c r="C269" s="416" t="inlineStr">
        <is>
          <t>T24CORE</t>
        </is>
      </c>
      <c r="D269" s="416" t="inlineStr">
        <is>
          <t>PD_PAYMENT_DUE_HIS_MV</t>
        </is>
      </c>
      <c r="E269" s="416" t="inlineStr">
        <is>
          <t>ACC_FCC</t>
        </is>
      </c>
      <c r="F269" s="417" t="inlineStr">
        <is>
          <t>1:1</t>
        </is>
      </c>
      <c r="G269" s="417" t="inlineStr">
        <is>
          <t>PG_BRONZE</t>
        </is>
      </c>
      <c r="H269" s="377" t="inlineStr">
        <is>
          <t>T24CORE_PD_PAYMENT_DUE_HIS_MV</t>
        </is>
      </c>
      <c r="I269" s="377" t="inlineStr">
        <is>
          <t>ACC_FCC</t>
        </is>
      </c>
      <c r="J269" s="417" t="inlineStr">
        <is>
          <t>PG_SILVER</t>
        </is>
      </c>
      <c r="K269" s="377" t="inlineStr">
        <is>
          <t>PDHMV_ACC_FCC</t>
        </is>
      </c>
      <c r="L269" s="417" t="inlineStr">
        <is>
          <t>VARCHAR2(100)</t>
        </is>
      </c>
      <c r="M269" s="377" t="inlineStr">
        <is>
          <t>LEFT JOIN PG_BRONZE.T24CORE_PD_PAYMENT_DUE_HIS_MV pdhmv ON pdmv.RECID = pdhmv.RECID AND pdmv.PAY_TYPE = pdhmv.PAY_TYPE AND pdhmv.FLAG_STATUS = 'LIVE' AND pdhmv.PAY_AMT_OUTS &gt; 0</t>
        </is>
      </c>
      <c r="N269" s="377" t="inlineStr">
        <is>
          <t>TRIM(pdhmv.ACC_FCC)</t>
        </is>
      </c>
      <c r="O269" s="377" t="inlineStr">
        <is>
          <t>Source -&gt; PG_BRONZE (1:1) -&gt; PG_SILVER (Temp 1)</t>
        </is>
      </c>
      <c r="P269" s="357" t="inlineStr">
        <is>
          <t>Mã hợp đồng FlexCube (Map từ PG_BRONZE.T24CORE_PD_PAYMENT_DUE_HIS_MV.ACC_FCC -&gt; PG_SILVER.sk_lich_tra_no.PDHMV_ACC_FCC)</t>
        </is>
      </c>
    </row>
    <row r="270" ht="14.25" customHeight="1" s="335">
      <c r="A270" s="416">
        <f>C270&amp;D270&amp;E270</f>
        <v/>
      </c>
      <c r="B270" s="416" t="inlineStr">
        <is>
          <t>sk_lich_tra_no</t>
        </is>
      </c>
      <c r="C270" s="416" t="inlineStr">
        <is>
          <t>T24CORE</t>
        </is>
      </c>
      <c r="D270" s="416" t="inlineStr">
        <is>
          <t>PD_PAYMENT_DUE_HIS_MV</t>
        </is>
      </c>
      <c r="E270" s="416" t="inlineStr">
        <is>
          <t>APPROVE_AMOUNT</t>
        </is>
      </c>
      <c r="F270" s="417" t="inlineStr">
        <is>
          <t>1:1</t>
        </is>
      </c>
      <c r="G270" s="417" t="inlineStr">
        <is>
          <t>PG_BRONZE</t>
        </is>
      </c>
      <c r="H270" s="377" t="inlineStr">
        <is>
          <t>T24CORE_PD_PAYMENT_DUE_HIS_MV</t>
        </is>
      </c>
      <c r="I270" s="377" t="inlineStr">
        <is>
          <t>APPROVE_AMOUNT</t>
        </is>
      </c>
      <c r="J270" s="417" t="inlineStr">
        <is>
          <t>PG_SILVER</t>
        </is>
      </c>
      <c r="K270" s="377" t="inlineStr">
        <is>
          <t>PDHMV_APPROVE_AMOUNT</t>
        </is>
      </c>
      <c r="L270" s="417" t="inlineStr">
        <is>
          <t>NUMBER(25.5)</t>
        </is>
      </c>
      <c r="M270" s="377" t="inlineStr">
        <is>
          <t>LEFT JOIN PG_BRONZE.T24CORE_PD_PAYMENT_DUE_HIS_MV pdhmv ON pdmv.RECID = pdhmv.RECID AND pdmv.PAY_TYPE = pdhmv.PAY_TYPE AND pdhmv.FLAG_STATUS = 'LIVE' AND pdhmv.PAY_AMT_OUTS &gt; 0</t>
        </is>
      </c>
      <c r="N270" s="377" t="inlineStr">
        <is>
          <t>COALESCE(CAST(pdhmv.APPROVE_AMOUNT AS DECIMAL(25,5)), 0)</t>
        </is>
      </c>
      <c r="O270" s="377" t="inlineStr">
        <is>
          <t>Source -&gt; PG_BRONZE (1:1) -&gt; PG_SILVER (Temp 1)</t>
        </is>
      </c>
      <c r="P270" s="357" t="inlineStr">
        <is>
          <t>Giá trị giải ngân (Map từ PG_BRONZE.T24CORE_PD_PAYMENT_DUE_HIS_MV.APPROVE_AMOUNT -&gt; PG_SILVER.sk_lich_tra_no.PDHMV_APPROVE_AMOUNT)</t>
        </is>
      </c>
    </row>
    <row r="271" ht="14.25" customHeight="1" s="335">
      <c r="A271" s="416">
        <f>C271&amp;D271&amp;E271</f>
        <v/>
      </c>
      <c r="B271" s="416" t="inlineStr">
        <is>
          <t>sk_lich_tra_no</t>
        </is>
      </c>
      <c r="C271" s="416" t="inlineStr">
        <is>
          <t>T24CORE</t>
        </is>
      </c>
      <c r="D271" s="416" t="inlineStr">
        <is>
          <t>PD_PAYMENT_DUE_HIS_MV</t>
        </is>
      </c>
      <c r="E271" s="416" t="inlineStr">
        <is>
          <t>CATEGORY</t>
        </is>
      </c>
      <c r="F271" s="417" t="inlineStr">
        <is>
          <t>1:1</t>
        </is>
      </c>
      <c r="G271" s="417" t="inlineStr">
        <is>
          <t>PG_BRONZE</t>
        </is>
      </c>
      <c r="H271" s="377" t="inlineStr">
        <is>
          <t>T24CORE_PD_PAYMENT_DUE_HIS_MV</t>
        </is>
      </c>
      <c r="I271" s="377" t="inlineStr">
        <is>
          <t>CATEGORY</t>
        </is>
      </c>
      <c r="J271" s="417" t="inlineStr">
        <is>
          <t>PG_SILVER</t>
        </is>
      </c>
      <c r="K271" s="377" t="inlineStr">
        <is>
          <t>PDHMV_CATEGORY</t>
        </is>
      </c>
      <c r="L271" s="417" t="inlineStr">
        <is>
          <t>VARCHAR2(100)</t>
        </is>
      </c>
      <c r="M271" s="377" t="inlineStr">
        <is>
          <t>LEFT JOIN PG_BRONZE.T24CORE_PD_PAYMENT_DUE_HIS_MV pdhmv ON pdmv.RECID = pdhmv.RECID AND pdmv.PAY_TYPE = pdhmv.PAY_TYPE AND pdhmv.FLAG_STATUS = 'LIVE' AND pdhmv.PAY_AMT_OUTS &gt; 0</t>
        </is>
      </c>
      <c r="N271" s="377" t="inlineStr">
        <is>
          <t>TRIM(pdhmv.CATEGORY)</t>
        </is>
      </c>
      <c r="O271" s="377" t="inlineStr">
        <is>
          <t>Source -&gt; PG_BRONZE (1:1) -&gt; PG_SILVER (Temp 1)</t>
        </is>
      </c>
      <c r="P271" s="357" t="inlineStr">
        <is>
          <t>Mã phân loại sản phẩm vay (Map từ PG_BRONZE.T24CORE_PD_PAYMENT_DUE_HIS_MV.CATEGORY -&gt; PG_SILVER.sk_lich_tra_no.PDHMV_CATEGORY)</t>
        </is>
      </c>
    </row>
    <row r="272" ht="14.25" customHeight="1" s="335">
      <c r="A272" s="416">
        <f>C272&amp;D272&amp;E272</f>
        <v/>
      </c>
      <c r="B272" s="416" t="inlineStr">
        <is>
          <t>sk_lich_tra_no</t>
        </is>
      </c>
      <c r="C272" s="416" t="inlineStr">
        <is>
          <t>T24CORE</t>
        </is>
      </c>
      <c r="D272" s="416" t="inlineStr">
        <is>
          <t>PD_PAYMENT_DUE_HIS_MV</t>
        </is>
      </c>
      <c r="E272" s="416" t="inlineStr">
        <is>
          <t>CO_CODE</t>
        </is>
      </c>
      <c r="F272" s="417" t="inlineStr">
        <is>
          <t>1:1</t>
        </is>
      </c>
      <c r="G272" s="417" t="inlineStr">
        <is>
          <t>PG_BRONZE</t>
        </is>
      </c>
      <c r="H272" s="377" t="inlineStr">
        <is>
          <t>T24CORE_PD_PAYMENT_DUE_HIS_MV</t>
        </is>
      </c>
      <c r="I272" s="377" t="inlineStr">
        <is>
          <t>CO_CODE</t>
        </is>
      </c>
      <c r="J272" s="417" t="inlineStr">
        <is>
          <t>PG_SILVER</t>
        </is>
      </c>
      <c r="K272" s="377" t="inlineStr">
        <is>
          <t>PDHMV_CO_CODE</t>
        </is>
      </c>
      <c r="L272" s="417" t="inlineStr">
        <is>
          <t>VARCHAR2(100)</t>
        </is>
      </c>
      <c r="M272" s="377" t="inlineStr">
        <is>
          <t>LEFT JOIN PG_BRONZE.T24CORE_PD_PAYMENT_DUE_HIS_MV pdhmv ON pdmv.RECID = pdhmv.RECID AND pdmv.PAY_TYPE = pdhmv.PAY_TYPE AND pdhmv.FLAG_STATUS = 'LIVE' AND pdhmv.PAY_AMT_OUTS &gt; 0</t>
        </is>
      </c>
      <c r="N272" s="377" t="inlineStr">
        <is>
          <t>TRIM(pdhmv.CO_CODE)</t>
        </is>
      </c>
      <c r="O272" s="377" t="inlineStr">
        <is>
          <t>Source -&gt; PG_BRONZE (1:1) -&gt; PG_SILVER (Temp 1)</t>
        </is>
      </c>
      <c r="P272" s="357" t="inlineStr">
        <is>
          <t>Mã chi nhánh (Map từ PG_BRONZE.T24CORE_PD_PAYMENT_DUE_HIS_MV.CO_CODE -&gt; PG_SILVER.sk_lich_tra_no.PDHMV_CO_CODE)</t>
        </is>
      </c>
    </row>
    <row r="273" ht="14.25" customHeight="1" s="335">
      <c r="A273" s="416">
        <f>C273&amp;D273&amp;E273</f>
        <v/>
      </c>
      <c r="B273" s="416" t="inlineStr">
        <is>
          <t>sk_lich_tra_no</t>
        </is>
      </c>
      <c r="C273" s="418" t="inlineStr">
        <is>
          <t>T24CORE</t>
        </is>
      </c>
      <c r="D273" s="418" t="inlineStr">
        <is>
          <t>PD_PAYMENT_DUE_HIS_MV</t>
        </is>
      </c>
      <c r="E273" s="416" t="inlineStr">
        <is>
          <t>CREDIT_STATUS</t>
        </is>
      </c>
      <c r="F273" s="417" t="inlineStr">
        <is>
          <t>1:1</t>
        </is>
      </c>
      <c r="G273" s="417" t="inlineStr">
        <is>
          <t>PG_BRONZE</t>
        </is>
      </c>
      <c r="H273" s="377" t="inlineStr">
        <is>
          <t>T24CORE_PD_PAYMENT_DUE_HIS_MV</t>
        </is>
      </c>
      <c r="I273" s="377" t="inlineStr">
        <is>
          <t>CREDIT_STATUS</t>
        </is>
      </c>
      <c r="J273" s="417" t="inlineStr">
        <is>
          <t>PG_SILVER</t>
        </is>
      </c>
      <c r="K273" s="377" t="inlineStr">
        <is>
          <t>PDHMV_CREDIT_STATUS</t>
        </is>
      </c>
      <c r="L273" s="417" t="inlineStr">
        <is>
          <t>VARCHAR2(100)</t>
        </is>
      </c>
      <c r="M273" s="377" t="inlineStr">
        <is>
          <t>LEFT JOIN PG_BRONZE.T24CORE_PD_PAYMENT_DUE_HIS_MV pdhmv ON pdmv.RECID = pdhmv.RECID AND pdmv.PAY_TYPE = pdhmv.PAY_TYPE AND pdhmv.FLAG_STATUS = 'LIVE' AND pdhmv.PAY_AMT_OUTS &gt; 0</t>
        </is>
      </c>
      <c r="N273" s="377" t="inlineStr">
        <is>
          <t>TRIM(pdhmv.CREDIT_STATUS)</t>
        </is>
      </c>
      <c r="O273" s="377" t="inlineStr">
        <is>
          <t>Source -&gt; PG_BRONZE (1:1) -&gt; PG_SILVER (Temp 1)</t>
        </is>
      </c>
      <c r="P273" s="357" t="inlineStr">
        <is>
          <t>Nhóm nợ hợp đồng (Map từ PG_BRONZE.T24CORE_PD_PAYMENT_DUE_HIS_MV.CREDIT_STATUS -&gt; PG_SILVER.sk_lich_tra_no.PDHMV_CREDIT_STATUS)</t>
        </is>
      </c>
    </row>
    <row r="274" ht="14.25" customHeight="1" s="335">
      <c r="A274" s="416">
        <f>C274&amp;D274&amp;E274</f>
        <v/>
      </c>
      <c r="B274" s="416" t="inlineStr">
        <is>
          <t>sk_lich_tra_no</t>
        </is>
      </c>
      <c r="C274" s="416" t="inlineStr">
        <is>
          <t>T24CORE</t>
        </is>
      </c>
      <c r="D274" s="416" t="inlineStr">
        <is>
          <t>PD_PAYMENT_DUE_HIS_MV</t>
        </is>
      </c>
      <c r="E274" s="416" t="inlineStr">
        <is>
          <t>CURR_NO</t>
        </is>
      </c>
      <c r="F274" s="417" t="inlineStr">
        <is>
          <t>1:1</t>
        </is>
      </c>
      <c r="G274" s="417" t="inlineStr">
        <is>
          <t>PG_BRONZE</t>
        </is>
      </c>
      <c r="H274" s="377" t="inlineStr">
        <is>
          <t>T24CORE_PD_PAYMENT_DUE_HIS_MV</t>
        </is>
      </c>
      <c r="I274" s="377" t="inlineStr">
        <is>
          <t>CURR_NO</t>
        </is>
      </c>
      <c r="J274" s="417" t="inlineStr">
        <is>
          <t>PG_SILVER</t>
        </is>
      </c>
      <c r="K274" s="377" t="inlineStr">
        <is>
          <t>PDHMV_CURR_NO</t>
        </is>
      </c>
      <c r="L274" s="417" t="inlineStr">
        <is>
          <t>NUMBER(10)</t>
        </is>
      </c>
      <c r="M274" s="377" t="inlineStr">
        <is>
          <t>LEFT JOIN PG_BRONZE.T24CORE_PD_PAYMENT_DUE_HIS_MV pdhmv ON pdmv.RECID = pdhmv.RECID AND pdmv.PAY_TYPE = pdhmv.PAY_TYPE AND pdhmv.FLAG_STATUS = 'LIVE' AND pdhmv.PAY_AMT_OUTS &gt; 0</t>
        </is>
      </c>
      <c r="N274" s="377" t="inlineStr">
        <is>
          <t>COALESCE(CAST(pdhmv.CURR_NO AS DECIMAL(10)), 0)</t>
        </is>
      </c>
      <c r="O274" s="377" t="inlineStr">
        <is>
          <t>Source -&gt; PG_BRONZE (1:1) -&gt; PG_SILVER (Temp 1)</t>
        </is>
      </c>
      <c r="P274" s="357" t="inlineStr">
        <is>
          <t>Version hiện tại của bản ghi (Map từ PG_BRONZE.T24CORE_PD_PAYMENT_DUE_HIS_MV.CURR_NO -&gt; PG_SILVER.sk_lich_tra_no.PDHMV_CURR_NO)</t>
        </is>
      </c>
    </row>
    <row r="275" ht="14.25" customHeight="1" s="335">
      <c r="A275" s="416">
        <f>C275&amp;D275&amp;E275</f>
        <v/>
      </c>
      <c r="B275" s="416" t="inlineStr">
        <is>
          <t>sk_lich_tra_no</t>
        </is>
      </c>
      <c r="C275" s="416" t="inlineStr">
        <is>
          <t>T24CORE</t>
        </is>
      </c>
      <c r="D275" s="416" t="inlineStr">
        <is>
          <t>PD_PAYMENT_DUE_HIS_MV</t>
        </is>
      </c>
      <c r="E275" s="416" t="inlineStr">
        <is>
          <t>CUSTOMER</t>
        </is>
      </c>
      <c r="F275" s="417" t="inlineStr">
        <is>
          <t>1:1</t>
        </is>
      </c>
      <c r="G275" s="417" t="inlineStr">
        <is>
          <t>PG_BRONZE</t>
        </is>
      </c>
      <c r="H275" s="377" t="inlineStr">
        <is>
          <t>T24CORE_PD_PAYMENT_DUE_HIS_MV</t>
        </is>
      </c>
      <c r="I275" s="377" t="inlineStr">
        <is>
          <t>CUSTOMER</t>
        </is>
      </c>
      <c r="J275" s="417" t="inlineStr">
        <is>
          <t>PG_SILVER</t>
        </is>
      </c>
      <c r="K275" s="377" t="inlineStr">
        <is>
          <t>PDHMV_CUSTOMER</t>
        </is>
      </c>
      <c r="L275" s="417" t="inlineStr">
        <is>
          <t>VARCHAR2(100)</t>
        </is>
      </c>
      <c r="M275" s="377" t="inlineStr">
        <is>
          <t>LEFT JOIN PG_BRONZE.T24CORE_PD_PAYMENT_DUE_HIS_MV pdhmv ON pdmv.RECID = pdhmv.RECID AND pdmv.PAY_TYPE = pdhmv.PAY_TYPE AND pdhmv.FLAG_STATUS = 'LIVE' AND pdhmv.PAY_AMT_OUTS &gt; 0</t>
        </is>
      </c>
      <c r="N275" s="377" t="inlineStr">
        <is>
          <t>TRIM(pdhmv.CUSTOMER)</t>
        </is>
      </c>
      <c r="O275" s="377" t="inlineStr">
        <is>
          <t>Source -&gt; PG_BRONZE (1:1) -&gt; PG_SILVER (Temp 1)</t>
        </is>
      </c>
      <c r="P275" s="357" t="inlineStr">
        <is>
          <t>Mã khách hàng (Map từ PG_BRONZE.T24CORE_PD_PAYMENT_DUE_HIS_MV.CUSTOMER -&gt; PG_SILVER.sk_lich_tra_no.PDHMV_CUSTOMER)</t>
        </is>
      </c>
    </row>
    <row r="276" ht="14.25" customHeight="1" s="335">
      <c r="A276" s="416">
        <f>C276&amp;D276&amp;E276</f>
        <v/>
      </c>
      <c r="B276" s="416" t="inlineStr">
        <is>
          <t>sk_lich_tra_no</t>
        </is>
      </c>
      <c r="C276" s="416" t="inlineStr">
        <is>
          <t>T24CORE</t>
        </is>
      </c>
      <c r="D276" s="416" t="inlineStr">
        <is>
          <t>PD_PAYMENT_DUE_HIS_MV</t>
        </is>
      </c>
      <c r="E276" s="416" t="inlineStr">
        <is>
          <t>DATE_TIME</t>
        </is>
      </c>
      <c r="F276" s="417" t="inlineStr">
        <is>
          <t>1:1</t>
        </is>
      </c>
      <c r="G276" s="417" t="inlineStr">
        <is>
          <t>PG_BRONZE</t>
        </is>
      </c>
      <c r="H276" s="377" t="inlineStr">
        <is>
          <t>T24CORE_PD_PAYMENT_DUE_HIS_MV</t>
        </is>
      </c>
      <c r="I276" s="377" t="inlineStr">
        <is>
          <t>DATE_TIME</t>
        </is>
      </c>
      <c r="J276" s="417" t="inlineStr">
        <is>
          <t>PG_SILVER</t>
        </is>
      </c>
      <c r="K276" s="377" t="inlineStr">
        <is>
          <t>PDHMV_DATE_TIME</t>
        </is>
      </c>
      <c r="L276" s="417" t="inlineStr">
        <is>
          <t>DATE</t>
        </is>
      </c>
      <c r="M276" s="377" t="inlineStr">
        <is>
          <t>LEFT JOIN PG_BRONZE.T24CORE_PD_PAYMENT_DUE_HIS_MV pdhmv ON pdmv.RECID = pdhmv.RECID AND pdmv.PAY_TYPE = pdhmv.PAY_TYPE AND pdhmv.FLAG_STATUS = 'LIVE' AND pdhmv.PAY_AMT_OUTS &gt; 0</t>
        </is>
      </c>
      <c r="N276" s="377" t="inlineStr">
        <is>
          <t>TO_DATE(CAST(pdhmv.DATE_TIME AS VARCHAR(20)), 'YYYYMMDD')</t>
        </is>
      </c>
      <c r="O276" s="377" t="inlineStr">
        <is>
          <t>Source -&gt; PG_BRONZE (1:1) -&gt; PG_SILVER (Temp 1)</t>
        </is>
      </c>
      <c r="P276" s="357" t="inlineStr">
        <is>
          <t>Trường DATE_TIME của bảng nguồn T24CORE.PD_PAYMENT_DUE_HIS_MV (Map từ PG_BRONZE.T24CORE_PD_PAYMENT_DUE_HIS_MV.DATE_TIME -&gt; PG_SILVER.sk_lich_tra_no.PDHMV_DATE_TIME)</t>
        </is>
      </c>
    </row>
    <row r="277" ht="14.25" customHeight="1" s="335">
      <c r="A277" s="416">
        <f>C277&amp;D277&amp;E277</f>
        <v/>
      </c>
      <c r="B277" s="416" t="inlineStr">
        <is>
          <t>sk_lich_tra_no</t>
        </is>
      </c>
      <c r="C277" s="416" t="inlineStr">
        <is>
          <t>T24CORE</t>
        </is>
      </c>
      <c r="D277" s="416" t="inlineStr">
        <is>
          <t>PD_PAYMENT_DUE_HIS_MV</t>
        </is>
      </c>
      <c r="E277" s="416" t="inlineStr">
        <is>
          <t>FINAL_DUE_DATE</t>
        </is>
      </c>
      <c r="F277" s="417" t="inlineStr">
        <is>
          <t>1:1</t>
        </is>
      </c>
      <c r="G277" s="417" t="inlineStr">
        <is>
          <t>PG_BRONZE</t>
        </is>
      </c>
      <c r="H277" s="377" t="inlineStr">
        <is>
          <t>T24CORE_PD_PAYMENT_DUE_HIS_MV</t>
        </is>
      </c>
      <c r="I277" s="377" t="inlineStr">
        <is>
          <t>FINAL_DUE_DATE</t>
        </is>
      </c>
      <c r="J277" s="417" t="inlineStr">
        <is>
          <t>PG_SILVER</t>
        </is>
      </c>
      <c r="K277" s="377" t="inlineStr">
        <is>
          <t>PDHMV_FINAL_DUE_DATE</t>
        </is>
      </c>
      <c r="L277" s="417" t="inlineStr">
        <is>
          <t>DATE</t>
        </is>
      </c>
      <c r="M277" s="377" t="inlineStr">
        <is>
          <t>LEFT JOIN PG_BRONZE.T24CORE_PD_PAYMENT_DUE_HIS_MV pdhmv ON pdmv.RECID = pdhmv.RECID AND pdmv.PAY_TYPE = pdhmv.PAY_TYPE AND pdhmv.FLAG_STATUS = 'LIVE' AND pdhmv.PAY_AMT_OUTS &gt; 0</t>
        </is>
      </c>
      <c r="N277" s="377" t="inlineStr">
        <is>
          <t>TO_DATE(CAST(pdhmv.FINAL_DUE_DATE AS VARCHAR(20)), 'YYYYMMDD')</t>
        </is>
      </c>
      <c r="O277" s="377" t="inlineStr">
        <is>
          <t>Source -&gt; PG_BRONZE (1:1) -&gt; PG_SILVER (Temp 1)</t>
        </is>
      </c>
      <c r="P277" s="357" t="inlineStr">
        <is>
          <t>Ngày trả nơ cuối khi quá hạn (Map từ PG_BRONZE.T24CORE_PD_PAYMENT_DUE_HIS_MV.FINAL_DUE_DATE -&gt; PG_SILVER.sk_lich_tra_no.PDHMV_FINAL_DUE_DATE)</t>
        </is>
      </c>
    </row>
    <row r="278" ht="14.25" customHeight="1" s="335">
      <c r="A278" s="416">
        <f>C278&amp;D278&amp;E278</f>
        <v/>
      </c>
      <c r="B278" s="416" t="inlineStr">
        <is>
          <t>sk_lich_tra_no</t>
        </is>
      </c>
      <c r="C278" s="416" t="inlineStr">
        <is>
          <t>T24CORE</t>
        </is>
      </c>
      <c r="D278" s="416" t="inlineStr">
        <is>
          <t>PD_PAYMENT_DUE_HIS_MV</t>
        </is>
      </c>
      <c r="E278" s="416" t="inlineStr">
        <is>
          <t>FLAG_STATUS</t>
        </is>
      </c>
      <c r="F278" s="417" t="inlineStr">
        <is>
          <t>1:1</t>
        </is>
      </c>
      <c r="G278" s="417" t="inlineStr">
        <is>
          <t>PG_BRONZE</t>
        </is>
      </c>
      <c r="H278" s="377" t="inlineStr">
        <is>
          <t>T24CORE_PD_PAYMENT_DUE_HIS_MV</t>
        </is>
      </c>
      <c r="I278" s="377" t="inlineStr">
        <is>
          <t>FLAG_STATUS</t>
        </is>
      </c>
      <c r="J278" s="417" t="inlineStr">
        <is>
          <t>PG_SILVER</t>
        </is>
      </c>
      <c r="K278" s="377" t="inlineStr">
        <is>
          <t>PDHMV_FLAG_STATUS</t>
        </is>
      </c>
      <c r="L278" s="417" t="inlineStr">
        <is>
          <t>VARCHAR2(100)</t>
        </is>
      </c>
      <c r="M278" s="377" t="inlineStr">
        <is>
          <t>LEFT JOIN PG_BRONZE.T24CORE_PD_PAYMENT_DUE_HIS_MV pdhmv ON pdmv.RECID = pdhmv.RECID AND pdmv.PAY_TYPE = pdhmv.PAY_TYPE AND pdhmv.FLAG_STATUS = 'LIVE' AND pdhmv.PAY_AMT_OUTS &gt; 0</t>
        </is>
      </c>
      <c r="N278" s="377" t="inlineStr">
        <is>
          <t>TRIM(pdhmv.FLAG_STATUS)</t>
        </is>
      </c>
      <c r="O278" s="377" t="inlineStr">
        <is>
          <t>Source -&gt; PG_BRONZE (1:1) -&gt; PG_SILVER (Temp 1)</t>
        </is>
      </c>
      <c r="P278" s="357" t="inlineStr">
        <is>
          <t>Cờ đánh dấu trạng thái bản ghi (Map từ PG_BRONZE.T24CORE_PD_PAYMENT_DUE_HIS_MV.FLAG_STATUS -&gt; PG_SILVER.sk_lich_tra_no.PDHMV_FLAG_STATUS)</t>
        </is>
      </c>
    </row>
    <row r="279" ht="14.25" customHeight="1" s="335">
      <c r="A279" s="416">
        <f>C279&amp;D279&amp;E279</f>
        <v/>
      </c>
      <c r="B279" s="416" t="inlineStr">
        <is>
          <t>sk_lich_tra_no</t>
        </is>
      </c>
      <c r="C279" s="416" t="inlineStr">
        <is>
          <t>T24CORE</t>
        </is>
      </c>
      <c r="D279" s="416" t="inlineStr">
        <is>
          <t>PD_PAYMENT_DUE_HIS_MV</t>
        </is>
      </c>
      <c r="E279" s="416" t="inlineStr">
        <is>
          <t>ORIGINAL_MAT</t>
        </is>
      </c>
      <c r="F279" s="417" t="inlineStr">
        <is>
          <t>1:1</t>
        </is>
      </c>
      <c r="G279" s="417" t="inlineStr">
        <is>
          <t>PG_BRONZE</t>
        </is>
      </c>
      <c r="H279" s="377" t="inlineStr">
        <is>
          <t>T24CORE_PD_PAYMENT_DUE_HIS_MV</t>
        </is>
      </c>
      <c r="I279" s="377" t="inlineStr">
        <is>
          <t>ORIGINAL_MAT</t>
        </is>
      </c>
      <c r="J279" s="417" t="inlineStr">
        <is>
          <t>PG_SILVER</t>
        </is>
      </c>
      <c r="K279" s="377" t="inlineStr">
        <is>
          <t>PDHMV_ORIGINAL_MAT</t>
        </is>
      </c>
      <c r="L279" s="417" t="inlineStr">
        <is>
          <t>DATE</t>
        </is>
      </c>
      <c r="M279" s="377" t="inlineStr">
        <is>
          <t>LEFT JOIN PG_BRONZE.T24CORE_PD_PAYMENT_DUE_HIS_MV pdhmv ON pdmv.RECID = pdhmv.RECID AND pdmv.PAY_TYPE = pdhmv.PAY_TYPE AND pdhmv.FLAG_STATUS = 'LIVE' AND pdhmv.PAY_AMT_OUTS &gt; 0</t>
        </is>
      </c>
      <c r="N279" s="377" t="inlineStr">
        <is>
          <t>TO_DATE(CAST(pdhmv.ORIGINAL_MAT AS VARCHAR(20)), 'YYYYMMDD')</t>
        </is>
      </c>
      <c r="O279" s="377" t="inlineStr">
        <is>
          <t>Source -&gt; PG_BRONZE (1:1) -&gt; PG_SILVER (Temp 1)</t>
        </is>
      </c>
      <c r="P279" s="357" t="inlineStr">
        <is>
          <t>Ngày đáo hạn gốc (Map từ PG_BRONZE.T24CORE_PD_PAYMENT_DUE_HIS_MV.ORIGINAL_MAT -&gt; PG_SILVER.sk_lich_tra_no.PDHMV_ORIGINAL_MAT)</t>
        </is>
      </c>
    </row>
    <row r="280" ht="14.25" customHeight="1" s="335">
      <c r="A280" s="416">
        <f>C280&amp;D280&amp;E280</f>
        <v/>
      </c>
      <c r="B280" s="416" t="inlineStr">
        <is>
          <t>sk_lich_tra_no</t>
        </is>
      </c>
      <c r="C280" s="416" t="inlineStr">
        <is>
          <t>T24CORE</t>
        </is>
      </c>
      <c r="D280" s="416" t="inlineStr">
        <is>
          <t>PD_PAYMENT_DUE_HIS_MV</t>
        </is>
      </c>
      <c r="E280" s="416" t="inlineStr">
        <is>
          <t>PAY_TYPE</t>
        </is>
      </c>
      <c r="F280" s="417" t="inlineStr">
        <is>
          <t>1:1</t>
        </is>
      </c>
      <c r="G280" s="417" t="inlineStr">
        <is>
          <t>PG_BRONZE</t>
        </is>
      </c>
      <c r="H280" s="377" t="inlineStr">
        <is>
          <t>T24CORE_PD_PAYMENT_DUE_HIS_MV</t>
        </is>
      </c>
      <c r="I280" s="377" t="inlineStr">
        <is>
          <t>PAY_TYPE</t>
        </is>
      </c>
      <c r="J280" s="417" t="inlineStr">
        <is>
          <t>PG_SILVER</t>
        </is>
      </c>
      <c r="K280" s="377" t="inlineStr">
        <is>
          <t>PDHMV_PAY_TYPE</t>
        </is>
      </c>
      <c r="L280" s="417" t="inlineStr">
        <is>
          <t>VARCHAR2(100)</t>
        </is>
      </c>
      <c r="M280" s="377" t="inlineStr">
        <is>
          <t>LEFT JOIN PG_BRONZE.T24CORE_PD_PAYMENT_DUE_HIS_MV pdhmv ON pdmv.RECID = pdhmv.RECID AND pdmv.PAY_TYPE = pdhmv.PAY_TYPE AND pdhmv.FLAG_STATUS = 'LIVE' AND pdhmv.PAY_AMT_OUTS &gt; 0</t>
        </is>
      </c>
      <c r="N280" s="377" t="inlineStr">
        <is>
          <t>TRIM(pdhmv.PAY_TYPE)</t>
        </is>
      </c>
      <c r="O280" s="377" t="inlineStr">
        <is>
          <t>Source -&gt; PG_BRONZE (1:1) -&gt; PG_SILVER (Temp 1)</t>
        </is>
      </c>
      <c r="P280" s="357" t="inlineStr">
        <is>
          <t>Loại hình thanh toán (Map từ PG_BRONZE.T24CORE_PD_PAYMENT_DUE_HIS_MV.PAY_TYPE -&gt; PG_SILVER.sk_lich_tra_no.PDHMV_PAY_TYPE)</t>
        </is>
      </c>
    </row>
    <row r="281" ht="14.25" customHeight="1" s="335">
      <c r="A281" s="416">
        <f>C281&amp;D281&amp;E281</f>
        <v/>
      </c>
      <c r="B281" s="416" t="inlineStr">
        <is>
          <t>sk_lich_tra_no</t>
        </is>
      </c>
      <c r="C281" s="416" t="inlineStr">
        <is>
          <t>T24CORE</t>
        </is>
      </c>
      <c r="D281" s="416" t="inlineStr">
        <is>
          <t>PD_PAYMENT_DUE_HIS_MV</t>
        </is>
      </c>
      <c r="E281" s="416" t="inlineStr">
        <is>
          <t>PD_TYPE</t>
        </is>
      </c>
      <c r="F281" s="417" t="inlineStr">
        <is>
          <t>1:1</t>
        </is>
      </c>
      <c r="G281" s="417" t="inlineStr">
        <is>
          <t>PG_BRONZE</t>
        </is>
      </c>
      <c r="H281" s="377" t="inlineStr">
        <is>
          <t>T24CORE_PD_PAYMENT_DUE_HIS_MV</t>
        </is>
      </c>
      <c r="I281" s="377" t="inlineStr">
        <is>
          <t>PD_TYPE</t>
        </is>
      </c>
      <c r="J281" s="417" t="inlineStr">
        <is>
          <t>PG_SILVER</t>
        </is>
      </c>
      <c r="K281" s="377" t="inlineStr">
        <is>
          <t>PDHMV_PD_TYPE</t>
        </is>
      </c>
      <c r="L281" s="417" t="inlineStr">
        <is>
          <t>VARCHAR2(100)</t>
        </is>
      </c>
      <c r="M281" s="377" t="inlineStr">
        <is>
          <t>LEFT JOIN PG_BRONZE.T24CORE_PD_PAYMENT_DUE_HIS_MV pdhmv ON pdmv.RECID = pdhmv.RECID AND pdmv.PAY_TYPE = pdhmv.PAY_TYPE AND pdhmv.FLAG_STATUS = 'LIVE' AND pdhmv.PAY_AMT_OUTS &gt; 0</t>
        </is>
      </c>
      <c r="N281" s="377" t="inlineStr">
        <is>
          <t>TRIM(pdhmv.PD_TYPE)</t>
        </is>
      </c>
      <c r="O281" s="377" t="inlineStr">
        <is>
          <t>Source -&gt; PG_BRONZE (1:1) -&gt; PG_SILVER (Temp 1)</t>
        </is>
      </c>
      <c r="P281" s="357" t="inlineStr">
        <is>
          <t>Loại sản phẩm (Map từ PG_BRONZE.T24CORE_PD_PAYMENT_DUE_HIS_MV.PD_TYPE -&gt; PG_SILVER.sk_lich_tra_no.PDHMV_PD_TYPE)</t>
        </is>
      </c>
    </row>
    <row r="282" ht="14.25" customHeight="1" s="335">
      <c r="A282" s="416">
        <f>C282&amp;D282&amp;E282</f>
        <v/>
      </c>
      <c r="B282" s="416" t="inlineStr">
        <is>
          <t>sk_lich_tra_no</t>
        </is>
      </c>
      <c r="C282" s="416" t="inlineStr">
        <is>
          <t>T24CORE</t>
        </is>
      </c>
      <c r="D282" s="416" t="inlineStr">
        <is>
          <t>PD_PAYMENT_DUE_HIS_MV</t>
        </is>
      </c>
      <c r="E282" s="416" t="inlineStr">
        <is>
          <t>PE_RATE</t>
        </is>
      </c>
      <c r="F282" s="417" t="inlineStr">
        <is>
          <t>1:1</t>
        </is>
      </c>
      <c r="G282" s="417" t="inlineStr">
        <is>
          <t>PG_BRONZE</t>
        </is>
      </c>
      <c r="H282" s="377" t="inlineStr">
        <is>
          <t>T24CORE_PD_PAYMENT_DUE_HIS_MV</t>
        </is>
      </c>
      <c r="I282" s="377" t="inlineStr">
        <is>
          <t>PE_RATE</t>
        </is>
      </c>
      <c r="J282" s="417" t="inlineStr">
        <is>
          <t>PG_SILVER</t>
        </is>
      </c>
      <c r="K282" s="377" t="inlineStr">
        <is>
          <t>PDHMV_PE_RATE</t>
        </is>
      </c>
      <c r="L282" s="417" t="inlineStr">
        <is>
          <t>NUMBER(13.7)</t>
        </is>
      </c>
      <c r="M282" s="377" t="inlineStr">
        <is>
          <t>LEFT JOIN PG_BRONZE.T24CORE_PD_PAYMENT_DUE_HIS_MV pdhmv ON pdmv.RECID = pdhmv.RECID AND pdmv.PAY_TYPE = pdhmv.PAY_TYPE AND pdhmv.FLAG_STATUS = 'LIVE' AND pdhmv.PAY_AMT_OUTS &gt; 0</t>
        </is>
      </c>
      <c r="N282" s="377" t="inlineStr">
        <is>
          <t>COALESCE(CAST(pdhmv.PE_RATE AS DECIMAL(13,7)), 0)</t>
        </is>
      </c>
      <c r="O282" s="377" t="inlineStr">
        <is>
          <t>Source -&gt; PG_BRONZE (1:1) -&gt; PG_SILVER (Temp 1)</t>
        </is>
      </c>
      <c r="P282" s="357" t="inlineStr">
        <is>
          <t>Lãi phạt penalty rate (Map từ PG_BRONZE.T24CORE_PD_PAYMENT_DUE_HIS_MV.PE_RATE -&gt; PG_SILVER.sk_lich_tra_no.PDHMV_PE_RATE)</t>
        </is>
      </c>
    </row>
    <row r="283" ht="14.25" customHeight="1" s="335">
      <c r="A283" s="416">
        <f>C283&amp;D283&amp;E283</f>
        <v/>
      </c>
      <c r="B283" s="416" t="inlineStr">
        <is>
          <t>sk_lich_tra_no</t>
        </is>
      </c>
      <c r="C283" s="416" t="inlineStr">
        <is>
          <t>T24CORE</t>
        </is>
      </c>
      <c r="D283" s="416" t="inlineStr">
        <is>
          <t>PD_PAYMENT_DUE_HIS_MV</t>
        </is>
      </c>
      <c r="E283" s="416" t="inlineStr">
        <is>
          <t>PENALTY_RATE</t>
        </is>
      </c>
      <c r="F283" s="417" t="inlineStr">
        <is>
          <t>1:1</t>
        </is>
      </c>
      <c r="G283" s="417" t="inlineStr">
        <is>
          <t>PG_BRONZE</t>
        </is>
      </c>
      <c r="H283" s="377" t="inlineStr">
        <is>
          <t>T24CORE_PD_PAYMENT_DUE_HIS_MV</t>
        </is>
      </c>
      <c r="I283" s="377" t="inlineStr">
        <is>
          <t>PENALTY_RATE</t>
        </is>
      </c>
      <c r="J283" s="417" t="inlineStr">
        <is>
          <t>PG_SILVER</t>
        </is>
      </c>
      <c r="K283" s="377" t="inlineStr">
        <is>
          <t>PDHMV_PENALTY_RATE</t>
        </is>
      </c>
      <c r="L283" s="417" t="inlineStr">
        <is>
          <t>NUMBER(13.7)</t>
        </is>
      </c>
      <c r="M283" s="377" t="inlineStr">
        <is>
          <t>LEFT JOIN PG_BRONZE.T24CORE_PD_PAYMENT_DUE_HIS_MV pdhmv ON pdmv.RECID = pdhmv.RECID AND pdmv.PAY_TYPE = pdhmv.PAY_TYPE AND pdhmv.FLAG_STATUS = 'LIVE' AND pdhmv.PAY_AMT_OUTS &gt; 0</t>
        </is>
      </c>
      <c r="N283" s="377" t="inlineStr">
        <is>
          <t>COALESCE(CAST(pdhmv.PENALTY_RATE AS DECIMAL(13,7)), 0)</t>
        </is>
      </c>
      <c r="O283" s="377" t="inlineStr">
        <is>
          <t>Source -&gt; PG_BRONZE (1:1) -&gt; PG_SILVER (Temp 1)</t>
        </is>
      </c>
      <c r="P283" s="357" t="inlineStr">
        <is>
          <t>Lãi suất phạt quá hạn danh nghĩa lịch sử (Map từ PG_BRONZE.T24CORE_PD_PAYMENT_DUE_HIS_MV.PENALTY_RATE -&gt; PG_SILVER.sk_lich_tra_no.PDHMV_PENALTY_RATE)</t>
        </is>
      </c>
    </row>
    <row r="284" ht="14.25" customHeight="1" s="335">
      <c r="A284" s="416">
        <f>C284&amp;D284&amp;E284</f>
        <v/>
      </c>
      <c r="B284" s="416" t="inlineStr">
        <is>
          <t>sk_lich_tra_no</t>
        </is>
      </c>
      <c r="C284" s="416" t="inlineStr">
        <is>
          <t>T24CORE</t>
        </is>
      </c>
      <c r="D284" s="416" t="inlineStr">
        <is>
          <t>PD_PAYMENT_DUE_HIS_MV</t>
        </is>
      </c>
      <c r="E284" s="416" t="inlineStr">
        <is>
          <t>RECID</t>
        </is>
      </c>
      <c r="F284" s="417" t="inlineStr">
        <is>
          <t>1:1</t>
        </is>
      </c>
      <c r="G284" s="417" t="inlineStr">
        <is>
          <t>PG_BRONZE</t>
        </is>
      </c>
      <c r="H284" s="377" t="inlineStr">
        <is>
          <t>T24CORE_PD_PAYMENT_DUE_HIS_MV</t>
        </is>
      </c>
      <c r="I284" s="377" t="inlineStr">
        <is>
          <t>RECID</t>
        </is>
      </c>
      <c r="J284" s="417" t="inlineStr">
        <is>
          <t>PG_SILVER</t>
        </is>
      </c>
      <c r="K284" s="377" t="inlineStr">
        <is>
          <t>PDHMV_RECID</t>
        </is>
      </c>
      <c r="L284" s="417" t="inlineStr">
        <is>
          <t>VARCHAR2(100)</t>
        </is>
      </c>
      <c r="M284" s="377" t="inlineStr">
        <is>
          <t>LEFT JOIN PG_BRONZE.T24CORE_PD_PAYMENT_DUE_HIS_MV pdhmv ON pdmv.RECID = pdhmv.RECID AND pdmv.PAY_TYPE = pdhmv.PAY_TYPE AND pdhmv.FLAG_STATUS = 'LIVE' AND pdhmv.PAY_AMT_OUTS &gt; 0</t>
        </is>
      </c>
      <c r="N284" s="377" t="inlineStr">
        <is>
          <t>TRIM(pdhmv.RECID)</t>
        </is>
      </c>
      <c r="O284" s="377" t="inlineStr">
        <is>
          <t>Source -&gt; PG_BRONZE (1:1) -&gt; PG_SILVER (Temp 1)</t>
        </is>
      </c>
      <c r="P284" s="357" t="inlineStr">
        <is>
          <t>Key bản ghi (Map từ PG_BRONZE.T24CORE_PD_PAYMENT_DUE_HIS_MV.RECID -&gt; PG_SILVER.sk_lich_tra_no.PDHMV_RECID)</t>
        </is>
      </c>
    </row>
    <row r="285" ht="14.25" customHeight="1" s="335">
      <c r="A285" s="416">
        <f>C285&amp;D285&amp;E285</f>
        <v/>
      </c>
      <c r="B285" s="416" t="inlineStr">
        <is>
          <t>sk_lich_tra_no</t>
        </is>
      </c>
      <c r="C285" s="416" t="inlineStr">
        <is>
          <t>T24CORE</t>
        </is>
      </c>
      <c r="D285" s="416" t="inlineStr">
        <is>
          <t>PD_PAYMENT_DUE_HIS_MV</t>
        </is>
      </c>
      <c r="E285" s="416" t="inlineStr">
        <is>
          <t>RECORD_STATUS</t>
        </is>
      </c>
      <c r="F285" s="417" t="inlineStr">
        <is>
          <t>1:1</t>
        </is>
      </c>
      <c r="G285" s="417" t="inlineStr">
        <is>
          <t>PG_BRONZE</t>
        </is>
      </c>
      <c r="H285" s="377" t="inlineStr">
        <is>
          <t>T24CORE_PD_PAYMENT_DUE_HIS_MV</t>
        </is>
      </c>
      <c r="I285" s="377" t="inlineStr">
        <is>
          <t>RECORD_STATUS</t>
        </is>
      </c>
      <c r="J285" s="417" t="inlineStr">
        <is>
          <t>PG_SILVER</t>
        </is>
      </c>
      <c r="K285" s="377" t="inlineStr">
        <is>
          <t>PDHMV_RECORD_STATUS</t>
        </is>
      </c>
      <c r="L285" s="417" t="inlineStr">
        <is>
          <t>VARCHAR2(100)</t>
        </is>
      </c>
      <c r="M285" s="377" t="inlineStr">
        <is>
          <t>LEFT JOIN PG_BRONZE.T24CORE_PD_PAYMENT_DUE_HIS_MV pdhmv ON pdmv.RECID = pdhmv.RECID AND pdmv.PAY_TYPE = pdhmv.PAY_TYPE AND pdhmv.FLAG_STATUS = 'LIVE' AND pdhmv.PAY_AMT_OUTS &gt; 0</t>
        </is>
      </c>
      <c r="N285" s="377" t="inlineStr">
        <is>
          <t>TRIM(pdhmv.RECORD_STATUS)</t>
        </is>
      </c>
      <c r="O285" s="377" t="inlineStr">
        <is>
          <t>Source -&gt; PG_BRONZE (1:1) -&gt; PG_SILVER (Temp 1)</t>
        </is>
      </c>
      <c r="P285" s="357" t="inlineStr">
        <is>
          <t>Trạng thái bản ghi (Map từ PG_BRONZE.T24CORE_PD_PAYMENT_DUE_HIS_MV.RECORD_STATUS -&gt; PG_SILVER.sk_lich_tra_no.PDHMV_RECORD_STATUS)</t>
        </is>
      </c>
    </row>
    <row r="286" ht="14.25" customHeight="1" s="335">
      <c r="A286" s="416">
        <f>C286&amp;D286&amp;E286</f>
        <v/>
      </c>
      <c r="B286" s="416" t="inlineStr">
        <is>
          <t>sk_lich_tra_no</t>
        </is>
      </c>
      <c r="C286" s="416" t="inlineStr">
        <is>
          <t>T24CORE</t>
        </is>
      </c>
      <c r="D286" s="416" t="inlineStr">
        <is>
          <t>PD_PAYMENT_DUE_HIS_MV</t>
        </is>
      </c>
      <c r="E286" s="416" t="inlineStr">
        <is>
          <t>REPAYMENT_ACCT</t>
        </is>
      </c>
      <c r="F286" s="417" t="inlineStr">
        <is>
          <t>1:1</t>
        </is>
      </c>
      <c r="G286" s="417" t="inlineStr">
        <is>
          <t>PG_BRONZE</t>
        </is>
      </c>
      <c r="H286" s="377" t="inlineStr">
        <is>
          <t>T24CORE_PD_PAYMENT_DUE_HIS_MV</t>
        </is>
      </c>
      <c r="I286" s="377" t="inlineStr">
        <is>
          <t>REPAYMENT_ACCT</t>
        </is>
      </c>
      <c r="J286" s="417" t="inlineStr">
        <is>
          <t>PG_SILVER</t>
        </is>
      </c>
      <c r="K286" s="377" t="inlineStr">
        <is>
          <t>PDHMV_REPAYMENT_ACCT</t>
        </is>
      </c>
      <c r="L286" s="417" t="inlineStr">
        <is>
          <t>VARCHAR2(100)</t>
        </is>
      </c>
      <c r="M286" s="377" t="inlineStr">
        <is>
          <t>LEFT JOIN PG_BRONZE.T24CORE_PD_PAYMENT_DUE_HIS_MV pdhmv ON pdmv.RECID = pdhmv.RECID AND pdmv.PAY_TYPE = pdhmv.PAY_TYPE AND pdhmv.FLAG_STATUS = 'LIVE' AND pdhmv.PAY_AMT_OUTS &gt; 0</t>
        </is>
      </c>
      <c r="N286" s="377" t="inlineStr">
        <is>
          <t>TRIM(pdhmv.REPAYMENT_ACCT)</t>
        </is>
      </c>
      <c r="O286" s="377" t="inlineStr">
        <is>
          <t>Source -&gt; PG_BRONZE (1:1) -&gt; PG_SILVER (Temp 1)</t>
        </is>
      </c>
      <c r="P286" s="357" t="inlineStr">
        <is>
          <t>Số tài khoản thanh toán (Map từ PG_BRONZE.T24CORE_PD_PAYMENT_DUE_HIS_MV.REPAYMENT_ACCT -&gt; PG_SILVER.sk_lich_tra_no.PDHMV_REPAYMENT_ACCT)</t>
        </is>
      </c>
    </row>
    <row r="287" ht="14.25" customHeight="1" s="335">
      <c r="A287" s="416">
        <f>C287&amp;D287&amp;E287</f>
        <v/>
      </c>
      <c r="B287" s="416" t="inlineStr">
        <is>
          <t>sk_lich_tra_no</t>
        </is>
      </c>
      <c r="C287" s="416" t="inlineStr">
        <is>
          <t>T24CORE</t>
        </is>
      </c>
      <c r="D287" s="416" t="inlineStr">
        <is>
          <t>PD_PAYMENT_DUE_MV</t>
        </is>
      </c>
      <c r="E287" s="416" t="inlineStr">
        <is>
          <t>ACC_FCC</t>
        </is>
      </c>
      <c r="F287" s="417" t="inlineStr">
        <is>
          <t>1:1</t>
        </is>
      </c>
      <c r="G287" s="417" t="inlineStr">
        <is>
          <t>PG_BRONZE</t>
        </is>
      </c>
      <c r="H287" s="377" t="inlineStr">
        <is>
          <t>T24CORE_PD_PAYMENT_DUE_MV</t>
        </is>
      </c>
      <c r="I287" s="377" t="inlineStr">
        <is>
          <t>ACC_FCC</t>
        </is>
      </c>
      <c r="J287" s="417" t="inlineStr">
        <is>
          <t>PG_SILVER</t>
        </is>
      </c>
      <c r="K287" s="377" t="inlineStr">
        <is>
          <t>ACC_FCC</t>
        </is>
      </c>
      <c r="L287" s="417" t="inlineStr">
        <is>
          <t>VARCHAR2(100)</t>
        </is>
      </c>
      <c r="M287" s="377" t="inlineStr">
        <is>
          <t>FROM PG_BRONZE.T24CORE_PD_PAYMENT_DUE_MV pdmv WHERE pdmv.FLAG_STATUS &lt;&gt; 'DELETE'</t>
        </is>
      </c>
      <c r="N287" s="377" t="inlineStr">
        <is>
          <t>TRIM(pdmv.ACC_FCC)</t>
        </is>
      </c>
      <c r="O287" s="377" t="inlineStr">
        <is>
          <t>Source -&gt; PG_BRONZE (1:1) -&gt; PG_SILVER (Temp 1)</t>
        </is>
      </c>
      <c r="P287" s="357" t="inlineStr">
        <is>
          <t>Mã hợp đồng FlexCube (Map từ PG_BRONZE.T24CORE_PD_PAYMENT_DUE_MV.ACC_FCC -&gt; PG_SILVER.sk_lich_tra_no.ACC_FCC)</t>
        </is>
      </c>
    </row>
    <row r="288" ht="14.25" customHeight="1" s="335">
      <c r="A288" s="416">
        <f>C288&amp;D288&amp;E288</f>
        <v/>
      </c>
      <c r="B288" s="416" t="inlineStr">
        <is>
          <t>sk_lich_tra_no</t>
        </is>
      </c>
      <c r="C288" s="416" t="inlineStr">
        <is>
          <t>T24CORE</t>
        </is>
      </c>
      <c r="D288" s="416" t="inlineStr">
        <is>
          <t>PD_PAYMENT_DUE_MV</t>
        </is>
      </c>
      <c r="E288" s="416" t="inlineStr">
        <is>
          <t>APPROVE_AMOUNT</t>
        </is>
      </c>
      <c r="F288" s="417" t="inlineStr">
        <is>
          <t>1:1</t>
        </is>
      </c>
      <c r="G288" s="417" t="inlineStr">
        <is>
          <t>PG_BRONZE</t>
        </is>
      </c>
      <c r="H288" s="377" t="inlineStr">
        <is>
          <t>T24CORE_PD_PAYMENT_DUE_MV</t>
        </is>
      </c>
      <c r="I288" s="377" t="inlineStr">
        <is>
          <t>APPROVE_AMOUNT</t>
        </is>
      </c>
      <c r="J288" s="417" t="inlineStr">
        <is>
          <t>PG_SILVER</t>
        </is>
      </c>
      <c r="K288" s="377" t="inlineStr">
        <is>
          <t>APPROVE_AMOUNT</t>
        </is>
      </c>
      <c r="L288" s="417" t="inlineStr">
        <is>
          <t>NUMBER(25.5)</t>
        </is>
      </c>
      <c r="M288" s="377" t="inlineStr">
        <is>
          <t>FROM PG_BRONZE.T24CORE_PD_PAYMENT_DUE_MV pdmv WHERE pdmv.FLAG_STATUS &lt;&gt; 'DELETE'</t>
        </is>
      </c>
      <c r="N288" s="377" t="inlineStr">
        <is>
          <t>COALESCE(CAST(pdmv.APPROVE_AMOUNT AS DECIMAL(25,5)), 0)</t>
        </is>
      </c>
      <c r="O288" s="377" t="inlineStr">
        <is>
          <t>Source -&gt; PG_BRONZE (1:1) -&gt; PG_SILVER (Temp 1)</t>
        </is>
      </c>
      <c r="P288" s="357" t="inlineStr">
        <is>
          <t>Giá trị giải ngân (Map từ PG_BRONZE.T24CORE_PD_PAYMENT_DUE_MV.APPROVE_AMOUNT -&gt; PG_SILVER.sk_lich_tra_no.APPROVE_AMOUNT)</t>
        </is>
      </c>
    </row>
    <row r="289" ht="14.25" customHeight="1" s="335">
      <c r="A289" s="416">
        <f>C289&amp;D289&amp;E289</f>
        <v/>
      </c>
      <c r="B289" s="416" t="inlineStr">
        <is>
          <t>sk_lich_tra_no</t>
        </is>
      </c>
      <c r="C289" s="416" t="inlineStr">
        <is>
          <t>T24CORE</t>
        </is>
      </c>
      <c r="D289" s="416" t="inlineStr">
        <is>
          <t>PD_PAYMENT_DUE_MV</t>
        </is>
      </c>
      <c r="E289" s="416" t="inlineStr">
        <is>
          <t>CATEGORY</t>
        </is>
      </c>
      <c r="F289" s="417" t="inlineStr">
        <is>
          <t>1:1</t>
        </is>
      </c>
      <c r="G289" s="417" t="inlineStr">
        <is>
          <t>PG_BRONZE</t>
        </is>
      </c>
      <c r="H289" s="377" t="inlineStr">
        <is>
          <t>T24CORE_PD_PAYMENT_DUE_MV</t>
        </is>
      </c>
      <c r="I289" s="377" t="inlineStr">
        <is>
          <t>CATEGORY</t>
        </is>
      </c>
      <c r="J289" s="417" t="inlineStr">
        <is>
          <t>PG_SILVER</t>
        </is>
      </c>
      <c r="K289" s="377" t="inlineStr">
        <is>
          <t>CATEGORY</t>
        </is>
      </c>
      <c r="L289" s="417" t="inlineStr">
        <is>
          <t>VARCHAR2(100)</t>
        </is>
      </c>
      <c r="M289" s="377" t="inlineStr">
        <is>
          <t>FROM PG_BRONZE.T24CORE_PD_PAYMENT_DUE_MV pdmv WHERE pdmv.FLAG_STATUS &lt;&gt; 'DELETE'</t>
        </is>
      </c>
      <c r="N289" s="377" t="inlineStr">
        <is>
          <t>TRIM(pdmv.CATEGORY)</t>
        </is>
      </c>
      <c r="O289" s="377" t="inlineStr">
        <is>
          <t>Source -&gt; PG_BRONZE (1:1) -&gt; PG_SILVER (Temp 1)</t>
        </is>
      </c>
      <c r="P289" s="357" t="inlineStr">
        <is>
          <t>Mã phân loại sản phẩm vay (Map từ PG_BRONZE.T24CORE_PD_PAYMENT_DUE_MV.CATEGORY -&gt; PG_SILVER.sk_lich_tra_no.CATEGORY)</t>
        </is>
      </c>
    </row>
    <row r="290" ht="14.25" customHeight="1" s="335">
      <c r="A290" s="416">
        <f>C290&amp;D290&amp;E290</f>
        <v/>
      </c>
      <c r="B290" s="416" t="inlineStr">
        <is>
          <t>sk_lich_tra_no</t>
        </is>
      </c>
      <c r="C290" s="416" t="inlineStr">
        <is>
          <t>T24CORE</t>
        </is>
      </c>
      <c r="D290" s="416" t="inlineStr">
        <is>
          <t>PD_PAYMENT_DUE_MV</t>
        </is>
      </c>
      <c r="E290" s="416" t="inlineStr">
        <is>
          <t>CO_CODE</t>
        </is>
      </c>
      <c r="F290" s="417" t="inlineStr">
        <is>
          <t>1:1</t>
        </is>
      </c>
      <c r="G290" s="417" t="inlineStr">
        <is>
          <t>PG_BRONZE</t>
        </is>
      </c>
      <c r="H290" s="377" t="inlineStr">
        <is>
          <t>T24CORE_PD_PAYMENT_DUE_MV</t>
        </is>
      </c>
      <c r="I290" s="377" t="inlineStr">
        <is>
          <t>CO_CODE</t>
        </is>
      </c>
      <c r="J290" s="417" t="inlineStr">
        <is>
          <t>PG_SILVER</t>
        </is>
      </c>
      <c r="K290" s="377" t="inlineStr">
        <is>
          <t>CO_CODE</t>
        </is>
      </c>
      <c r="L290" s="417" t="inlineStr">
        <is>
          <t>VARCHAR2(100)</t>
        </is>
      </c>
      <c r="M290" s="377" t="inlineStr">
        <is>
          <t>FROM PG_BRONZE.T24CORE_PD_PAYMENT_DUE_MV pdmv WHERE pdmv.FLAG_STATUS &lt;&gt; 'DELETE'</t>
        </is>
      </c>
      <c r="N290" s="377" t="inlineStr">
        <is>
          <t>TRIM(pdmv.CO_CODE)</t>
        </is>
      </c>
      <c r="O290" s="377" t="inlineStr">
        <is>
          <t>Source -&gt; PG_BRONZE (1:1) -&gt; PG_SILVER (Temp 1)</t>
        </is>
      </c>
      <c r="P290" s="357" t="inlineStr">
        <is>
          <t>Mã chi nhánh (Map từ PG_BRONZE.T24CORE_PD_PAYMENT_DUE_MV.CO_CODE -&gt; PG_SILVER.sk_lich_tra_no.CO_CODE)</t>
        </is>
      </c>
    </row>
    <row r="291" ht="14.25" customHeight="1" s="335">
      <c r="A291" s="416">
        <f>C291&amp;D291&amp;E291</f>
        <v/>
      </c>
      <c r="B291" s="416" t="inlineStr">
        <is>
          <t>sk_lich_tra_no</t>
        </is>
      </c>
      <c r="C291" s="416" t="inlineStr">
        <is>
          <t>T24CORE</t>
        </is>
      </c>
      <c r="D291" s="416" t="inlineStr">
        <is>
          <t>PD_PAYMENT_DUE_MV</t>
        </is>
      </c>
      <c r="E291" s="416" t="inlineStr">
        <is>
          <t>COMMIT_ACTION</t>
        </is>
      </c>
      <c r="F291" s="417" t="inlineStr">
        <is>
          <t>1:1</t>
        </is>
      </c>
      <c r="G291" s="417" t="inlineStr">
        <is>
          <t>PG_BRONZE</t>
        </is>
      </c>
      <c r="H291" s="377" t="inlineStr">
        <is>
          <t>T24CORE_PD_PAYMENT_DUE_MV</t>
        </is>
      </c>
      <c r="I291" s="377" t="inlineStr">
        <is>
          <t>COMMIT_ACTION</t>
        </is>
      </c>
      <c r="J291" s="417" t="inlineStr">
        <is>
          <t>PG_SILVER</t>
        </is>
      </c>
      <c r="K291" s="377" t="inlineStr">
        <is>
          <t>COMMIT_ACTION</t>
        </is>
      </c>
      <c r="L291" s="417" t="inlineStr">
        <is>
          <t>VARCHAR2(100)</t>
        </is>
      </c>
      <c r="M291" s="377" t="inlineStr">
        <is>
          <t>FROM PG_BRONZE.T24CORE_PD_PAYMENT_DUE_MV pdmv WHERE pdmv.FLAG_STATUS &lt;&gt; 'DELETE'</t>
        </is>
      </c>
      <c r="N291" s="377" t="inlineStr">
        <is>
          <t>TRIM(pdmv.COMMIT_ACTION)</t>
        </is>
      </c>
      <c r="O291" s="377" t="inlineStr">
        <is>
          <t>Source -&gt; PG_BRONZE (1:1) -&gt; PG_SILVER (Temp 1)</t>
        </is>
      </c>
      <c r="P291" s="357" t="inlineStr">
        <is>
          <t>Trường COMMIT_ACTION của bảng nguồn T24CORE.PD_PAYMENT_DUE_MV (Map từ PG_BRONZE.T24CORE_PD_PAYMENT_DUE_MV.COMMIT_ACTION -&gt; PG_SILVER.sk_lich_tra_no.COMMIT_ACTION)</t>
        </is>
      </c>
    </row>
    <row r="292" ht="14.25" customHeight="1" s="335">
      <c r="A292" s="416">
        <f>C292&amp;D292&amp;E292</f>
        <v/>
      </c>
      <c r="B292" s="416" t="inlineStr">
        <is>
          <t>sk_lich_tra_no</t>
        </is>
      </c>
      <c r="C292" s="416" t="inlineStr">
        <is>
          <t>T24CORE</t>
        </is>
      </c>
      <c r="D292" s="416" t="inlineStr">
        <is>
          <t>PD_PAYMENT_DUE_MV</t>
        </is>
      </c>
      <c r="E292" s="416" t="inlineStr">
        <is>
          <t>CREDIT_STATUS</t>
        </is>
      </c>
      <c r="F292" s="417" t="inlineStr">
        <is>
          <t>1:1</t>
        </is>
      </c>
      <c r="G292" s="417" t="inlineStr">
        <is>
          <t>PG_BRONZE</t>
        </is>
      </c>
      <c r="H292" s="377" t="inlineStr">
        <is>
          <t>T24CORE_PD_PAYMENT_DUE_MV</t>
        </is>
      </c>
      <c r="I292" s="377" t="inlineStr">
        <is>
          <t>CREDIT_STATUS</t>
        </is>
      </c>
      <c r="J292" s="417" t="inlineStr">
        <is>
          <t>PG_SILVER</t>
        </is>
      </c>
      <c r="K292" s="377" t="inlineStr">
        <is>
          <t>CREDIT_STATUS</t>
        </is>
      </c>
      <c r="L292" s="417" t="inlineStr">
        <is>
          <t>VARCHAR2(100)</t>
        </is>
      </c>
      <c r="M292" s="377" t="inlineStr">
        <is>
          <t>FROM PG_BRONZE.T24CORE_PD_PAYMENT_DUE_MV pdmv WHERE pdmv.FLAG_STATUS &lt;&gt; 'DELETE'</t>
        </is>
      </c>
      <c r="N292" s="377" t="inlineStr">
        <is>
          <t>TRIM(pdmv.CREDIT_STATUS)</t>
        </is>
      </c>
      <c r="O292" s="377" t="inlineStr">
        <is>
          <t>Source -&gt; PG_BRONZE (1:1) -&gt; PG_SILVER (Temp 1)</t>
        </is>
      </c>
      <c r="P292" s="357" t="inlineStr">
        <is>
          <t>Nhóm nợ hợp đồng (Map từ PG_BRONZE.T24CORE_PD_PAYMENT_DUE_MV.CREDIT_STATUS -&gt; PG_SILVER.sk_lich_tra_no.CREDIT_STATUS)</t>
        </is>
      </c>
    </row>
    <row r="293" ht="14.25" customHeight="1" s="335">
      <c r="A293" s="416">
        <f>C293&amp;D293&amp;E293</f>
        <v/>
      </c>
      <c r="B293" s="416" t="inlineStr">
        <is>
          <t>sk_lich_tra_no</t>
        </is>
      </c>
      <c r="C293" s="416" t="inlineStr">
        <is>
          <t>T24CORE</t>
        </is>
      </c>
      <c r="D293" s="416" t="inlineStr">
        <is>
          <t>PD_PAYMENT_DUE_MV</t>
        </is>
      </c>
      <c r="E293" s="416" t="inlineStr">
        <is>
          <t>CURR_NO</t>
        </is>
      </c>
      <c r="F293" s="417" t="inlineStr">
        <is>
          <t>1:1</t>
        </is>
      </c>
      <c r="G293" s="417" t="inlineStr">
        <is>
          <t>PG_BRONZE</t>
        </is>
      </c>
      <c r="H293" s="377" t="inlineStr">
        <is>
          <t>T24CORE_PD_PAYMENT_DUE_MV</t>
        </is>
      </c>
      <c r="I293" s="377" t="inlineStr">
        <is>
          <t>CURR_NO</t>
        </is>
      </c>
      <c r="J293" s="417" t="inlineStr">
        <is>
          <t>PG_SILVER</t>
        </is>
      </c>
      <c r="K293" s="377" t="inlineStr">
        <is>
          <t>CURR_NO</t>
        </is>
      </c>
      <c r="L293" s="417" t="inlineStr">
        <is>
          <t>NUMBER(10)</t>
        </is>
      </c>
      <c r="M293" s="377" t="inlineStr">
        <is>
          <t>FROM PG_BRONZE.T24CORE_PD_PAYMENT_DUE_MV pdmv WHERE pdmv.FLAG_STATUS &lt;&gt; 'DELETE'</t>
        </is>
      </c>
      <c r="N293" s="377" t="inlineStr">
        <is>
          <t>COALESCE(CAST(pdmv.CURR_NO AS DECIMAL(10)), 0)</t>
        </is>
      </c>
      <c r="O293" s="377" t="inlineStr">
        <is>
          <t>Source -&gt; PG_BRONZE (1:1) -&gt; PG_SILVER (Temp 1)</t>
        </is>
      </c>
      <c r="P293" s="357" t="inlineStr">
        <is>
          <t>Version hiện tại của bản ghi (Map từ PG_BRONZE.T24CORE_PD_PAYMENT_DUE_MV.CURR_NO -&gt; PG_SILVER.sk_lich_tra_no.CURR_NO)</t>
        </is>
      </c>
    </row>
    <row r="294" ht="14.25" customHeight="1" s="335">
      <c r="A294" s="416">
        <f>C294&amp;D294&amp;E294</f>
        <v/>
      </c>
      <c r="B294" s="416" t="inlineStr">
        <is>
          <t>sk_lich_tra_no</t>
        </is>
      </c>
      <c r="C294" s="416" t="inlineStr">
        <is>
          <t>T24CORE</t>
        </is>
      </c>
      <c r="D294" s="416" t="inlineStr">
        <is>
          <t>PD_PAYMENT_DUE_MV</t>
        </is>
      </c>
      <c r="E294" s="416" t="inlineStr">
        <is>
          <t>CUSTOMER</t>
        </is>
      </c>
      <c r="F294" s="417" t="inlineStr">
        <is>
          <t>1:1</t>
        </is>
      </c>
      <c r="G294" s="417" t="inlineStr">
        <is>
          <t>PG_BRONZE</t>
        </is>
      </c>
      <c r="H294" s="377" t="inlineStr">
        <is>
          <t>T24CORE_PD_PAYMENT_DUE_MV</t>
        </is>
      </c>
      <c r="I294" s="377" t="inlineStr">
        <is>
          <t>CUSTOMER</t>
        </is>
      </c>
      <c r="J294" s="417" t="inlineStr">
        <is>
          <t>PG_SILVER</t>
        </is>
      </c>
      <c r="K294" s="377" t="inlineStr">
        <is>
          <t>CUSTOMER</t>
        </is>
      </c>
      <c r="L294" s="417" t="inlineStr">
        <is>
          <t>VARCHAR2(100)</t>
        </is>
      </c>
      <c r="M294" s="377" t="inlineStr">
        <is>
          <t>FROM PG_BRONZE.T24CORE_PD_PAYMENT_DUE_MV pdmv WHERE pdmv.FLAG_STATUS &lt;&gt; 'DELETE'</t>
        </is>
      </c>
      <c r="N294" s="377" t="inlineStr">
        <is>
          <t>TRIM(pdmv.CUSTOMER)</t>
        </is>
      </c>
      <c r="O294" s="377" t="inlineStr">
        <is>
          <t>Source -&gt; PG_BRONZE (1:1) -&gt; PG_SILVER (Temp 1)</t>
        </is>
      </c>
      <c r="P294" s="357" t="inlineStr">
        <is>
          <t>Mã khách hàng (Map từ PG_BRONZE.T24CORE_PD_PAYMENT_DUE_MV.CUSTOMER -&gt; PG_SILVER.sk_lich_tra_no.CUSTOMER)</t>
        </is>
      </c>
    </row>
    <row r="295" ht="14.25" customHeight="1" s="335">
      <c r="A295" s="416">
        <f>C295&amp;D295&amp;E295</f>
        <v/>
      </c>
      <c r="B295" s="416" t="inlineStr">
        <is>
          <t>sk_lich_tra_no</t>
        </is>
      </c>
      <c r="C295" s="416" t="inlineStr">
        <is>
          <t>T24CORE</t>
        </is>
      </c>
      <c r="D295" s="416" t="inlineStr">
        <is>
          <t>PD_PAYMENT_DUE_MV</t>
        </is>
      </c>
      <c r="E295" s="416" t="inlineStr">
        <is>
          <t>DATE_TIME</t>
        </is>
      </c>
      <c r="F295" s="417" t="inlineStr">
        <is>
          <t>1:1</t>
        </is>
      </c>
      <c r="G295" s="417" t="inlineStr">
        <is>
          <t>PG_BRONZE</t>
        </is>
      </c>
      <c r="H295" s="377" t="inlineStr">
        <is>
          <t>T24CORE_PD_PAYMENT_DUE_MV</t>
        </is>
      </c>
      <c r="I295" s="377" t="inlineStr">
        <is>
          <t>DATE_TIME</t>
        </is>
      </c>
      <c r="J295" s="417" t="inlineStr">
        <is>
          <t>PG_SILVER</t>
        </is>
      </c>
      <c r="K295" s="377" t="inlineStr">
        <is>
          <t>DATE_TIME</t>
        </is>
      </c>
      <c r="L295" s="417" t="inlineStr">
        <is>
          <t>DATE</t>
        </is>
      </c>
      <c r="M295" s="377" t="inlineStr">
        <is>
          <t>FROM PG_BRONZE.T24CORE_PD_PAYMENT_DUE_MV pdmv WHERE pdmv.FLAG_STATUS &lt;&gt; 'DELETE'</t>
        </is>
      </c>
      <c r="N295" s="377" t="inlineStr">
        <is>
          <t>TO_DATE(CAST(pdmv.DATE_TIME AS VARCHAR(20)), 'YYYYMMDD')</t>
        </is>
      </c>
      <c r="O295" s="377" t="inlineStr">
        <is>
          <t>Source -&gt; PG_BRONZE (1:1) -&gt; PG_SILVER (Temp 1)</t>
        </is>
      </c>
      <c r="P295" s="357" t="inlineStr">
        <is>
          <t>Trường DATE_TIME của bảng nguồn T24CORE.PD_PAYMENT_DUE_MV (Map từ PG_BRONZE.T24CORE_PD_PAYMENT_DUE_MV.DATE_TIME -&gt; PG_SILVER.sk_lich_tra_no.DATE_TIME)</t>
        </is>
      </c>
    </row>
    <row r="296" ht="14.25" customHeight="1" s="335">
      <c r="A296" s="416">
        <f>C296&amp;D296&amp;E296</f>
        <v/>
      </c>
      <c r="B296" s="416" t="inlineStr">
        <is>
          <t>sk_lich_tra_no</t>
        </is>
      </c>
      <c r="C296" s="416" t="inlineStr">
        <is>
          <t>T24CORE</t>
        </is>
      </c>
      <c r="D296" s="416" t="inlineStr">
        <is>
          <t>PD_PAYMENT_DUE_MV</t>
        </is>
      </c>
      <c r="E296" s="416" t="inlineStr">
        <is>
          <t>FINAL_DUE_DATE</t>
        </is>
      </c>
      <c r="F296" s="417" t="inlineStr">
        <is>
          <t>1:1</t>
        </is>
      </c>
      <c r="G296" s="417" t="inlineStr">
        <is>
          <t>PG_BRONZE</t>
        </is>
      </c>
      <c r="H296" s="377" t="inlineStr">
        <is>
          <t>T24CORE_PD_PAYMENT_DUE_MV</t>
        </is>
      </c>
      <c r="I296" s="377" t="inlineStr">
        <is>
          <t>FINAL_DUE_DATE</t>
        </is>
      </c>
      <c r="J296" s="417" t="inlineStr">
        <is>
          <t>PG_SILVER</t>
        </is>
      </c>
      <c r="K296" s="377" t="inlineStr">
        <is>
          <t>FINAL_DUE_DATE</t>
        </is>
      </c>
      <c r="L296" s="417" t="inlineStr">
        <is>
          <t>DATE</t>
        </is>
      </c>
      <c r="M296" s="377" t="inlineStr">
        <is>
          <t>FROM PG_BRONZE.T24CORE_PD_PAYMENT_DUE_MV pdmv WHERE pdmv.FLAG_STATUS &lt;&gt; 'DELETE'</t>
        </is>
      </c>
      <c r="N296" s="377" t="inlineStr">
        <is>
          <t>TO_DATE(CAST(pdmv.FINAL_DUE_DATE AS VARCHAR(20)), 'YYYYMMDD')</t>
        </is>
      </c>
      <c r="O296" s="377" t="inlineStr">
        <is>
          <t>Source -&gt; PG_BRONZE (1:1) -&gt; PG_SILVER (Temp 1)</t>
        </is>
      </c>
      <c r="P296" s="357" t="inlineStr">
        <is>
          <t>Ngày trả nơ cuối khi quá hạn (Map từ PG_BRONZE.T24CORE_PD_PAYMENT_DUE_MV.FINAL_DUE_DATE -&gt; PG_SILVER.sk_lich_tra_no.FINAL_DUE_DATE)</t>
        </is>
      </c>
    </row>
    <row r="297" ht="14.25" customHeight="1" s="335">
      <c r="A297" s="416">
        <f>C297&amp;D297&amp;E297</f>
        <v/>
      </c>
      <c r="B297" s="416" t="inlineStr">
        <is>
          <t>sk_lich_tra_no</t>
        </is>
      </c>
      <c r="C297" s="416" t="inlineStr">
        <is>
          <t>T24CORE</t>
        </is>
      </c>
      <c r="D297" s="416" t="inlineStr">
        <is>
          <t>PD_PAYMENT_DUE_MV</t>
        </is>
      </c>
      <c r="E297" s="416" t="inlineStr">
        <is>
          <t>FLAG_STATUS</t>
        </is>
      </c>
      <c r="F297" s="417" t="inlineStr">
        <is>
          <t>1:1</t>
        </is>
      </c>
      <c r="G297" s="417" t="inlineStr">
        <is>
          <t>PG_BRONZE</t>
        </is>
      </c>
      <c r="H297" s="377" t="inlineStr">
        <is>
          <t>T24CORE_PD_PAYMENT_DUE_MV</t>
        </is>
      </c>
      <c r="I297" s="377" t="inlineStr">
        <is>
          <t>FLAG_STATUS</t>
        </is>
      </c>
      <c r="J297" s="417" t="inlineStr">
        <is>
          <t>PG_SILVER</t>
        </is>
      </c>
      <c r="K297" s="377" t="inlineStr">
        <is>
          <t>FLAG_STATUS</t>
        </is>
      </c>
      <c r="L297" s="417" t="inlineStr">
        <is>
          <t>VARCHAR2(100)</t>
        </is>
      </c>
      <c r="M297" s="377" t="inlineStr">
        <is>
          <t>FROM PG_BRONZE.T24CORE_PD_PAYMENT_DUE_MV pdmv WHERE pdmv.FLAG_STATUS &lt;&gt; 'DELETE'</t>
        </is>
      </c>
      <c r="N297" s="377" t="inlineStr">
        <is>
          <t>TRIM(pdmv.FLAG_STATUS)</t>
        </is>
      </c>
      <c r="O297" s="377" t="inlineStr">
        <is>
          <t>Source -&gt; PG_BRONZE (1:1) -&gt; PG_SILVER (Temp 1)</t>
        </is>
      </c>
      <c r="P297" s="357" t="inlineStr">
        <is>
          <t>Cờ đánh dấu trạng thái bản ghi (Map từ PG_BRONZE.T24CORE_PD_PAYMENT_DUE_MV.FLAG_STATUS -&gt; PG_SILVER.sk_lich_tra_no.FLAG_STATUS)</t>
        </is>
      </c>
    </row>
    <row r="298" ht="14.25" customHeight="1" s="335">
      <c r="A298" s="416">
        <f>C298&amp;D298&amp;E298</f>
        <v/>
      </c>
      <c r="B298" s="416" t="inlineStr">
        <is>
          <t>sk_lich_tra_no</t>
        </is>
      </c>
      <c r="C298" s="416" t="inlineStr">
        <is>
          <t>T24CORE</t>
        </is>
      </c>
      <c r="D298" s="416" t="inlineStr">
        <is>
          <t>PD_PAYMENT_DUE_MV</t>
        </is>
      </c>
      <c r="E298" s="416" t="inlineStr">
        <is>
          <t>ID</t>
        </is>
      </c>
      <c r="F298" s="417" t="inlineStr">
        <is>
          <t>1:1</t>
        </is>
      </c>
      <c r="G298" s="417" t="inlineStr">
        <is>
          <t>PG_BRONZE</t>
        </is>
      </c>
      <c r="H298" s="377" t="inlineStr">
        <is>
          <t>T24CORE_PD_PAYMENT_DUE_MV</t>
        </is>
      </c>
      <c r="I298" s="377" t="inlineStr">
        <is>
          <t>ID</t>
        </is>
      </c>
      <c r="J298" s="417" t="inlineStr">
        <is>
          <t>PG_SILVER</t>
        </is>
      </c>
      <c r="K298" s="377" t="inlineStr">
        <is>
          <t>ID</t>
        </is>
      </c>
      <c r="L298" s="417" t="inlineStr">
        <is>
          <t>VARCHAR2(100)</t>
        </is>
      </c>
      <c r="M298" s="377" t="inlineStr">
        <is>
          <t>FROM PG_BRONZE.T24CORE_PD_PAYMENT_DUE_MV pdmv WHERE pdmv.FLAG_STATUS &lt;&gt; 'DELETE'</t>
        </is>
      </c>
      <c r="N298" s="377" t="inlineStr">
        <is>
          <t>TRIM(pdmv.ID)</t>
        </is>
      </c>
      <c r="O298" s="377" t="inlineStr">
        <is>
          <t>Source -&gt; PG_BRONZE (1:1) -&gt; PG_SILVER (Temp 1)</t>
        </is>
      </c>
      <c r="P298" s="357" t="inlineStr">
        <is>
          <t>Mã hợp đồng (Map từ PG_BRONZE.T24CORE_PD_PAYMENT_DUE_MV.ID -&gt; PG_SILVER.sk_lich_tra_no.ID)</t>
        </is>
      </c>
    </row>
    <row r="299" ht="14.25" customHeight="1" s="335">
      <c r="A299" s="416">
        <f>C299&amp;D299&amp;E299</f>
        <v/>
      </c>
      <c r="B299" s="416" t="inlineStr">
        <is>
          <t>sk_lich_tra_no</t>
        </is>
      </c>
      <c r="C299" s="416" t="inlineStr">
        <is>
          <t>T24CORE</t>
        </is>
      </c>
      <c r="D299" s="416" t="inlineStr">
        <is>
          <t>PD_PAYMENT_DUE_MV</t>
        </is>
      </c>
      <c r="E299" s="416" t="inlineStr">
        <is>
          <t>ORIGINAL_MAT</t>
        </is>
      </c>
      <c r="F299" s="417" t="inlineStr">
        <is>
          <t>1:1</t>
        </is>
      </c>
      <c r="G299" s="417" t="inlineStr">
        <is>
          <t>PG_BRONZE</t>
        </is>
      </c>
      <c r="H299" s="377" t="inlineStr">
        <is>
          <t>T24CORE_PD_PAYMENT_DUE_MV</t>
        </is>
      </c>
      <c r="I299" s="377" t="inlineStr">
        <is>
          <t>ORIGINAL_MAT</t>
        </is>
      </c>
      <c r="J299" s="417" t="inlineStr">
        <is>
          <t>PG_SILVER</t>
        </is>
      </c>
      <c r="K299" s="377" t="inlineStr">
        <is>
          <t>ORIGINAL_MAT</t>
        </is>
      </c>
      <c r="L299" s="417" t="inlineStr">
        <is>
          <t>DATE</t>
        </is>
      </c>
      <c r="M299" s="377" t="inlineStr">
        <is>
          <t>FROM PG_BRONZE.T24CORE_PD_PAYMENT_DUE_MV pdmv WHERE pdmv.FLAG_STATUS &lt;&gt; 'DELETE'</t>
        </is>
      </c>
      <c r="N299" s="377" t="inlineStr">
        <is>
          <t>TO_DATE(CAST(pdmv.ORIGINAL_MAT AS VARCHAR(20)), 'YYYYMMDD')</t>
        </is>
      </c>
      <c r="O299" s="377" t="inlineStr">
        <is>
          <t>Source -&gt; PG_BRONZE (1:1) -&gt; PG_SILVER (Temp 1)</t>
        </is>
      </c>
      <c r="P299" s="357" t="inlineStr">
        <is>
          <t>Ngày đáo hạn gốc (Map từ PG_BRONZE.T24CORE_PD_PAYMENT_DUE_MV.ORIGINAL_MAT -&gt; PG_SILVER.sk_lich_tra_no.ORIGINAL_MAT)</t>
        </is>
      </c>
    </row>
    <row r="300" ht="14.25" customHeight="1" s="335">
      <c r="A300" s="416">
        <f>C300&amp;D300&amp;E300</f>
        <v/>
      </c>
      <c r="B300" s="416" t="inlineStr">
        <is>
          <t>sk_lich_tra_no</t>
        </is>
      </c>
      <c r="C300" s="416" t="inlineStr">
        <is>
          <t>T24CORE</t>
        </is>
      </c>
      <c r="D300" s="416" t="inlineStr">
        <is>
          <t>PD_PAYMENT_DUE_MV</t>
        </is>
      </c>
      <c r="E300" s="416" t="inlineStr">
        <is>
          <t>PAY_AMT_OUTS</t>
        </is>
      </c>
      <c r="F300" s="417" t="inlineStr">
        <is>
          <t>1:1</t>
        </is>
      </c>
      <c r="G300" s="417" t="inlineStr">
        <is>
          <t>PG_BRONZE</t>
        </is>
      </c>
      <c r="H300" s="377" t="inlineStr">
        <is>
          <t>T24CORE_PD_PAYMENT_DUE_MV</t>
        </is>
      </c>
      <c r="I300" s="377" t="inlineStr">
        <is>
          <t>PAY_AMT_OUTS</t>
        </is>
      </c>
      <c r="J300" s="417" t="inlineStr">
        <is>
          <t>PG_SILVER</t>
        </is>
      </c>
      <c r="K300" s="377" t="inlineStr">
        <is>
          <t>PAY_AMT_OUTS</t>
        </is>
      </c>
      <c r="L300" s="417" t="inlineStr">
        <is>
          <t>NUMBER(25.5)</t>
        </is>
      </c>
      <c r="M300" s="377" t="inlineStr">
        <is>
          <t>FROM PG_BRONZE.T24CORE_PD_PAYMENT_DUE_MV pdmv WHERE pdmv.FLAG_STATUS &lt;&gt; 'DELETE'</t>
        </is>
      </c>
      <c r="N300" s="377" t="inlineStr">
        <is>
          <t>COALESCE(CAST(pdmv.PAY_AMT_OUTS AS DECIMAL(25,5)), 0)</t>
        </is>
      </c>
      <c r="O300" s="377" t="inlineStr">
        <is>
          <t>Source -&gt; PG_BRONZE (1:1) -&gt; PG_SILVER (Temp 1)</t>
        </is>
      </c>
      <c r="P300" s="357" t="inlineStr">
        <is>
          <t>Số tiền còn lại chưa thanh toán (Map từ PG_BRONZE.T24CORE_PD_PAYMENT_DUE_MV.PAY_AMT_OUTS -&gt; PG_SILVER.sk_lich_tra_no.PAY_AMT_OUTS)</t>
        </is>
      </c>
    </row>
    <row r="301" ht="14.25" customHeight="1" s="335">
      <c r="A301" s="416">
        <f>C301&amp;D301&amp;E301</f>
        <v/>
      </c>
      <c r="B301" s="416" t="inlineStr">
        <is>
          <t>sk_lich_tra_no</t>
        </is>
      </c>
      <c r="C301" s="416" t="inlineStr">
        <is>
          <t>T24CORE</t>
        </is>
      </c>
      <c r="D301" s="416" t="inlineStr">
        <is>
          <t>PD_PAYMENT_DUE_MV</t>
        </is>
      </c>
      <c r="E301" s="416" t="inlineStr">
        <is>
          <t>PAY_TYPE</t>
        </is>
      </c>
      <c r="F301" s="417" t="inlineStr">
        <is>
          <t>1:1</t>
        </is>
      </c>
      <c r="G301" s="417" t="inlineStr">
        <is>
          <t>PG_BRONZE</t>
        </is>
      </c>
      <c r="H301" s="377" t="inlineStr">
        <is>
          <t>T24CORE_PD_PAYMENT_DUE_MV</t>
        </is>
      </c>
      <c r="I301" s="377" t="inlineStr">
        <is>
          <t>PAY_TYPE</t>
        </is>
      </c>
      <c r="J301" s="417" t="inlineStr">
        <is>
          <t>PG_SILVER</t>
        </is>
      </c>
      <c r="K301" s="377" t="inlineStr">
        <is>
          <t>PAY_TYPE</t>
        </is>
      </c>
      <c r="L301" s="417" t="inlineStr">
        <is>
          <t>VARCHAR2(100)</t>
        </is>
      </c>
      <c r="M301" s="377" t="inlineStr">
        <is>
          <t>FROM PG_BRONZE.T24CORE_PD_PAYMENT_DUE_MV pdmv WHERE pdmv.FLAG_STATUS &lt;&gt; 'DELETE'</t>
        </is>
      </c>
      <c r="N301" s="377" t="inlineStr">
        <is>
          <t>TRIM(pdmv.PAY_TYPE)</t>
        </is>
      </c>
      <c r="O301" s="377" t="inlineStr">
        <is>
          <t>Source -&gt; PG_BRONZE (1:1) -&gt; PG_SILVER (Temp 1)</t>
        </is>
      </c>
      <c r="P301" s="357" t="inlineStr">
        <is>
          <t>Loại hình thanh toán (Map từ PG_BRONZE.T24CORE_PD_PAYMENT_DUE_MV.PAY_TYPE -&gt; PG_SILVER.sk_lich_tra_no.PAY_TYPE)</t>
        </is>
      </c>
    </row>
    <row r="302" ht="14.25" customHeight="1" s="335">
      <c r="A302" s="416">
        <f>C302&amp;D302&amp;E302</f>
        <v/>
      </c>
      <c r="B302" s="416" t="inlineStr">
        <is>
          <t>sk_lich_tra_no</t>
        </is>
      </c>
      <c r="C302" s="416" t="inlineStr">
        <is>
          <t>T24CORE</t>
        </is>
      </c>
      <c r="D302" s="416" t="inlineStr">
        <is>
          <t>PD_PAYMENT_DUE_MV</t>
        </is>
      </c>
      <c r="E302" s="416" t="inlineStr">
        <is>
          <t>PAYMENT_DTE_DUE</t>
        </is>
      </c>
      <c r="F302" s="417" t="inlineStr">
        <is>
          <t>1:1</t>
        </is>
      </c>
      <c r="G302" s="417" t="inlineStr">
        <is>
          <t>PG_BRONZE</t>
        </is>
      </c>
      <c r="H302" s="377" t="inlineStr">
        <is>
          <t>T24CORE_PD_PAYMENT_DUE_MV</t>
        </is>
      </c>
      <c r="I302" s="377" t="inlineStr">
        <is>
          <t>PAYMENT_DTE_DUE</t>
        </is>
      </c>
      <c r="J302" s="417" t="inlineStr">
        <is>
          <t>PG_SILVER</t>
        </is>
      </c>
      <c r="K302" s="377" t="inlineStr">
        <is>
          <t>PAYMENT_DTE_DUE</t>
        </is>
      </c>
      <c r="L302" s="417" t="inlineStr">
        <is>
          <t>DATE</t>
        </is>
      </c>
      <c r="M302" s="377" t="inlineStr">
        <is>
          <t>FROM PG_BRONZE.T24CORE_PD_PAYMENT_DUE_MV pdmv WHERE pdmv.FLAG_STATUS &lt;&gt; 'DELETE'</t>
        </is>
      </c>
      <c r="N302" s="377" t="inlineStr">
        <is>
          <t>TO_DATE(CAST(pdmv.PAYMENT_DTE_DUE AS VARCHAR(20)), 'YYYYMMDD')</t>
        </is>
      </c>
      <c r="O302" s="377" t="inlineStr">
        <is>
          <t>Source -&gt; PG_BRONZE (1:1) -&gt; PG_SILVER (Temp 1)</t>
        </is>
      </c>
      <c r="P302" s="357" t="inlineStr">
        <is>
          <t>Hạn thanh toán (Map từ PG_BRONZE.T24CORE_PD_PAYMENT_DUE_MV.PAYMENT_DTE_DUE -&gt; PG_SILVER.sk_lich_tra_no.PAYMENT_DTE_DUE)</t>
        </is>
      </c>
    </row>
    <row r="303" ht="14.25" customHeight="1" s="335">
      <c r="A303" s="416">
        <f>C303&amp;D303&amp;E303</f>
        <v/>
      </c>
      <c r="B303" s="416" t="inlineStr">
        <is>
          <t>sk_lich_tra_no</t>
        </is>
      </c>
      <c r="C303" s="416" t="inlineStr">
        <is>
          <t>T24CORE</t>
        </is>
      </c>
      <c r="D303" s="416" t="inlineStr">
        <is>
          <t>PD_PAYMENT_DUE_MV</t>
        </is>
      </c>
      <c r="E303" s="416" t="inlineStr">
        <is>
          <t>PD_TYPE</t>
        </is>
      </c>
      <c r="F303" s="417" t="inlineStr">
        <is>
          <t>1:1</t>
        </is>
      </c>
      <c r="G303" s="417" t="inlineStr">
        <is>
          <t>PG_BRONZE</t>
        </is>
      </c>
      <c r="H303" s="377" t="inlineStr">
        <is>
          <t>T24CORE_PD_PAYMENT_DUE_MV</t>
        </is>
      </c>
      <c r="I303" s="377" t="inlineStr">
        <is>
          <t>PD_TYPE</t>
        </is>
      </c>
      <c r="J303" s="417" t="inlineStr">
        <is>
          <t>PG_SILVER</t>
        </is>
      </c>
      <c r="K303" s="377" t="inlineStr">
        <is>
          <t>PD_TYPE</t>
        </is>
      </c>
      <c r="L303" s="417" t="inlineStr">
        <is>
          <t>VARCHAR2(100)</t>
        </is>
      </c>
      <c r="M303" s="377" t="inlineStr">
        <is>
          <t>FROM PG_BRONZE.T24CORE_PD_PAYMENT_DUE_MV pdmv WHERE pdmv.FLAG_STATUS &lt;&gt; 'DELETE'</t>
        </is>
      </c>
      <c r="N303" s="377" t="inlineStr">
        <is>
          <t>TRIM(pdmv.PD_TYPE)</t>
        </is>
      </c>
      <c r="O303" s="377" t="inlineStr">
        <is>
          <t>Source -&gt; PG_BRONZE (1:1) -&gt; PG_SILVER (Temp 1)</t>
        </is>
      </c>
      <c r="P303" s="357" t="inlineStr">
        <is>
          <t>Loại sản phẩm (Map từ PG_BRONZE.T24CORE_PD_PAYMENT_DUE_MV.PD_TYPE -&gt; PG_SILVER.sk_lich_tra_no.PD_TYPE)</t>
        </is>
      </c>
    </row>
    <row r="304" ht="14.25" customHeight="1" s="335">
      <c r="A304" s="416">
        <f>C304&amp;D304&amp;E304</f>
        <v/>
      </c>
      <c r="B304" s="416" t="inlineStr">
        <is>
          <t>sk_lich_tra_no</t>
        </is>
      </c>
      <c r="C304" s="416" t="inlineStr">
        <is>
          <t>T24CORE</t>
        </is>
      </c>
      <c r="D304" s="416" t="inlineStr">
        <is>
          <t>PD_PAYMENT_DUE_MV</t>
        </is>
      </c>
      <c r="E304" s="416" t="inlineStr">
        <is>
          <t>PE_RATE</t>
        </is>
      </c>
      <c r="F304" s="417" t="inlineStr">
        <is>
          <t>1:1</t>
        </is>
      </c>
      <c r="G304" s="417" t="inlineStr">
        <is>
          <t>PG_BRONZE</t>
        </is>
      </c>
      <c r="H304" s="377" t="inlineStr">
        <is>
          <t>T24CORE_PD_PAYMENT_DUE_MV</t>
        </is>
      </c>
      <c r="I304" s="377" t="inlineStr">
        <is>
          <t>PE_RATE</t>
        </is>
      </c>
      <c r="J304" s="417" t="inlineStr">
        <is>
          <t>PG_SILVER</t>
        </is>
      </c>
      <c r="K304" s="377" t="inlineStr">
        <is>
          <t>PE_RATE</t>
        </is>
      </c>
      <c r="L304" s="417" t="inlineStr">
        <is>
          <t>NUMBER(13.7)</t>
        </is>
      </c>
      <c r="M304" s="377" t="inlineStr">
        <is>
          <t>FROM PG_BRONZE.T24CORE_PD_PAYMENT_DUE_MV pdmv WHERE pdmv.FLAG_STATUS &lt;&gt; 'DELETE'</t>
        </is>
      </c>
      <c r="N304" s="377" t="inlineStr">
        <is>
          <t>COALESCE(CAST(pdmv.PE_RATE AS DECIMAL(13,7)), 0)</t>
        </is>
      </c>
      <c r="O304" s="377" t="inlineStr">
        <is>
          <t>Source -&gt; PG_BRONZE (1:1) -&gt; PG_SILVER (Temp 1)</t>
        </is>
      </c>
      <c r="P304" s="357" t="inlineStr">
        <is>
          <t>Lãi phạt penalty rate (Map từ PG_BRONZE.T24CORE_PD_PAYMENT_DUE_MV.PE_RATE -&gt; PG_SILVER.sk_lich_tra_no.PE_RATE)</t>
        </is>
      </c>
    </row>
    <row r="305" ht="14.25" customHeight="1" s="335">
      <c r="A305" s="416">
        <f>C305&amp;D305&amp;E305</f>
        <v/>
      </c>
      <c r="B305" s="416" t="inlineStr">
        <is>
          <t>sk_lich_tra_no</t>
        </is>
      </c>
      <c r="C305" s="416" t="inlineStr">
        <is>
          <t>T24CORE</t>
        </is>
      </c>
      <c r="D305" s="416" t="inlineStr">
        <is>
          <t>PD_PAYMENT_DUE_MV</t>
        </is>
      </c>
      <c r="E305" s="416" t="inlineStr">
        <is>
          <t>PENALTY_RATE</t>
        </is>
      </c>
      <c r="F305" s="417" t="inlineStr">
        <is>
          <t>1:1</t>
        </is>
      </c>
      <c r="G305" s="417" t="inlineStr">
        <is>
          <t>PG_BRONZE</t>
        </is>
      </c>
      <c r="H305" s="377" t="inlineStr">
        <is>
          <t>T24CORE_PD_PAYMENT_DUE_MV</t>
        </is>
      </c>
      <c r="I305" s="377" t="inlineStr">
        <is>
          <t>PENALTY_RATE</t>
        </is>
      </c>
      <c r="J305" s="417" t="inlineStr">
        <is>
          <t>PG_SILVER</t>
        </is>
      </c>
      <c r="K305" s="377" t="inlineStr">
        <is>
          <t>PENALTY_RATE</t>
        </is>
      </c>
      <c r="L305" s="417" t="inlineStr">
        <is>
          <t>NUMBER(13.7)</t>
        </is>
      </c>
      <c r="M305" s="377" t="inlineStr">
        <is>
          <t>FROM PG_BRONZE.T24CORE_PD_PAYMENT_DUE_MV pdmv WHERE pdmv.FLAG_STATUS &lt;&gt; 'DELETE'</t>
        </is>
      </c>
      <c r="N305" s="377" t="inlineStr">
        <is>
          <t>COALESCE(CAST(pdmv.PENALTY_RATE AS DECIMAL(13,7)), 0)</t>
        </is>
      </c>
      <c r="O305" s="377" t="inlineStr">
        <is>
          <t>Source -&gt; PG_BRONZE (1:1) -&gt; PG_SILVER (Temp 1)</t>
        </is>
      </c>
      <c r="P305" s="357" t="inlineStr">
        <is>
          <t>Lãi suất phạt quá hạn danh nghĩa (Multi-value) (Map từ PG_BRONZE.T24CORE_PD_PAYMENT_DUE_MV.PENALTY_RATE -&gt; PG_SILVER.sk_lich_tra_no.PENALTY_RATE)</t>
        </is>
      </c>
    </row>
    <row r="306" ht="14.25" customHeight="1" s="335">
      <c r="A306" s="416">
        <f>C306&amp;D306&amp;E306</f>
        <v/>
      </c>
      <c r="B306" s="416" t="inlineStr">
        <is>
          <t>sk_lich_tra_no</t>
        </is>
      </c>
      <c r="C306" s="416" t="inlineStr">
        <is>
          <t>T24CORE</t>
        </is>
      </c>
      <c r="D306" s="416" t="inlineStr">
        <is>
          <t>PD_PAYMENT_DUE_MV</t>
        </is>
      </c>
      <c r="E306" s="416" t="inlineStr">
        <is>
          <t>RECID</t>
        </is>
      </c>
      <c r="F306" s="417" t="inlineStr">
        <is>
          <t>1:1</t>
        </is>
      </c>
      <c r="G306" s="417" t="inlineStr">
        <is>
          <t>PG_BRONZE</t>
        </is>
      </c>
      <c r="H306" s="377" t="inlineStr">
        <is>
          <t>T24CORE_PD_PAYMENT_DUE_MV</t>
        </is>
      </c>
      <c r="I306" s="377" t="inlineStr">
        <is>
          <t>RECID</t>
        </is>
      </c>
      <c r="J306" s="417" t="inlineStr">
        <is>
          <t>PG_SILVER</t>
        </is>
      </c>
      <c r="K306" s="377" t="inlineStr">
        <is>
          <t>RECID</t>
        </is>
      </c>
      <c r="L306" s="417" t="inlineStr">
        <is>
          <t>VARCHAR2(100)</t>
        </is>
      </c>
      <c r="M306" s="377" t="inlineStr">
        <is>
          <t>FROM PG_BRONZE.T24CORE_PD_PAYMENT_DUE_MV pdmv WHERE pdmv.FLAG_STATUS &lt;&gt; 'DELETE'</t>
        </is>
      </c>
      <c r="N306" s="377" t="inlineStr">
        <is>
          <t>TRIM(pdmv.RECID)</t>
        </is>
      </c>
      <c r="O306" s="377" t="inlineStr">
        <is>
          <t>Source -&gt; PG_BRONZE (1:1) -&gt; PG_SILVER (Temp 1)</t>
        </is>
      </c>
      <c r="P306" s="357" t="inlineStr">
        <is>
          <t>Key bản ghi (Map từ PG_BRONZE.T24CORE_PD_PAYMENT_DUE_MV.RECID -&gt; PG_SILVER.sk_lich_tra_no.RECID)</t>
        </is>
      </c>
    </row>
    <row r="307" ht="14.25" customHeight="1" s="335">
      <c r="A307" s="416">
        <f>C307&amp;D307&amp;E307</f>
        <v/>
      </c>
      <c r="B307" s="416" t="inlineStr">
        <is>
          <t>sk_lich_tra_no</t>
        </is>
      </c>
      <c r="C307" s="416" t="inlineStr">
        <is>
          <t>T24CORE</t>
        </is>
      </c>
      <c r="D307" s="416" t="inlineStr">
        <is>
          <t>PD_PAYMENT_DUE_MV</t>
        </is>
      </c>
      <c r="E307" s="416" t="inlineStr">
        <is>
          <t>RECORD_STATUS</t>
        </is>
      </c>
      <c r="F307" s="417" t="inlineStr">
        <is>
          <t>1:1</t>
        </is>
      </c>
      <c r="G307" s="417" t="inlineStr">
        <is>
          <t>PG_BRONZE</t>
        </is>
      </c>
      <c r="H307" s="377" t="inlineStr">
        <is>
          <t>T24CORE_PD_PAYMENT_DUE_MV</t>
        </is>
      </c>
      <c r="I307" s="377" t="inlineStr">
        <is>
          <t>RECORD_STATUS</t>
        </is>
      </c>
      <c r="J307" s="417" t="inlineStr">
        <is>
          <t>PG_SILVER</t>
        </is>
      </c>
      <c r="K307" s="377" t="inlineStr">
        <is>
          <t>RECORD_STATUS</t>
        </is>
      </c>
      <c r="L307" s="417" t="inlineStr">
        <is>
          <t>VARCHAR2(100)</t>
        </is>
      </c>
      <c r="M307" s="377" t="inlineStr">
        <is>
          <t>FROM PG_BRONZE.T24CORE_PD_PAYMENT_DUE_MV pdmv WHERE pdmv.FLAG_STATUS &lt;&gt; 'DELETE'</t>
        </is>
      </c>
      <c r="N307" s="377" t="inlineStr">
        <is>
          <t>TRIM(pdmv.RECORD_STATUS)</t>
        </is>
      </c>
      <c r="O307" s="377" t="inlineStr">
        <is>
          <t>Source -&gt; PG_BRONZE (1:1) -&gt; PG_SILVER (Temp 1)</t>
        </is>
      </c>
      <c r="P307" s="357" t="inlineStr">
        <is>
          <t>Trạng thái bản ghi (Map từ PG_BRONZE.T24CORE_PD_PAYMENT_DUE_MV.RECORD_STATUS -&gt; PG_SILVER.sk_lich_tra_no.RECORD_STATUS)</t>
        </is>
      </c>
    </row>
    <row r="308" ht="14.25" customHeight="1" s="335">
      <c r="A308" s="416">
        <f>C308&amp;D308&amp;E308</f>
        <v/>
      </c>
      <c r="B308" s="416" t="inlineStr">
        <is>
          <t>sk_lich_tra_no</t>
        </is>
      </c>
      <c r="C308" s="416" t="inlineStr">
        <is>
          <t>T24CORE</t>
        </is>
      </c>
      <c r="D308" s="416" t="inlineStr">
        <is>
          <t>PD_PAYMENT_DUE_MV</t>
        </is>
      </c>
      <c r="E308" s="416" t="inlineStr">
        <is>
          <t>REPAID_AMT</t>
        </is>
      </c>
      <c r="F308" s="417" t="inlineStr">
        <is>
          <t>1:1</t>
        </is>
      </c>
      <c r="G308" s="417" t="inlineStr">
        <is>
          <t>PG_BRONZE</t>
        </is>
      </c>
      <c r="H308" s="377" t="inlineStr">
        <is>
          <t>T24CORE_PD_PAYMENT_DUE_MV</t>
        </is>
      </c>
      <c r="I308" s="377" t="inlineStr">
        <is>
          <t>REPAID_AMT</t>
        </is>
      </c>
      <c r="J308" s="417" t="inlineStr">
        <is>
          <t>PG_SILVER</t>
        </is>
      </c>
      <c r="K308" s="377" t="inlineStr">
        <is>
          <t>REPAID_AMT</t>
        </is>
      </c>
      <c r="L308" s="417" t="inlineStr">
        <is>
          <t>NUMBER(25.5)</t>
        </is>
      </c>
      <c r="M308" s="377" t="inlineStr">
        <is>
          <t>FROM PG_BRONZE.T24CORE_PD_PAYMENT_DUE_MV pdmv WHERE pdmv.FLAG_STATUS &lt;&gt; 'DELETE'</t>
        </is>
      </c>
      <c r="N308" s="377" t="inlineStr">
        <is>
          <t>COALESCE(CAST(pdmv.REPAID_AMT AS DECIMAL(25,5)), 0)</t>
        </is>
      </c>
      <c r="O308" s="377" t="inlineStr">
        <is>
          <t>Source -&gt; PG_BRONZE (1:1) -&gt; PG_SILVER (Temp 1)</t>
        </is>
      </c>
      <c r="P308" s="357" t="inlineStr">
        <is>
          <t>Số tiền đã trả (Map từ PG_BRONZE.T24CORE_PD_PAYMENT_DUE_MV.REPAID_AMT -&gt; PG_SILVER.sk_lich_tra_no.REPAID_AMT)</t>
        </is>
      </c>
    </row>
    <row r="309" ht="14.25" customHeight="1" s="335">
      <c r="A309" s="416">
        <f>C309&amp;D309&amp;E309</f>
        <v/>
      </c>
      <c r="B309" s="416" t="inlineStr">
        <is>
          <t>sk_lich_tra_no</t>
        </is>
      </c>
      <c r="C309" s="416" t="inlineStr">
        <is>
          <t>T24CORE</t>
        </is>
      </c>
      <c r="D309" s="416" t="inlineStr">
        <is>
          <t>PD_PAYMENT_DUE_MV</t>
        </is>
      </c>
      <c r="E309" s="416" t="inlineStr">
        <is>
          <t>REPAYMENT_ACCT</t>
        </is>
      </c>
      <c r="F309" s="417" t="inlineStr">
        <is>
          <t>1:1</t>
        </is>
      </c>
      <c r="G309" s="417" t="inlineStr">
        <is>
          <t>PG_BRONZE</t>
        </is>
      </c>
      <c r="H309" s="377" t="inlineStr">
        <is>
          <t>T24CORE_PD_PAYMENT_DUE_MV</t>
        </is>
      </c>
      <c r="I309" s="377" t="inlineStr">
        <is>
          <t>REPAYMENT_ACCT</t>
        </is>
      </c>
      <c r="J309" s="417" t="inlineStr">
        <is>
          <t>PG_SILVER</t>
        </is>
      </c>
      <c r="K309" s="377" t="inlineStr">
        <is>
          <t>REPAYMENT_ACCT</t>
        </is>
      </c>
      <c r="L309" s="417" t="inlineStr">
        <is>
          <t>VARCHAR2(100)</t>
        </is>
      </c>
      <c r="M309" s="377" t="inlineStr">
        <is>
          <t>FROM PG_BRONZE.T24CORE_PD_PAYMENT_DUE_MV pdmv WHERE pdmv.FLAG_STATUS &lt;&gt; 'DELETE'</t>
        </is>
      </c>
      <c r="N309" s="377" t="inlineStr">
        <is>
          <t>TRIM(pdmv.REPAYMENT_ACCT)</t>
        </is>
      </c>
      <c r="O309" s="377" t="inlineStr">
        <is>
          <t>Source -&gt; PG_BRONZE (1:1) -&gt; PG_SILVER (Temp 1)</t>
        </is>
      </c>
      <c r="P309" s="357" t="inlineStr">
        <is>
          <t>Số tài khoản thanh toán (Map từ PG_BRONZE.T24CORE_PD_PAYMENT_DUE_MV.REPAYMENT_ACCT -&gt; PG_SILVER.sk_lich_tra_no.REPAYMENT_ACCT)</t>
        </is>
      </c>
    </row>
    <row r="310" ht="14.25" customHeight="1" s="335">
      <c r="A310" s="416">
        <f>C310&amp;D310&amp;E310</f>
        <v/>
      </c>
      <c r="B310" s="416" t="inlineStr">
        <is>
          <t>sk_lich_tra_no</t>
        </is>
      </c>
      <c r="C310" s="416" t="inlineStr">
        <is>
          <t>T24CORE</t>
        </is>
      </c>
      <c r="D310" s="416" t="inlineStr">
        <is>
          <t>SECTOR</t>
        </is>
      </c>
      <c r="E310" s="416" t="inlineStr">
        <is>
          <t>CUSTOMER_TYPE</t>
        </is>
      </c>
      <c r="F310" s="417" t="inlineStr">
        <is>
          <t>1:1</t>
        </is>
      </c>
      <c r="G310" s="417" t="inlineStr">
        <is>
          <t>PG_BRONZE</t>
        </is>
      </c>
      <c r="H310" s="377" t="inlineStr">
        <is>
          <t>T24CORE_SECTOR</t>
        </is>
      </c>
      <c r="I310" s="377" t="inlineStr">
        <is>
          <t>CUSTOMER_TYPE</t>
        </is>
      </c>
      <c r="J310" s="417" t="inlineStr">
        <is>
          <t>PG_SILVER</t>
        </is>
      </c>
      <c r="K310" s="377" t="inlineStr">
        <is>
          <t>CUSTOMER_TYPE</t>
        </is>
      </c>
      <c r="L310" s="417" t="inlineStr">
        <is>
          <t>VARCHAR2(100)</t>
        </is>
      </c>
      <c r="M310" s="377" t="inlineStr">
        <is>
          <t>LEFT JOIN PG_BRONZE.T24CORE_CUSTOMER cus ON COALESCE(pdmv.CUSTOMER, pd.CUSTOMER, ld.CUSTOMER_ID) = cus.RECID LEFT JOIN PG_BRONZE.T24CORE_SECTOR sec ON cus.SECTOR = sec.RECID</t>
        </is>
      </c>
      <c r="N310" s="377" t="inlineStr">
        <is>
          <t>TRIM(sec.CUSTOMER_TYPE)</t>
        </is>
      </c>
      <c r="O310" s="377" t="inlineStr">
        <is>
          <t>Source -&gt; PG_BRONZE (1:1) -&gt; PG_SILVER (Temp 1)</t>
        </is>
      </c>
      <c r="P310" s="357" t="inlineStr">
        <is>
          <t>Loại khách hàng (Map từ PG_BRONZE.T24CORE_SECTOR.CUSTOMER_TYPE -&gt; PG_SILVER.sk_lich_tra_no.CUSTOMER_TYPE)</t>
        </is>
      </c>
    </row>
    <row r="311" ht="14.25" customHeight="1" s="335">
      <c r="A311" s="416">
        <f>C311&amp;D311&amp;E311</f>
        <v/>
      </c>
      <c r="B311" s="416" t="inlineStr">
        <is>
          <t>sk_lich_tra_no</t>
        </is>
      </c>
      <c r="C311" s="416" t="inlineStr">
        <is>
          <t>T24CORE</t>
        </is>
      </c>
      <c r="D311" s="416" t="inlineStr">
        <is>
          <t>SECTOR</t>
        </is>
      </c>
      <c r="E311" s="416" t="inlineStr">
        <is>
          <t>RECID</t>
        </is>
      </c>
      <c r="F311" s="417" t="inlineStr">
        <is>
          <t>1:1</t>
        </is>
      </c>
      <c r="G311" s="417" t="inlineStr">
        <is>
          <t>PG_BRONZE</t>
        </is>
      </c>
      <c r="H311" s="377" t="inlineStr">
        <is>
          <t>T24CORE_SECTOR</t>
        </is>
      </c>
      <c r="I311" s="377" t="inlineStr">
        <is>
          <t>RECID</t>
        </is>
      </c>
      <c r="J311" s="417" t="inlineStr">
        <is>
          <t>PG_SILVER</t>
        </is>
      </c>
      <c r="K311" s="377" t="inlineStr">
        <is>
          <t>SEC_RECID</t>
        </is>
      </c>
      <c r="L311" s="417" t="inlineStr">
        <is>
          <t>VARCHAR2(100)</t>
        </is>
      </c>
      <c r="M311" s="377" t="inlineStr">
        <is>
          <t>LEFT JOIN PG_BRONZE.T24CORE_CUSTOMER cus ON COALESCE(pdmv.CUSTOMER, pd.CUSTOMER, ld.CUSTOMER_ID) = cus.RECID LEFT JOIN PG_BRONZE.T24CORE_SECTOR sec ON cus.SECTOR = sec.RECID</t>
        </is>
      </c>
      <c r="N311" s="377" t="inlineStr">
        <is>
          <t>TRIM(sec.RECID)</t>
        </is>
      </c>
      <c r="O311" s="377" t="inlineStr">
        <is>
          <t>Source -&gt; PG_BRONZE (1:1) -&gt; PG_SILVER (Temp 1)</t>
        </is>
      </c>
      <c r="P311" s="357" t="inlineStr">
        <is>
          <t>Mã định danh (Map từ PG_BRONZE.T24CORE_SECTOR.RECID -&gt; PG_SILVER.sk_lich_tra_no.SEC_RECID)</t>
        </is>
      </c>
    </row>
    <row r="312" ht="14.25" customHeight="1" s="335">
      <c r="A312" s="416">
        <f>C312&amp;D312&amp;E312</f>
        <v/>
      </c>
      <c r="B312" s="416" t="inlineStr">
        <is>
          <t>sk_lich_tra_no</t>
        </is>
      </c>
      <c r="C312" s="416" t="inlineStr">
        <is>
          <t>T24CORE</t>
        </is>
      </c>
      <c r="D312" s="416" t="inlineStr">
        <is>
          <t>STMT_ENTRY</t>
        </is>
      </c>
      <c r="E312" s="416" t="inlineStr">
        <is>
          <t>AMOUNT_FCY</t>
        </is>
      </c>
      <c r="F312" s="417" t="inlineStr">
        <is>
          <t>1:1</t>
        </is>
      </c>
      <c r="G312" s="417" t="inlineStr">
        <is>
          <t>PG_BRONZE</t>
        </is>
      </c>
      <c r="H312" s="377" t="inlineStr">
        <is>
          <t>T24CORE_STMT_ENTRY</t>
        </is>
      </c>
      <c r="I312" s="377" t="inlineStr">
        <is>
          <t>AMOUNT_FCY</t>
        </is>
      </c>
      <c r="J312" s="417" t="inlineStr">
        <is>
          <t>PG_SILVER</t>
        </is>
      </c>
      <c r="K312" s="377" t="inlineStr">
        <is>
          <t>AMOUNT_FCY</t>
        </is>
      </c>
      <c r="L312" s="417" t="inlineStr">
        <is>
          <t>NUMBER(25.5)</t>
        </is>
      </c>
      <c r="M312" s="377" t="inlineStr">
        <is>
          <t>LEFT JOIN PG_BRONZE.T24CORE_STMT_ENTRY stmt ON SUBSTR(pdmv.RECID, 3) = SUBSTR(stmt.OUR_REFERENCE, 3) AND stmt.BOOKING_DATE = ${ETL_DATE}</t>
        </is>
      </c>
      <c r="N312" s="377" t="inlineStr">
        <is>
          <t>COALESCE(CAST(stmt.AMOUNT_FCY AS DECIMAL(25,5)), 0)</t>
        </is>
      </c>
      <c r="O312" s="377" t="inlineStr">
        <is>
          <t>Source -&gt; PG_BRONZE (1:1) -&gt; PG_SILVER (Temp 1)</t>
        </is>
      </c>
      <c r="P312" s="357" t="inlineStr">
        <is>
          <t>Dư nợ nguyên tệ (Map từ PG_BRONZE.T24CORE_STMT_ENTRY.AMOUNT_FCY -&gt; PG_SILVER.sk_lich_tra_no.AMOUNT_FCY)</t>
        </is>
      </c>
    </row>
    <row r="313" ht="14.25" customHeight="1" s="335">
      <c r="A313" s="416">
        <f>C313&amp;D313&amp;E313</f>
        <v/>
      </c>
      <c r="B313" s="416" t="inlineStr">
        <is>
          <t>sk_lich_tra_no</t>
        </is>
      </c>
      <c r="C313" s="416" t="inlineStr">
        <is>
          <t>T24CORE</t>
        </is>
      </c>
      <c r="D313" s="416" t="inlineStr">
        <is>
          <t>STMT_ENTRY</t>
        </is>
      </c>
      <c r="E313" s="416" t="inlineStr">
        <is>
          <t>AMOUNT_LCY</t>
        </is>
      </c>
      <c r="F313" s="417" t="inlineStr">
        <is>
          <t>1:1</t>
        </is>
      </c>
      <c r="G313" s="417" t="inlineStr">
        <is>
          <t>PG_BRONZE</t>
        </is>
      </c>
      <c r="H313" s="377" t="inlineStr">
        <is>
          <t>T24CORE_STMT_ENTRY</t>
        </is>
      </c>
      <c r="I313" s="377" t="inlineStr">
        <is>
          <t>AMOUNT_LCY</t>
        </is>
      </c>
      <c r="J313" s="417" t="inlineStr">
        <is>
          <t>PG_SILVER</t>
        </is>
      </c>
      <c r="K313" s="377" t="inlineStr">
        <is>
          <t>AMOUNT_LCY</t>
        </is>
      </c>
      <c r="L313" s="417" t="inlineStr">
        <is>
          <t>NUMBER(25.5)</t>
        </is>
      </c>
      <c r="M313" s="377" t="inlineStr">
        <is>
          <t>LEFT JOIN PG_BRONZE.T24CORE_STMT_ENTRY stmt ON SUBSTR(pdmv.RECID, 3) = SUBSTR(stmt.OUR_REFERENCE, 3) AND stmt.BOOKING_DATE = ${ETL_DATE}</t>
        </is>
      </c>
      <c r="N313" s="377" t="inlineStr">
        <is>
          <t>COALESCE(CAST(stmt.AMOUNT_LCY AS DECIMAL(25,5)), 0)</t>
        </is>
      </c>
      <c r="O313" s="377" t="inlineStr">
        <is>
          <t>Source -&gt; PG_BRONZE (1:1) -&gt; PG_SILVER (Temp 1)</t>
        </is>
      </c>
      <c r="P313" s="357" t="inlineStr">
        <is>
          <t>Dư nợ quy đổi (Map từ PG_BRONZE.T24CORE_STMT_ENTRY.AMOUNT_LCY -&gt; PG_SILVER.sk_lich_tra_no.AMOUNT_LCY)</t>
        </is>
      </c>
    </row>
    <row r="314" ht="14.25" customHeight="1" s="335">
      <c r="A314" s="416">
        <f>C314&amp;D314&amp;E314</f>
        <v/>
      </c>
      <c r="B314" s="416" t="inlineStr">
        <is>
          <t>sk_lich_tra_no</t>
        </is>
      </c>
      <c r="C314" s="416" t="inlineStr">
        <is>
          <t>T24CORE</t>
        </is>
      </c>
      <c r="D314" s="416" t="inlineStr">
        <is>
          <t>STMT_ENTRY</t>
        </is>
      </c>
      <c r="E314" s="416" t="inlineStr">
        <is>
          <t>BOOKING_DATE</t>
        </is>
      </c>
      <c r="F314" s="417" t="inlineStr">
        <is>
          <t>1:1</t>
        </is>
      </c>
      <c r="G314" s="417" t="inlineStr">
        <is>
          <t>PG_BRONZE</t>
        </is>
      </c>
      <c r="H314" s="377" t="inlineStr">
        <is>
          <t>T24CORE_STMT_ENTRY</t>
        </is>
      </c>
      <c r="I314" s="377" t="inlineStr">
        <is>
          <t>BOOKING_DATE</t>
        </is>
      </c>
      <c r="J314" s="417" t="inlineStr">
        <is>
          <t>PG_SILVER</t>
        </is>
      </c>
      <c r="K314" s="377" t="inlineStr">
        <is>
          <t>BOOKING_DATE</t>
        </is>
      </c>
      <c r="L314" s="417" t="inlineStr">
        <is>
          <t>DATE</t>
        </is>
      </c>
      <c r="M314" s="377" t="inlineStr">
        <is>
          <t>LEFT JOIN PG_BRONZE.T24CORE_STMT_ENTRY stmt ON SUBSTR(pdmv.RECID, 3) = SUBSTR(stmt.OUR_REFERENCE, 3) AND stmt.BOOKING_DATE = ${ETL_DATE}</t>
        </is>
      </c>
      <c r="N314" s="377" t="inlineStr">
        <is>
          <t>TO_DATE(CAST(stmt.BOOKING_DATE AS VARCHAR(20)), 'YYYYMMDD')</t>
        </is>
      </c>
      <c r="O314" s="377" t="inlineStr">
        <is>
          <t>Source -&gt; PG_BRONZE (1:1) -&gt; PG_SILVER (Temp 1)</t>
        </is>
      </c>
      <c r="P314" s="357" t="inlineStr">
        <is>
          <t>Ngay but toan ghi nhan vao he thong (Map từ PG_BRONZE.T24CORE_STMT_ENTRY.BOOKING_DATE -&gt; PG_SILVER.sk_lich_tra_no.BOOKING_DATE)</t>
        </is>
      </c>
    </row>
    <row r="315" ht="14.25" customHeight="1" s="335">
      <c r="A315" s="416">
        <f>C315&amp;D315&amp;E315</f>
        <v/>
      </c>
      <c r="B315" s="416" t="inlineStr">
        <is>
          <t>sk_lich_tra_no</t>
        </is>
      </c>
      <c r="C315" s="416" t="inlineStr">
        <is>
          <t>T24CORE</t>
        </is>
      </c>
      <c r="D315" s="416" t="inlineStr">
        <is>
          <t>STMT_ENTRY</t>
        </is>
      </c>
      <c r="E315" s="416" t="inlineStr">
        <is>
          <t>CURRENCY</t>
        </is>
      </c>
      <c r="F315" s="417" t="inlineStr">
        <is>
          <t>1:1</t>
        </is>
      </c>
      <c r="G315" s="417" t="inlineStr">
        <is>
          <t>PG_BRONZE</t>
        </is>
      </c>
      <c r="H315" s="377" t="inlineStr">
        <is>
          <t>T24CORE_STMT_ENTRY</t>
        </is>
      </c>
      <c r="I315" s="377" t="inlineStr">
        <is>
          <t>CURRENCY</t>
        </is>
      </c>
      <c r="J315" s="417" t="inlineStr">
        <is>
          <t>PG_SILVER</t>
        </is>
      </c>
      <c r="K315" s="377" t="inlineStr">
        <is>
          <t>STMT_CURRENCY</t>
        </is>
      </c>
      <c r="L315" s="417" t="inlineStr">
        <is>
          <t>VARCHAR2(100)</t>
        </is>
      </c>
      <c r="M315" s="377" t="inlineStr">
        <is>
          <t>LEFT JOIN PG_BRONZE.T24CORE_STMT_ENTRY stmt ON SUBSTR(pdmv.RECID, 3) = SUBSTR(stmt.OUR_REFERENCE, 3) AND stmt.BOOKING_DATE = ${ETL_DATE}</t>
        </is>
      </c>
      <c r="N315" s="377" t="inlineStr">
        <is>
          <t>TRIM(stmt.CURRENCY)</t>
        </is>
      </c>
      <c r="O315" s="377" t="inlineStr">
        <is>
          <t>Source -&gt; PG_BRONZE (1:1) -&gt; PG_SILVER (Temp 1)</t>
        </is>
      </c>
      <c r="P315" s="357" t="inlineStr">
        <is>
          <t>Loai tien but toan (Map từ PG_BRONZE.T24CORE_STMT_ENTRY.CURRENCY -&gt; PG_SILVER.sk_lich_tra_no.STMT_CURRENCY)</t>
        </is>
      </c>
    </row>
    <row r="316" ht="14.25" customHeight="1" s="335">
      <c r="A316" s="416">
        <f>C316&amp;D316&amp;E316</f>
        <v/>
      </c>
      <c r="B316" s="416" t="inlineStr">
        <is>
          <t>sk_lich_tra_no</t>
        </is>
      </c>
      <c r="C316" s="416" t="inlineStr">
        <is>
          <t>T24CORE</t>
        </is>
      </c>
      <c r="D316" s="416" t="inlineStr">
        <is>
          <t>STMT_ENTRY</t>
        </is>
      </c>
      <c r="E316" s="416" t="inlineStr">
        <is>
          <t>OUR_REFERENCE</t>
        </is>
      </c>
      <c r="F316" s="417" t="inlineStr">
        <is>
          <t>1:1</t>
        </is>
      </c>
      <c r="G316" s="417" t="inlineStr">
        <is>
          <t>PG_BRONZE</t>
        </is>
      </c>
      <c r="H316" s="377" t="inlineStr">
        <is>
          <t>T24CORE_STMT_ENTRY</t>
        </is>
      </c>
      <c r="I316" s="377" t="inlineStr">
        <is>
          <t>OUR_REFERENCE</t>
        </is>
      </c>
      <c r="J316" s="417" t="inlineStr">
        <is>
          <t>PG_SILVER</t>
        </is>
      </c>
      <c r="K316" s="377" t="inlineStr">
        <is>
          <t>OUR_REFERENCE</t>
        </is>
      </c>
      <c r="L316" s="417" t="inlineStr">
        <is>
          <t>VARCHAR2(100)</t>
        </is>
      </c>
      <c r="M316" s="377" t="inlineStr">
        <is>
          <t>LEFT JOIN PG_BRONZE.T24CORE_STMT_ENTRY stmt ON SUBSTR(pdmv.RECID, 3) = SUBSTR(stmt.OUR_REFERENCE, 3) AND stmt.BOOKING_DATE = ${ETL_DATE}</t>
        </is>
      </c>
      <c r="N316" s="377" t="inlineStr">
        <is>
          <t>TRIM(stmt.OUR_REFERENCE)</t>
        </is>
      </c>
      <c r="O316" s="377" t="inlineStr">
        <is>
          <t>Source -&gt; PG_BRONZE (1:1) -&gt; PG_SILVER (Temp 1)</t>
        </is>
      </c>
      <c r="P316" s="357" t="inlineStr">
        <is>
          <t>Ma tham chieu (Map từ PG_BRONZE.T24CORE_STMT_ENTRY.OUR_REFERENCE -&gt; PG_SILVER.sk_lich_tra_no.OUR_REFERENCE)</t>
        </is>
      </c>
    </row>
    <row r="317" ht="14.25" customHeight="1" s="335">
      <c r="A317" s="416">
        <f>C317&amp;D317&amp;E317</f>
        <v/>
      </c>
      <c r="B317" s="416" t="inlineStr">
        <is>
          <t>sk_lich_tra_no</t>
        </is>
      </c>
      <c r="C317" s="416" t="inlineStr">
        <is>
          <t>T24CORE</t>
        </is>
      </c>
      <c r="D317" s="416" t="inlineStr">
        <is>
          <t>STMT_ENTRY</t>
        </is>
      </c>
      <c r="E317" s="416" t="inlineStr">
        <is>
          <t>RECID</t>
        </is>
      </c>
      <c r="F317" s="417" t="inlineStr">
        <is>
          <t>1:1</t>
        </is>
      </c>
      <c r="G317" s="417" t="inlineStr">
        <is>
          <t>PG_BRONZE</t>
        </is>
      </c>
      <c r="H317" s="377" t="inlineStr">
        <is>
          <t>T24CORE_STMT_ENTRY</t>
        </is>
      </c>
      <c r="I317" s="377" t="inlineStr">
        <is>
          <t>RECID</t>
        </is>
      </c>
      <c r="J317" s="417" t="inlineStr">
        <is>
          <t>PG_SILVER</t>
        </is>
      </c>
      <c r="K317" s="377" t="inlineStr">
        <is>
          <t>STMT_RECID</t>
        </is>
      </c>
      <c r="L317" s="417" t="inlineStr">
        <is>
          <t>VARCHAR2(100)</t>
        </is>
      </c>
      <c r="M317" s="377" t="inlineStr">
        <is>
          <t>LEFT JOIN PG_BRONZE.T24CORE_STMT_ENTRY stmt ON SUBSTR(pdmv.RECID, 3) = SUBSTR(stmt.OUR_REFERENCE, 3) AND stmt.BOOKING_DATE = ${ETL_DATE}</t>
        </is>
      </c>
      <c r="N317" s="377" t="inlineStr">
        <is>
          <t>TRIM(stmt.RECID)</t>
        </is>
      </c>
      <c r="O317" s="377" t="inlineStr">
        <is>
          <t>Source -&gt; PG_BRONZE (1:1) -&gt; PG_SILVER (Temp 1)</t>
        </is>
      </c>
      <c r="P317" s="357" t="inlineStr">
        <is>
          <t>Mã giao dịch, Unique ID (Map từ PG_BRONZE.T24CORE_STMT_ENTRY.RECID -&gt; PG_SILVER.sk_lich_tra_no.STMT_RECID)</t>
        </is>
      </c>
    </row>
    <row r="318" ht="14.25" customHeight="1" s="335">
      <c r="A318" s="416">
        <f>C318&amp;D318&amp;E318</f>
        <v/>
      </c>
      <c r="B318" s="416" t="inlineStr">
        <is>
          <t>sk_lich_tra_no</t>
        </is>
      </c>
      <c r="C318" s="416" t="inlineStr">
        <is>
          <t>T24CORE</t>
        </is>
      </c>
      <c r="D318" s="416" t="inlineStr">
        <is>
          <t>STMT_ENTRY</t>
        </is>
      </c>
      <c r="E318" s="416" t="inlineStr">
        <is>
          <t>TRANSACTION_CODE</t>
        </is>
      </c>
      <c r="F318" s="417" t="inlineStr">
        <is>
          <t>1:1</t>
        </is>
      </c>
      <c r="G318" s="417" t="inlineStr">
        <is>
          <t>PG_BRONZE</t>
        </is>
      </c>
      <c r="H318" s="377" t="inlineStr">
        <is>
          <t>T24CORE_STMT_ENTRY</t>
        </is>
      </c>
      <c r="I318" s="377" t="inlineStr">
        <is>
          <t>TRANSACTION_CODE</t>
        </is>
      </c>
      <c r="J318" s="417" t="inlineStr">
        <is>
          <t>PG_SILVER</t>
        </is>
      </c>
      <c r="K318" s="377" t="inlineStr">
        <is>
          <t>TRANSACTION_CODE</t>
        </is>
      </c>
      <c r="L318" s="417" t="inlineStr">
        <is>
          <t>VARCHAR2(100)</t>
        </is>
      </c>
      <c r="M318" s="377" t="inlineStr">
        <is>
          <t>LEFT JOIN PG_BRONZE.T24CORE_STMT_ENTRY stmt ON SUBSTR(pdmv.RECID, 3) = SUBSTR(stmt.OUR_REFERENCE, 3) AND stmt.BOOKING_DATE = ${ETL_DATE}</t>
        </is>
      </c>
      <c r="N318" s="377" t="inlineStr">
        <is>
          <t>TRIM(stmt.TRANSACTION_CODE)</t>
        </is>
      </c>
      <c r="O318" s="377" t="inlineStr">
        <is>
          <t>Source -&gt; PG_BRONZE (1:1) -&gt; PG_SILVER (Temp 1)</t>
        </is>
      </c>
      <c r="P318" s="357" t="inlineStr">
        <is>
          <t>Mã giao dịch (Map từ PG_BRONZE.T24CORE_STMT_ENTRY.TRANSACTION_CODE -&gt; PG_SILVER.sk_lich_tra_no.TRANSACTION_CODE)</t>
        </is>
      </c>
    </row>
    <row r="319" ht="14.25" customHeight="1" s="335">
      <c r="A319" s="416">
        <f>C319&amp;D319&amp;E319</f>
        <v/>
      </c>
      <c r="B319" s="416" t="inlineStr">
        <is>
          <t>sk_lich_tra_no</t>
        </is>
      </c>
      <c r="C319" s="416" t="inlineStr">
        <is>
          <t>T24CORE</t>
        </is>
      </c>
      <c r="D319" s="416" t="inlineStr">
        <is>
          <t>STMT_ENTRY</t>
        </is>
      </c>
      <c r="E319" s="416" t="inlineStr">
        <is>
          <t>VALUE_DATE</t>
        </is>
      </c>
      <c r="F319" s="417" t="inlineStr">
        <is>
          <t>1:1</t>
        </is>
      </c>
      <c r="G319" s="417" t="inlineStr">
        <is>
          <t>PG_BRONZE</t>
        </is>
      </c>
      <c r="H319" s="377" t="inlineStr">
        <is>
          <t>T24CORE_STMT_ENTRY</t>
        </is>
      </c>
      <c r="I319" s="377" t="inlineStr">
        <is>
          <t>VALUE_DATE</t>
        </is>
      </c>
      <c r="J319" s="417" t="inlineStr">
        <is>
          <t>PG_SILVER</t>
        </is>
      </c>
      <c r="K319" s="377" t="inlineStr">
        <is>
          <t>STMT_VALUE_DATE</t>
        </is>
      </c>
      <c r="L319" s="417" t="inlineStr">
        <is>
          <t>DATE</t>
        </is>
      </c>
      <c r="M319" s="377" t="inlineStr">
        <is>
          <t>LEFT JOIN PG_BRONZE.T24CORE_STMT_ENTRY stmt ON SUBSTR(pdmv.RECID, 3) = SUBSTR(stmt.OUR_REFERENCE, 3) AND stmt.BOOKING_DATE = ${ETL_DATE}</t>
        </is>
      </c>
      <c r="N319" s="377" t="inlineStr">
        <is>
          <t>TO_DATE(CAST(stmt.VALUE_DATE AS VARCHAR(20)), 'YYYYMMDD')</t>
        </is>
      </c>
      <c r="O319" s="377" t="inlineStr">
        <is>
          <t>Source -&gt; PG_BRONZE (1:1) -&gt; PG_SILVER (Temp 1)</t>
        </is>
      </c>
      <c r="P319" s="357" t="inlineStr">
        <is>
          <t>Ngay Hieu luc but toan (Map từ PG_BRONZE.T24CORE_STMT_ENTRY.VALUE_DATE -&gt; PG_SILVER.sk_lich_tra_no.STMT_VALUE_DATE)</t>
        </is>
      </c>
    </row>
    <row r="320" ht="14.25" customHeight="1" s="335">
      <c r="A320" s="416">
        <f>C320&amp;D320&amp;E320</f>
        <v/>
      </c>
      <c r="B320" s="416" t="inlineStr">
        <is>
          <t>LOAN_AR_PRFL</t>
        </is>
      </c>
      <c r="C320" s="418" t="inlineStr">
        <is>
          <t>EBANKING</t>
        </is>
      </c>
      <c r="D320" s="418" t="inlineStr">
        <is>
          <t>COL_UDF_VALUE@PGDB</t>
        </is>
      </c>
      <c r="E320" s="416" t="inlineStr">
        <is>
          <t>UDF_ID</t>
        </is>
      </c>
      <c r="F320" s="417" t="inlineStr">
        <is>
          <t>1:1</t>
        </is>
      </c>
      <c r="G320" s="417" t="inlineStr">
        <is>
          <t>PG_BRONZE</t>
        </is>
      </c>
      <c r="H320" s="377" t="inlineStr">
        <is>
          <t>EBANKING_COL_UDF_VALUE</t>
        </is>
      </c>
      <c r="I320" s="377" t="inlineStr">
        <is>
          <t>UDF_ID</t>
        </is>
      </c>
      <c r="J320" s="417" t="inlineStr">
        <is>
          <t>PG_SILVER</t>
        </is>
      </c>
      <c r="K320" s="377" t="inlineStr">
        <is>
          <t>MAND_REPYMT</t>
        </is>
      </c>
      <c r="L320" s="417" t="inlineStr">
        <is>
          <t>VARCHAR2(20)</t>
        </is>
      </c>
      <c r="M320" s="377" t="inlineStr">
        <is>
          <t>LEFT JOIN PG_BRONZE.EBANKING_COL_UDF_VALUE b ON b.COL_REF = a.ACC_FCC AND b.UDF_ID = 'NHANNO_BATBUOC'</t>
        </is>
      </c>
      <c r="N320" s="377" t="inlineStr">
        <is>
          <t>WHERE b.UDF_ID = 'NHANNO_BATBUOC' (Lọc lấy b.UDF_VALUE -&gt; MAND_REPYMT)</t>
        </is>
      </c>
      <c r="O320" s="377" t="inlineStr">
        <is>
          <t>Source -&gt; PG_BRONZE (1:1) -&gt; PG_SILVER (Temp 2)</t>
        </is>
      </c>
      <c r="P320" s="357" t="inlineStr">
        <is>
          <t>Map từ PG_BRONZE.EBANKING_COL_UDF_VALUE.UDF_ID -&gt; PG_SILVER.LOAN_AR_PRFL.MAND_REPYMT</t>
        </is>
      </c>
    </row>
    <row r="321" ht="14.25" customHeight="1" s="335">
      <c r="A321" s="416">
        <f>C321&amp;D321&amp;E321</f>
        <v/>
      </c>
      <c r="B321" s="416" t="inlineStr">
        <is>
          <t>LOAN_AR_PRFL</t>
        </is>
      </c>
      <c r="C321" s="416" t="inlineStr">
        <is>
          <t>FLEXBO</t>
        </is>
      </c>
      <c r="D321" s="416" t="inlineStr">
        <is>
          <t>PGB_LOS_CONTRACT_FIELDS_TDATE</t>
        </is>
      </c>
      <c r="E321" s="416" t="inlineStr">
        <is>
          <t>LOS_CONTRACT_ID</t>
        </is>
      </c>
      <c r="F321" s="417" t="inlineStr">
        <is>
          <t>1:1</t>
        </is>
      </c>
      <c r="G321" s="417" t="inlineStr">
        <is>
          <t>PG_BRONZE</t>
        </is>
      </c>
      <c r="H321" s="377" t="inlineStr">
        <is>
          <t>FLEXBO_PGB_LOS_CONTRACT_FIELDS_TDATE</t>
        </is>
      </c>
      <c r="I321" s="377" t="inlineStr">
        <is>
          <t>LOS_CONTRACT_ID</t>
        </is>
      </c>
      <c r="J321" s="417" t="inlineStr">
        <is>
          <t>PG_SILVER</t>
        </is>
      </c>
      <c r="K321" s="377" t="inlineStr">
        <is>
          <t>LOS_CTR_ID</t>
        </is>
      </c>
      <c r="L321" s="417" t="inlineStr">
        <is>
          <t>VARCHAR2(20)</t>
        </is>
      </c>
      <c r="M321" s="377" t="inlineStr">
        <is>
          <t>LEFT JOIN PG_BRONZE.FLEXBO_PGB_LOS_CONTRACT_FIELDS_TDATE d ON d.CONTRACT_REF_NO = a.RECID</t>
        </is>
      </c>
      <c r="N321" s="377" t="inlineStr">
        <is>
          <t>TRIM(d.LOS_CONTRACT_ID)</t>
        </is>
      </c>
      <c r="O321" s="377" t="inlineStr">
        <is>
          <t>Source -&gt; PG_BRONZE (1:1) -&gt; PG_SILVER (Temp 2)</t>
        </is>
      </c>
      <c r="P321" s="357" t="inlineStr">
        <is>
          <t>Map từ PG_BRONZE.FLEXBO_PGB_LOS_CONTRACT_FIELDS_TDATE.LOS_CONTRACT_ID -&gt; PG_SILVER.LOAN_AR_PRFL.LOS_CTR_ID</t>
        </is>
      </c>
    </row>
    <row r="322" ht="14.25" customHeight="1" s="335">
      <c r="A322" s="416">
        <f>C322&amp;D322&amp;E322</f>
        <v/>
      </c>
      <c r="B322" s="416" t="inlineStr">
        <is>
          <t>LOAN_AR_PRFL</t>
        </is>
      </c>
      <c r="C322" s="416" t="inlineStr">
        <is>
          <t>FLEXBO</t>
        </is>
      </c>
      <c r="D322" s="416" t="inlineStr">
        <is>
          <t>PGB_LOS_CONTRACT_FIELDS_TDATE</t>
        </is>
      </c>
      <c r="E322" s="416" t="inlineStr">
        <is>
          <t>BDS_TT11</t>
        </is>
      </c>
      <c r="F322" s="417" t="inlineStr">
        <is>
          <t>1:1</t>
        </is>
      </c>
      <c r="G322" s="417" t="inlineStr">
        <is>
          <t>PG_BRONZE</t>
        </is>
      </c>
      <c r="H322" s="377" t="inlineStr">
        <is>
          <t>FLEXBO_PGB_LOS_CONTRACT_FIELDS_TDATE</t>
        </is>
      </c>
      <c r="I322" s="377" t="inlineStr">
        <is>
          <t>BDS_TT11</t>
        </is>
      </c>
      <c r="J322" s="417" t="inlineStr">
        <is>
          <t>PG_SILVER</t>
        </is>
      </c>
      <c r="K322" s="377" t="inlineStr">
        <is>
          <t>BDS_TT11</t>
        </is>
      </c>
      <c r="L322" s="417" t="inlineStr">
        <is>
          <t>VARCHAR2(20)</t>
        </is>
      </c>
      <c r="M322" s="377" t="inlineStr">
        <is>
          <t>LEFT JOIN PG_BRONZE.FLEXBO_PGB_LOS_CONTRACT_FIELDS_TDATE d ON d.CONTRACT_REF_NO = a.RECID</t>
        </is>
      </c>
      <c r="N322" s="377" t="inlineStr">
        <is>
          <t>TRIM(d.BDS_TT11)</t>
        </is>
      </c>
      <c r="O322" s="377" t="inlineStr">
        <is>
          <t>Source -&gt; PG_BRONZE (1:1) -&gt; PG_SILVER (Temp 2)</t>
        </is>
      </c>
      <c r="P322" s="357" t="inlineStr">
        <is>
          <t>Map từ PG_BRONZE.FLEXBO_PGB_LOS_CONTRACT_FIELDS_TDATE.BDS_TT11 -&gt; PG_SILVER.LOAN_AR_PRFL.BDS_TT11</t>
        </is>
      </c>
    </row>
    <row r="323" ht="14.25" customHeight="1" s="335">
      <c r="A323" s="416">
        <f>C323&amp;D323&amp;E323</f>
        <v/>
      </c>
      <c r="B323" s="416" t="inlineStr">
        <is>
          <t>LOAN_AR</t>
        </is>
      </c>
      <c r="C323" s="416" t="inlineStr">
        <is>
          <t>FLEXBO</t>
        </is>
      </c>
      <c r="D323" s="416" t="inlineStr">
        <is>
          <t>PGB_LOS_CONTRACT_FIELDS_TDATE</t>
        </is>
      </c>
      <c r="E323" s="416" t="inlineStr">
        <is>
          <t>SAN_PHAM_CHO_VAY_KHCN</t>
        </is>
      </c>
      <c r="F323" s="417" t="inlineStr">
        <is>
          <t>1:1</t>
        </is>
      </c>
      <c r="G323" s="417" t="inlineStr">
        <is>
          <t>PG_BRONZE</t>
        </is>
      </c>
      <c r="H323" s="377" t="inlineStr">
        <is>
          <t>FLEXBO_PGB_LOS_CONTRACT_FIELDS_TDATE</t>
        </is>
      </c>
      <c r="I323" s="377" t="inlineStr">
        <is>
          <t>SAN_PHAM_CHO_VAY_KHCN</t>
        </is>
      </c>
      <c r="J323" s="417" t="inlineStr">
        <is>
          <t>PG_SILVER</t>
        </is>
      </c>
      <c r="K323" s="377" t="inlineStr">
        <is>
          <t>PD_CODE</t>
        </is>
      </c>
      <c r="L323" s="417" t="inlineStr">
        <is>
          <t>VARCHAR2(20)</t>
        </is>
      </c>
      <c r="M323" s="377" t="inlineStr">
        <is>
          <t>LEFT JOIN PG_BRONZE.FLEXBO_PGB_LOS_CONTRACT_FIELDS_TDATE td ON ld.RECID = td.CONTRACT_REF_NO</t>
        </is>
      </c>
      <c r="N323" s="377" t="inlineStr">
        <is>
          <t>CASE WHEN ld.ACC_FCC IS NOT NULL AND i.KHOI = 'INDIV' THEN td.SAN_PHAM_CHO_VAY_KHCN ... END</t>
        </is>
      </c>
      <c r="O323" s="377" t="inlineStr">
        <is>
          <t>Source -&gt; PG_BRONZE (1:1) -&gt; PG_SILVER (Temp 2)</t>
        </is>
      </c>
      <c r="P323" s="357" t="inlineStr">
        <is>
          <t>Map từ PG_BRONZE.FLEXBO_PGB_LOS_CONTRACT_FIELDS_TDATE.SAN_PHAM_CHO_VAY_KHCN -&gt; PG_SILVER.LOAN_AR.PD_CODE</t>
        </is>
      </c>
    </row>
    <row r="324" ht="14.25" customHeight="1" s="335">
      <c r="A324" s="416">
        <f>C324&amp;D324&amp;E324</f>
        <v/>
      </c>
      <c r="B324" s="416" t="inlineStr">
        <is>
          <t>AR_RATE_HIST</t>
        </is>
      </c>
      <c r="C324" s="416" t="inlineStr">
        <is>
          <t>FLEXBO</t>
        </is>
      </c>
      <c r="D324" s="416" t="inlineStr">
        <is>
          <t>PGB_LOS_CONTRACT_FIELDS_TDATE</t>
        </is>
      </c>
      <c r="E324" s="416" t="inlineStr">
        <is>
          <t>BIEN_DO_THAY_DOI_LS_THEO_HDTD</t>
        </is>
      </c>
      <c r="F324" s="417" t="inlineStr">
        <is>
          <t>1:1</t>
        </is>
      </c>
      <c r="G324" s="417" t="inlineStr">
        <is>
          <t>PG_BRONZE</t>
        </is>
      </c>
      <c r="H324" s="377" t="inlineStr">
        <is>
          <t>FLEXBO_PGB_LOS_CONTRACT_FIELDS_TDATE</t>
        </is>
      </c>
      <c r="I324" s="377" t="inlineStr">
        <is>
          <t>BIEN_DO_THAY_DOI_LS_THEO_HDTD</t>
        </is>
      </c>
      <c r="J324" s="417" t="inlineStr">
        <is>
          <t>PG_SILVER</t>
        </is>
      </c>
      <c r="K324" s="377" t="inlineStr">
        <is>
          <t>MRGN_RATE</t>
        </is>
      </c>
      <c r="L324" s="417" t="inlineStr">
        <is>
          <t>NUMBER(25,7)</t>
        </is>
      </c>
      <c r="M324" s="377" t="inlineStr">
        <is>
          <t>LEFT JOIN PG_BRONZE.FLEXBO_PGB_LOS_CONTRACT_FIELDS_TDATE d ON d.CONTRACT_REF_NO = a.RECID</t>
        </is>
      </c>
      <c r="N324" s="377" t="inlineStr">
        <is>
          <t>COALESCE(CAST(d.BIEN_DO_THAY_DOI_LS_THEO_HDTD AS DECIMAL(25,7)), 0)</t>
        </is>
      </c>
      <c r="O324" s="377" t="inlineStr">
        <is>
          <t>Source -&gt; PG_BRONZE (1:1) -&gt; PG_SILVER (Temp 2)</t>
        </is>
      </c>
      <c r="P324" s="357" t="inlineStr">
        <is>
          <t>Map từ PG_BRONZE.FLEXBO_PGB_LOS_CONTRACT_FIELDS_TDATE.BIEN_DO_THAY_DOI_LS_THEO_HDTD -&gt; PG_SILVER.AR_RATE_HIST.MRGN_RATE</t>
        </is>
      </c>
    </row>
    <row r="325" ht="14.25" customHeight="1" s="335">
      <c r="A325" s="416">
        <f>C325&amp;D325&amp;E325</f>
        <v/>
      </c>
      <c r="B325" s="416" t="inlineStr">
        <is>
          <t>LOAN_AR</t>
        </is>
      </c>
      <c r="C325" s="416" t="inlineStr">
        <is>
          <t>FLEXBO</t>
        </is>
      </c>
      <c r="D325" s="416" t="inlineStr">
        <is>
          <t>PGB_LOS_CONTRACT_FIELDS_TDATE</t>
        </is>
      </c>
      <c r="E325" s="416" t="inlineStr">
        <is>
          <t>SAN_PHAM_CHO_VAY_KHDN</t>
        </is>
      </c>
      <c r="F325" s="417" t="inlineStr">
        <is>
          <t>1:1</t>
        </is>
      </c>
      <c r="G325" s="417" t="inlineStr">
        <is>
          <t>PG_BRONZE</t>
        </is>
      </c>
      <c r="H325" s="377" t="inlineStr">
        <is>
          <t>FLEXBO_PGB_LOS_CONTRACT_FIELDS_TDATE</t>
        </is>
      </c>
      <c r="I325" s="377" t="inlineStr">
        <is>
          <t>SAN_PHAM_CHO_VAY_KHDN</t>
        </is>
      </c>
      <c r="J325" s="417" t="inlineStr">
        <is>
          <t>PG_SILVER</t>
        </is>
      </c>
      <c r="K325" s="377" t="inlineStr">
        <is>
          <t>PD_CODE</t>
        </is>
      </c>
      <c r="L325" s="417" t="inlineStr">
        <is>
          <t>VARCHAR2(20)</t>
        </is>
      </c>
      <c r="M325" s="377" t="inlineStr">
        <is>
          <t>LEFT JOIN PG_BRONZE.FLEXBO_PGB_LOS_CONTRACT_FIELDS_TDATE td ON ld.RECID = td.CONTRACT_REF_NO</t>
        </is>
      </c>
      <c r="N325" s="377" t="inlineStr">
        <is>
          <t>CASE WHEN ld.ACC_FCC IS NOT NULL AND i.KHOI &lt;&gt; 'INDIV' THEN td.SAN_PHAM_CHO_VAY_KHDN ... END</t>
        </is>
      </c>
      <c r="O325" s="377" t="inlineStr">
        <is>
          <t>Source -&gt; PG_BRONZE (1:1) -&gt; PG_SILVER (Temp 2)</t>
        </is>
      </c>
      <c r="P325" s="357" t="inlineStr">
        <is>
          <t>Map từ PG_BRONZE.FLEXBO_PGB_LOS_CONTRACT_FIELDS_TDATE.SAN_PHAM_CHO_VAY_KHDN -&gt; PG_SILVER.LOAN_AR.PD_CODE</t>
        </is>
      </c>
    </row>
    <row r="326" ht="14.25" customHeight="1" s="335">
      <c r="A326" s="416">
        <f>C326&amp;D326&amp;E326</f>
        <v/>
      </c>
      <c r="B326" s="416" t="inlineStr">
        <is>
          <t>LOAN_AR_PRFL</t>
        </is>
      </c>
      <c r="C326" s="416" t="inlineStr">
        <is>
          <t>FLEXBO</t>
        </is>
      </c>
      <c r="D326" s="416" t="inlineStr">
        <is>
          <t>PGB_LOS_CONTRACT_FIELDS_TDATE</t>
        </is>
      </c>
      <c r="E326" s="416" t="inlineStr">
        <is>
          <t>CBTD_QL_KHOAN_VAY</t>
        </is>
      </c>
      <c r="F326" s="417" t="inlineStr">
        <is>
          <t>1:1</t>
        </is>
      </c>
      <c r="G326" s="417" t="inlineStr">
        <is>
          <t>PG_BRONZE</t>
        </is>
      </c>
      <c r="H326" s="377" t="inlineStr">
        <is>
          <t>FLEXBO_PGB_LOS_CONTRACT_FIELDS_TDATE</t>
        </is>
      </c>
      <c r="I326" s="377" t="inlineStr">
        <is>
          <t>CBTD_QL_KHOAN_VAY</t>
        </is>
      </c>
      <c r="J326" s="417" t="inlineStr">
        <is>
          <t>PG_SILVER</t>
        </is>
      </c>
      <c r="K326" s="377" t="inlineStr">
        <is>
          <t>MGT_OFCR</t>
        </is>
      </c>
      <c r="L326" s="417" t="inlineStr">
        <is>
          <t>VARCHAR2(40)</t>
        </is>
      </c>
      <c r="M326" s="377" t="inlineStr">
        <is>
          <t>LEFT JOIN PG_BRONZE.FLEXBO_PGB_LOS_CONTRACT_FIELDS_TDATE d ON d.CONTRACT_REF_NO = a.RECID</t>
        </is>
      </c>
      <c r="N326" s="377" t="inlineStr">
        <is>
          <t>TRIM(d.CBTD_QL_KHOAN_VAY)</t>
        </is>
      </c>
      <c r="O326" s="377" t="inlineStr">
        <is>
          <t>Source -&gt; PG_BRONZE (1:1) -&gt; PG_SILVER (Temp 2)</t>
        </is>
      </c>
      <c r="P326" s="357" t="inlineStr">
        <is>
          <t>Map từ PG_BRONZE.FLEXBO_PGB_LOS_CONTRACT_FIELDS_TDATE.CBTD_QL_KHOAN_VAY -&gt; PG_SILVER.LOAN_AR_PRFL.MGT_OFCR</t>
        </is>
      </c>
    </row>
    <row r="327" ht="14.25" customHeight="1" s="335">
      <c r="A327" s="416">
        <f>C327&amp;D327&amp;E327</f>
        <v/>
      </c>
      <c r="B327" s="416" t="inlineStr">
        <is>
          <t>LOAN_AR_PRFL</t>
        </is>
      </c>
      <c r="C327" s="416" t="inlineStr">
        <is>
          <t>FLEXBO</t>
        </is>
      </c>
      <c r="D327" s="416" t="inlineStr">
        <is>
          <t>PGB_LOS_CONTRACT_FIELDS_TDATE</t>
        </is>
      </c>
      <c r="E327" s="416" t="inlineStr">
        <is>
          <t>TP_PP_QL_KHOAN_VAY</t>
        </is>
      </c>
      <c r="F327" s="417" t="inlineStr">
        <is>
          <t>1:1</t>
        </is>
      </c>
      <c r="G327" s="417" t="inlineStr">
        <is>
          <t>PG_BRONZE</t>
        </is>
      </c>
      <c r="H327" s="377" t="inlineStr">
        <is>
          <t>FLEXBO_PGB_LOS_CONTRACT_FIELDS_TDATE</t>
        </is>
      </c>
      <c r="I327" s="377" t="inlineStr">
        <is>
          <t>TP_PP_QL_KHOAN_VAY</t>
        </is>
      </c>
      <c r="J327" s="417" t="inlineStr">
        <is>
          <t>PG_SILVER</t>
        </is>
      </c>
      <c r="K327" s="377" t="inlineStr">
        <is>
          <t>MGT_MGR</t>
        </is>
      </c>
      <c r="L327" s="417" t="inlineStr">
        <is>
          <t>VARCHAR2(40)</t>
        </is>
      </c>
      <c r="M327" s="377" t="inlineStr">
        <is>
          <t>LEFT JOIN PG_BRONZE.FLEXBO_PGB_LOS_CONTRACT_FIELDS_TDATE d ON d.CONTRACT_REF_NO = a.RECID</t>
        </is>
      </c>
      <c r="N327" s="377" t="inlineStr">
        <is>
          <t>TRIM(d.TP_PP_QL_KHOAN_VAY)</t>
        </is>
      </c>
      <c r="O327" s="377" t="inlineStr">
        <is>
          <t>Source -&gt; PG_BRONZE (1:1) -&gt; PG_SILVER (Temp 2)</t>
        </is>
      </c>
      <c r="P327" s="357" t="inlineStr">
        <is>
          <t>Map từ PG_BRONZE.FLEXBO_PGB_LOS_CONTRACT_FIELDS_TDATE.TP_PP_QL_KHOAN_VAY -&gt; PG_SILVER.LOAN_AR_PRFL.MGT_MGR</t>
        </is>
      </c>
    </row>
    <row r="328" ht="14.25" customHeight="1" s="335">
      <c r="A328" s="416">
        <f>C328&amp;D328&amp;E328</f>
        <v/>
      </c>
      <c r="B328" s="416" t="inlineStr">
        <is>
          <t>LOAN_AR_PRFL</t>
        </is>
      </c>
      <c r="C328" s="416" t="inlineStr">
        <is>
          <t>FLEXBO</t>
        </is>
      </c>
      <c r="D328" s="416" t="inlineStr">
        <is>
          <t>PGB_LOS_CONTRACT_FIELDS_TDATE</t>
        </is>
      </c>
      <c r="E328" s="416" t="inlineStr">
        <is>
          <t>CAP_PHE_DUYET_GNTL</t>
        </is>
      </c>
      <c r="F328" s="417" t="inlineStr">
        <is>
          <t>1:1</t>
        </is>
      </c>
      <c r="G328" s="417" t="inlineStr">
        <is>
          <t>PG_BRONZE</t>
        </is>
      </c>
      <c r="H328" s="377" t="inlineStr">
        <is>
          <t>FLEXBO_PGB_LOS_CONTRACT_FIELDS_TDATE</t>
        </is>
      </c>
      <c r="I328" s="377" t="inlineStr">
        <is>
          <t>CAP_PHE_DUYET_GNTL</t>
        </is>
      </c>
      <c r="J328" s="417" t="inlineStr">
        <is>
          <t>PG_SILVER</t>
        </is>
      </c>
      <c r="K328" s="377" t="inlineStr">
        <is>
          <t>APRV_AHR</t>
        </is>
      </c>
      <c r="L328" s="417" t="inlineStr">
        <is>
          <t>VARCHAR2(1000)</t>
        </is>
      </c>
      <c r="M328" s="377" t="inlineStr">
        <is>
          <t>LEFT JOIN PG_BRONZE.FLEXBO_PGB_LOS_CONTRACT_FIELDS_TDATE d ON d.CONTRACT_REF_NO = a.RECID</t>
        </is>
      </c>
      <c r="N328" s="377" t="inlineStr">
        <is>
          <t>TRIM(d.CAP_PHE_DUYET_GNTL)</t>
        </is>
      </c>
      <c r="O328" s="377" t="inlineStr">
        <is>
          <t>Source -&gt; PG_BRONZE (1:1) -&gt; PG_SILVER (Temp 2)</t>
        </is>
      </c>
      <c r="P328" s="357" t="inlineStr">
        <is>
          <t>Map từ PG_BRONZE.FLEXBO_PGB_LOS_CONTRACT_FIELDS_TDATE.CAP_PHE_DUYET_GNTL -&gt; PG_SILVER.LOAN_AR_PRFL.APRV_AHR</t>
        </is>
      </c>
    </row>
    <row r="329" ht="14.25" customHeight="1" s="335">
      <c r="A329" s="416">
        <f>C329&amp;D329&amp;E329</f>
        <v/>
      </c>
      <c r="B329" s="416" t="inlineStr">
        <is>
          <t>LOAN_AR_PRFL</t>
        </is>
      </c>
      <c r="C329" s="416" t="inlineStr">
        <is>
          <t>FLEXBO</t>
        </is>
      </c>
      <c r="D329" s="416" t="inlineStr">
        <is>
          <t>PGB_LOS_CONTRACT_FIELDS_TDATE</t>
        </is>
      </c>
      <c r="E329" s="416" t="inlineStr">
        <is>
          <t>CO_CAU_NO_MIEN_GIAM_LAI</t>
        </is>
      </c>
      <c r="F329" s="417" t="inlineStr">
        <is>
          <t>1:1</t>
        </is>
      </c>
      <c r="G329" s="417" t="inlineStr">
        <is>
          <t>PG_BRONZE</t>
        </is>
      </c>
      <c r="H329" s="377" t="inlineStr">
        <is>
          <t>FLEXBO_PGB_LOS_CONTRACT_FIELDS_TDATE</t>
        </is>
      </c>
      <c r="I329" s="377" t="inlineStr">
        <is>
          <t>CO_CAU_NO_MIEN_GIAM_LAI</t>
        </is>
      </c>
      <c r="J329" s="417" t="inlineStr">
        <is>
          <t>PG_SILVER</t>
        </is>
      </c>
      <c r="K329" s="377" t="inlineStr">
        <is>
          <t>DBT_WVR_F</t>
        </is>
      </c>
      <c r="L329" s="417" t="inlineStr">
        <is>
          <t>VARCHAR2(20)</t>
        </is>
      </c>
      <c r="M329" s="377" t="inlineStr">
        <is>
          <t>LEFT JOIN PG_BRONZE.FLEXBO_PGB_LOS_CONTRACT_FIELDS_TDATE d ON d.CONTRACT_REF_NO = a.RECID</t>
        </is>
      </c>
      <c r="N329" s="377" t="inlineStr">
        <is>
          <t>TRIM(d.CO_CAU_NO_MIEN_GIAM_LAI)</t>
        </is>
      </c>
      <c r="O329" s="377" t="inlineStr">
        <is>
          <t>Source -&gt; PG_BRONZE (1:1) -&gt; PG_SILVER (Temp 2)</t>
        </is>
      </c>
      <c r="P329" s="357" t="inlineStr">
        <is>
          <t>Map từ PG_BRONZE.FLEXBO_PGB_LOS_CONTRACT_FIELDS_TDATE.CO_CAU_NO_MIEN_GIAM_LAI -&gt; PG_SILVER.LOAN_AR_PRFL.DBT_WVR_F</t>
        </is>
      </c>
    </row>
    <row r="330" ht="14.25" customHeight="1" s="335">
      <c r="A330" s="416">
        <f>C330&amp;D330&amp;E330</f>
        <v/>
      </c>
      <c r="B330" s="416" t="inlineStr">
        <is>
          <t>LOAN_AR_PRFL</t>
        </is>
      </c>
      <c r="C330" s="416" t="inlineStr">
        <is>
          <t>FLEXBO</t>
        </is>
      </c>
      <c r="D330" s="416" t="inlineStr">
        <is>
          <t>PGB_LOS_CONTRACT_FIELDS_TDATE</t>
        </is>
      </c>
      <c r="E330" s="416" t="inlineStr">
        <is>
          <t>SO_LAN_CO_CAU</t>
        </is>
      </c>
      <c r="F330" s="417" t="inlineStr">
        <is>
          <t>1:1</t>
        </is>
      </c>
      <c r="G330" s="417" t="inlineStr">
        <is>
          <t>PG_BRONZE</t>
        </is>
      </c>
      <c r="H330" s="377" t="inlineStr">
        <is>
          <t>FLEXBO_PGB_LOS_CONTRACT_FIELDS_TDATE</t>
        </is>
      </c>
      <c r="I330" s="377" t="inlineStr">
        <is>
          <t>SO_LAN_CO_CAU</t>
        </is>
      </c>
      <c r="J330" s="417" t="inlineStr">
        <is>
          <t>PG_SILVER</t>
        </is>
      </c>
      <c r="K330" s="377" t="inlineStr">
        <is>
          <t>NBR_OF_DBT_RSTC</t>
        </is>
      </c>
      <c r="L330" s="417" t="inlineStr">
        <is>
          <t>NUMBER(22)</t>
        </is>
      </c>
      <c r="M330" s="377" t="inlineStr">
        <is>
          <t>LEFT JOIN PG_BRONZE.FLEXBO_PGB_LOS_CONTRACT_FIELDS_TDATE d ON d.CONTRACT_REF_NO = a.RECID</t>
        </is>
      </c>
      <c r="N330" s="377" t="inlineStr">
        <is>
          <t>NVL(d.SO_LAN_CO_CAU, c.FIELD_VAL)</t>
        </is>
      </c>
      <c r="O330" s="377" t="inlineStr">
        <is>
          <t>Source -&gt; PG_BRONZE (1:1) -&gt; PG_SILVER (Temp 2)</t>
        </is>
      </c>
      <c r="P330" s="357" t="inlineStr">
        <is>
          <t>Map từ PG_BRONZE.FLEXBO_PGB_LOS_CONTRACT_FIELDS_TDATE.SO_LAN_CO_CAU -&gt; PG_SILVER.LOAN_AR_PRFL.NBR_OF_DBT_RSTC</t>
        </is>
      </c>
    </row>
    <row r="331" ht="14.25" customHeight="1" s="335">
      <c r="A331" s="416">
        <f>C331&amp;D331&amp;E331</f>
        <v/>
      </c>
      <c r="B331" s="416" t="inlineStr">
        <is>
          <t>LOAN_AR_PRFL</t>
        </is>
      </c>
      <c r="C331" s="416" t="inlineStr">
        <is>
          <t>T24CORE</t>
        </is>
      </c>
      <c r="D331" s="416" t="inlineStr">
        <is>
          <t>MB_MG_SAVING_MULTI</t>
        </is>
      </c>
      <c r="E331" s="416" t="inlineStr">
        <is>
          <t>MB_LD_TYPE</t>
        </is>
      </c>
      <c r="F331" s="417" t="inlineStr">
        <is>
          <t>1:1</t>
        </is>
      </c>
      <c r="G331" s="417" t="inlineStr">
        <is>
          <t>PG_BRONZE</t>
        </is>
      </c>
      <c r="H331" s="377" t="inlineStr">
        <is>
          <t>T24CORE_MB_MG_SAVING_MULTI</t>
        </is>
      </c>
      <c r="I331" s="377" t="inlineStr">
        <is>
          <t>MB_LD_TYPE</t>
        </is>
      </c>
      <c r="J331" s="417" t="inlineStr">
        <is>
          <t>PG_SILVER</t>
        </is>
      </c>
      <c r="K331" s="377" t="inlineStr">
        <is>
          <t>PROM_PRGM</t>
        </is>
      </c>
      <c r="L331" s="417" t="inlineStr">
        <is>
          <t>VARCHAR2(20)</t>
        </is>
      </c>
      <c r="M331" s="377" t="inlineStr">
        <is>
          <t>LEFT JOIN PG_BRONZE.T24CORE_MB_MG_SAVING_MULTI f ON f.LD_ID = a.RECID</t>
        </is>
      </c>
      <c r="N331" s="377" t="inlineStr">
        <is>
          <t>CASE WHEN e.CT_KHUYEN_MAI_CHO_VAY IS NULL AND i.KHOI = 'INDIV' THEN f.MB_LD_TYPE ELSE e.CT_KHUYEN_MAI_CHO_VAY END</t>
        </is>
      </c>
      <c r="O331" s="377" t="inlineStr">
        <is>
          <t>Source -&gt; PG_BRONZE (1:1) -&gt; PG_SILVER (Temp 2)</t>
        </is>
      </c>
      <c r="P331" s="357" t="inlineStr">
        <is>
          <t>Map từ PG_BRONZE.T24CORE_MB_MG_SAVING_MULTI.MB_LD_TYPE -&gt; PG_SILVER.LOAN_AR_PRFL.PROM_PRGM</t>
        </is>
      </c>
    </row>
    <row r="332" ht="14.25" customHeight="1" s="335">
      <c r="A332" s="416">
        <f>C332&amp;D332&amp;E332</f>
        <v/>
      </c>
      <c r="B332" s="416" t="inlineStr">
        <is>
          <t>LOAN_AR</t>
        </is>
      </c>
      <c r="C332" s="416" t="inlineStr">
        <is>
          <t>T24CORE</t>
        </is>
      </c>
      <c r="D332" s="416" t="inlineStr">
        <is>
          <t>PD_PAYMENT_DUE</t>
        </is>
      </c>
      <c r="E332" s="416" t="inlineStr">
        <is>
          <t>PAYMENT_DTE_DUE</t>
        </is>
      </c>
      <c r="F332" s="417" t="inlineStr">
        <is>
          <t>1:1</t>
        </is>
      </c>
      <c r="G332" s="417" t="inlineStr">
        <is>
          <t>PG_BRONZE</t>
        </is>
      </c>
      <c r="H332" s="377" t="inlineStr">
        <is>
          <t>T24CORE_PD_PAYMENT_DUE</t>
        </is>
      </c>
      <c r="I332" s="377" t="inlineStr">
        <is>
          <t>PAYMENT_DTE_DUE</t>
        </is>
      </c>
      <c r="J332" s="417" t="inlineStr">
        <is>
          <t>PG_SILVER</t>
        </is>
      </c>
      <c r="K332" s="377" t="inlineStr">
        <is>
          <t>EFF_DT</t>
        </is>
      </c>
      <c r="L332" s="417" t="inlineStr">
        <is>
          <t>DATE</t>
        </is>
      </c>
      <c r="M332" s="377" t="inlineStr">
        <is>
          <t>FROM PG_BRONZE.T24CORE_PD_PAYMENT_DUE d WHERE NVL(d.FLAG_STATUS, '_') &lt;&gt; 'DELETE'</t>
        </is>
      </c>
      <c r="N332" s="377" t="inlineStr">
        <is>
          <t>TO_DATE(SUBSTR(d.PAYMENT_DTE_DUE, 1, 8), 'YYYYMMDD')</t>
        </is>
      </c>
      <c r="O332" s="377" t="inlineStr">
        <is>
          <t>Source -&gt; PG_BRONZE (1:1) -&gt; PG_SILVER (Temp 2)</t>
        </is>
      </c>
      <c r="P332" s="357" t="inlineStr">
        <is>
          <t>Map từ PG_BRONZE.T24CORE_PD_PAYMENT_DUE.PAYMENT_DTE_DUE -&gt; PG_SILVER.LOAN_AR.EFF_DT</t>
        </is>
      </c>
    </row>
    <row r="333" ht="14.25" customHeight="1" s="335">
      <c r="A333" s="416">
        <f>C333&amp;D333&amp;E333</f>
        <v/>
      </c>
      <c r="B333" s="416" t="inlineStr">
        <is>
          <t>LOAN_AR</t>
        </is>
      </c>
      <c r="C333" s="416" t="inlineStr">
        <is>
          <t>T24CORE</t>
        </is>
      </c>
      <c r="D333" s="416" t="inlineStr">
        <is>
          <t>PD_PAYMENT_DUE</t>
        </is>
      </c>
      <c r="E333" s="416" t="inlineStr">
        <is>
          <t>LIMIT_REFERENCE</t>
        </is>
      </c>
      <c r="F333" s="417" t="inlineStr">
        <is>
          <t>1:1</t>
        </is>
      </c>
      <c r="G333" s="417" t="inlineStr">
        <is>
          <t>PG_BRONZE</t>
        </is>
      </c>
      <c r="H333" s="377" t="inlineStr">
        <is>
          <t>T24CORE_PD_PAYMENT_DUE</t>
        </is>
      </c>
      <c r="I333" s="377" t="inlineStr">
        <is>
          <t>LIMIT_REFERENCE</t>
        </is>
      </c>
      <c r="J333" s="417" t="inlineStr">
        <is>
          <t>PG_SILVER</t>
        </is>
      </c>
      <c r="K333" s="377" t="inlineStr">
        <is>
          <t>LMT_CODE</t>
        </is>
      </c>
      <c r="L333" s="417" t="inlineStr">
        <is>
          <t>VARCHAR2(32)</t>
        </is>
      </c>
      <c r="M333" s="377" t="inlineStr">
        <is>
          <t>FROM PG_BRONZE.T24CORE_PD_PAYMENT_DUE d WHERE NVL(d.FLAG_STATUS, '_') &lt;&gt; 'DELETE'</t>
        </is>
      </c>
      <c r="N333" s="377" t="inlineStr">
        <is>
          <t>TRIM(d.LIMIT_REFERENCE)</t>
        </is>
      </c>
      <c r="O333" s="377" t="inlineStr">
        <is>
          <t>Source -&gt; PG_BRONZE (1:1) -&gt; PG_SILVER (Temp 2)</t>
        </is>
      </c>
      <c r="P333" s="357" t="inlineStr">
        <is>
          <t>Map từ PG_BRONZE.T24CORE_PD_PAYMENT_DUE.LIMIT_REFERENCE -&gt; PG_SILVER.LOAN_AR.LMT_CODE</t>
        </is>
      </c>
    </row>
    <row r="334" ht="14.25" customHeight="1" s="335">
      <c r="A334" s="416">
        <f>C334&amp;D334&amp;E334</f>
        <v/>
      </c>
      <c r="B334" s="416" t="inlineStr">
        <is>
          <t>AR_RATE_HIST</t>
        </is>
      </c>
      <c r="C334" s="416" t="inlineStr">
        <is>
          <t>T24CORE</t>
        </is>
      </c>
      <c r="D334" s="416" t="inlineStr">
        <is>
          <t>PD_PAYMENT_DUE</t>
        </is>
      </c>
      <c r="E334" s="416" t="inlineStr">
        <is>
          <t>PS_RATE</t>
        </is>
      </c>
      <c r="F334" s="417" t="inlineStr">
        <is>
          <t>1:1</t>
        </is>
      </c>
      <c r="G334" s="417" t="inlineStr">
        <is>
          <t>PG_BRONZE</t>
        </is>
      </c>
      <c r="H334" s="377" t="inlineStr">
        <is>
          <t>T24CORE_PD_PAYMENT_DUE</t>
        </is>
      </c>
      <c r="I334" s="377" t="inlineStr">
        <is>
          <t>PS_RATE</t>
        </is>
      </c>
      <c r="J334" s="417" t="inlineStr">
        <is>
          <t>PG_SILVER</t>
        </is>
      </c>
      <c r="K334" s="377" t="inlineStr">
        <is>
          <t>ODUE_INT_RATE</t>
        </is>
      </c>
      <c r="L334" s="417" t="inlineStr">
        <is>
          <t>NUMBER(25,7)</t>
        </is>
      </c>
      <c r="M334" s="377" t="inlineStr">
        <is>
          <t>FROM PG_BRONZE.T24CORE_PD_PAYMENT_DUE d WHERE NVL(d.FLAG_STATUS, '_') &lt;&gt; 'DELETE'</t>
        </is>
      </c>
      <c r="N334" s="377" t="inlineStr">
        <is>
          <t>COALESCE(CAST(d.PS_RATE AS DECIMAL(25,7)), 0)</t>
        </is>
      </c>
      <c r="O334" s="377" t="inlineStr">
        <is>
          <t>Source -&gt; PG_BRONZE (1:1) -&gt; PG_SILVER (Temp 2)</t>
        </is>
      </c>
      <c r="P334" s="357" t="inlineStr">
        <is>
          <t>Map từ PG_BRONZE.T24CORE_PD_PAYMENT_DUE.PS_RATE -&gt; PG_SILVER.AR_RATE_HIST.ODUE_INT_RATE</t>
        </is>
      </c>
    </row>
    <row r="335" ht="14.25" customHeight="1" s="335">
      <c r="A335" s="416">
        <f>C335&amp;D335&amp;E335</f>
        <v/>
      </c>
      <c r="B335" s="416" t="inlineStr">
        <is>
          <t>LOAN_AR</t>
        </is>
      </c>
      <c r="C335" s="416" t="inlineStr">
        <is>
          <t>T24CORE</t>
        </is>
      </c>
      <c r="D335" s="416" t="inlineStr">
        <is>
          <t>PD_PAYMENT_DUE</t>
        </is>
      </c>
      <c r="E335" s="416" t="inlineStr">
        <is>
          <t>CRA_LD</t>
        </is>
      </c>
      <c r="F335" s="417" t="inlineStr">
        <is>
          <t>1:1</t>
        </is>
      </c>
      <c r="G335" s="417" t="inlineStr">
        <is>
          <t>PG_BRONZE</t>
        </is>
      </c>
      <c r="H335" s="377" t="inlineStr">
        <is>
          <t>T24CORE_PD_PAYMENT_DUE</t>
        </is>
      </c>
      <c r="I335" s="377" t="inlineStr">
        <is>
          <t>CRA_LD</t>
        </is>
      </c>
      <c r="J335" s="417" t="inlineStr">
        <is>
          <t>PG_SILVER</t>
        </is>
      </c>
      <c r="K335" s="377" t="inlineStr">
        <is>
          <t>PPR_CTR_NBR</t>
        </is>
      </c>
      <c r="L335" s="417" t="inlineStr">
        <is>
          <t>VARCHAR2(100)</t>
        </is>
      </c>
      <c r="M335" s="377" t="inlineStr">
        <is>
          <t>FROM PG_BRONZE.T24CORE_PD_PAYMENT_DUE d WHERE NVL(d.FLAG_STATUS, '_') &lt;&gt; 'DELETE'</t>
        </is>
      </c>
      <c r="N335" s="377" t="inlineStr">
        <is>
          <t>TRIM(d.CRA_LD)</t>
        </is>
      </c>
      <c r="O335" s="377" t="inlineStr">
        <is>
          <t>Source -&gt; PG_BRONZE (1:1) -&gt; PG_SILVER (Temp 2)</t>
        </is>
      </c>
      <c r="P335" s="357" t="inlineStr">
        <is>
          <t>Map từ PG_BRONZE.T24CORE_PD_PAYMENT_DUE.CRA_LD -&gt; PG_SILVER.LOAN_AR.PPR_CTR_NBR</t>
        </is>
      </c>
    </row>
    <row r="336" ht="14.25" customHeight="1" s="335">
      <c r="A336" s="416">
        <f>C336&amp;D336&amp;E336</f>
        <v/>
      </c>
      <c r="B336" s="416" t="inlineStr">
        <is>
          <t>LOAN_AR_PRFL</t>
        </is>
      </c>
      <c r="C336" s="416" t="inlineStr">
        <is>
          <t>T24CORE</t>
        </is>
      </c>
      <c r="D336" s="416" t="inlineStr">
        <is>
          <t>PD_PAYMENT_DUE</t>
        </is>
      </c>
      <c r="E336" s="416" t="inlineStr">
        <is>
          <t>STATUS</t>
        </is>
      </c>
      <c r="F336" s="417" t="inlineStr">
        <is>
          <t>1:1</t>
        </is>
      </c>
      <c r="G336" s="417" t="inlineStr">
        <is>
          <t>PG_BRONZE</t>
        </is>
      </c>
      <c r="H336" s="377" t="inlineStr">
        <is>
          <t>T24CORE_PD_PAYMENT_DUE</t>
        </is>
      </c>
      <c r="I336" s="377" t="inlineStr">
        <is>
          <t>STATUS</t>
        </is>
      </c>
      <c r="J336" s="417" t="inlineStr">
        <is>
          <t>PG_SILVER</t>
        </is>
      </c>
      <c r="K336" s="377" t="inlineStr">
        <is>
          <t>AR_LCS_TP_CODE</t>
        </is>
      </c>
      <c r="L336" s="417" t="inlineStr">
        <is>
          <t>VARCHAR2(40)</t>
        </is>
      </c>
      <c r="M336" s="377" t="inlineStr">
        <is>
          <t>FROM PG_BRONZE.T24CORE_PD_PAYMENT_DUE d WHERE NVL(d.FLAG_STATUS, '_') &lt;&gt; 'DELETE'</t>
        </is>
      </c>
      <c r="N336" s="377" t="inlineStr">
        <is>
          <t>TRIM(d.STATUS)</t>
        </is>
      </c>
      <c r="O336" s="377" t="inlineStr">
        <is>
          <t>Source -&gt; PG_BRONZE (1:1) -&gt; PG_SILVER (Temp 2)</t>
        </is>
      </c>
      <c r="P336" s="357" t="inlineStr">
        <is>
          <t>Map từ PG_BRONZE.T24CORE_PD_PAYMENT_DUE.STATUS -&gt; PG_SILVER.LOAN_AR_PRFL.AR_LCS_TP_CODE</t>
        </is>
      </c>
    </row>
    <row r="337" ht="14.25" customHeight="1" s="335">
      <c r="A337" s="416">
        <f>C337&amp;D337&amp;E337</f>
        <v/>
      </c>
      <c r="B337" s="416" t="inlineStr">
        <is>
          <t>PST_ENTR</t>
        </is>
      </c>
      <c r="C337" s="416" t="inlineStr">
        <is>
          <t>T24CORE</t>
        </is>
      </c>
      <c r="D337" s="416" t="inlineStr">
        <is>
          <t>STMT_ENTRY</t>
        </is>
      </c>
      <c r="E337" s="416" t="inlineStr">
        <is>
          <t>COMPANY_CODE</t>
        </is>
      </c>
      <c r="F337" s="417" t="inlineStr">
        <is>
          <t>1:1</t>
        </is>
      </c>
      <c r="G337" s="417" t="inlineStr">
        <is>
          <t>PG_BRONZE</t>
        </is>
      </c>
      <c r="H337" s="377" t="inlineStr">
        <is>
          <t>T24CORE_STMT_ENTRY</t>
        </is>
      </c>
      <c r="I337" s="377" t="inlineStr">
        <is>
          <t>COMPANY_CODE</t>
        </is>
      </c>
      <c r="J337" s="417" t="inlineStr">
        <is>
          <t>PG_SILVER</t>
        </is>
      </c>
      <c r="K337" s="377" t="inlineStr">
        <is>
          <t>OU_CODE</t>
        </is>
      </c>
      <c r="L337" s="417" t="inlineStr">
        <is>
          <t>VARCHAR2(32)</t>
        </is>
      </c>
      <c r="M337" s="377" t="inlineStr">
        <is>
          <t>FROM PG_BRONZE.T24CORE_STMT_ENTRY stmt WHERE stmt.RECID NOT LIKE 'F%' AND stmt.COMMIT_ACTION &lt;&gt; 'D' AND stmt.BOOKING_DATE = ${ETL_DATE}</t>
        </is>
      </c>
      <c r="N337" s="377" t="inlineStr">
        <is>
          <t>COALESCE(ld.CO_CODE, pd.CO_CODE, stmt.COMPANY_CODE)</t>
        </is>
      </c>
      <c r="O337" s="377" t="inlineStr">
        <is>
          <t>Source -&gt; PG_BRONZE (1:1) -&gt; PG_SILVER (Temp 2)</t>
        </is>
      </c>
      <c r="P337" s="357" t="inlineStr">
        <is>
          <t>Map từ PG_BRONZE.T24CORE_STMT_ENTRY.COMPANY_CODE -&gt; PG_SILVER.PST_ENTR.OU_CODE</t>
        </is>
      </c>
    </row>
    <row r="338" ht="14.25" customHeight="1" s="335">
      <c r="A338" s="416">
        <f>C338&amp;D338&amp;E338</f>
        <v/>
      </c>
      <c r="B338" s="416" t="inlineStr">
        <is>
          <t>PST_ENTR</t>
        </is>
      </c>
      <c r="C338" s="416" t="inlineStr">
        <is>
          <t>T24CORE</t>
        </is>
      </c>
      <c r="D338" s="416" t="inlineStr">
        <is>
          <t>STMT_ENTRY</t>
        </is>
      </c>
      <c r="E338" s="416" t="inlineStr">
        <is>
          <t>CONSOL_KEY</t>
        </is>
      </c>
      <c r="F338" s="417" t="inlineStr">
        <is>
          <t>1:1</t>
        </is>
      </c>
      <c r="G338" s="417" t="inlineStr">
        <is>
          <t>PG_BRONZE</t>
        </is>
      </c>
      <c r="H338" s="377" t="inlineStr">
        <is>
          <t>T24CORE_STMT_ENTRY</t>
        </is>
      </c>
      <c r="I338" s="377" t="inlineStr">
        <is>
          <t>CONSOL_KEY</t>
        </is>
      </c>
      <c r="J338" s="417" t="inlineStr">
        <is>
          <t>PG_SILVER</t>
        </is>
      </c>
      <c r="K338" s="377" t="inlineStr">
        <is>
          <t>CONSOL_KEY</t>
        </is>
      </c>
      <c r="L338" s="417" t="inlineStr">
        <is>
          <t>VARCHAR2(1000)</t>
        </is>
      </c>
      <c r="M338" s="377" t="inlineStr">
        <is>
          <t>FROM PG_BRONZE.T24CORE_STMT_ENTRY stmt WHERE stmt.RECID NOT LIKE 'F%' AND stmt.COMMIT_ACTION &lt;&gt; 'D' AND stmt.BOOKING_DATE = ${ETL_DATE}</t>
        </is>
      </c>
      <c r="N338" s="377" t="inlineStr">
        <is>
          <t>TRIM(stmt.CONSOL_KEY)</t>
        </is>
      </c>
      <c r="O338" s="377" t="inlineStr">
        <is>
          <t>Source -&gt; PG_BRONZE (1:1) -&gt; PG_SILVER (Temp 2)</t>
        </is>
      </c>
      <c r="P338" s="357" t="inlineStr">
        <is>
          <t>Map từ PG_BRONZE.T24CORE_STMT_ENTRY.CONSOL_KEY -&gt; PG_SILVER.PST_ENTR.CONSOL_KEY</t>
        </is>
      </c>
    </row>
    <row r="339" ht="14.25" customHeight="1" s="335">
      <c r="A339" s="416">
        <f>C339&amp;D339&amp;E339</f>
        <v/>
      </c>
      <c r="B339" s="416" t="inlineStr">
        <is>
          <t>PST_ENTR</t>
        </is>
      </c>
      <c r="C339" s="416" t="inlineStr">
        <is>
          <t>T24CORE</t>
        </is>
      </c>
      <c r="D339" s="416" t="inlineStr">
        <is>
          <t>STMT_ENTRY</t>
        </is>
      </c>
      <c r="E339" s="416" t="inlineStr">
        <is>
          <t>CUSTOMER_ID</t>
        </is>
      </c>
      <c r="F339" s="417" t="inlineStr">
        <is>
          <t>1:1</t>
        </is>
      </c>
      <c r="G339" s="417" t="inlineStr">
        <is>
          <t>PG_BRONZE</t>
        </is>
      </c>
      <c r="H339" s="377" t="inlineStr">
        <is>
          <t>T24CORE_STMT_ENTRY</t>
        </is>
      </c>
      <c r="I339" s="377" t="inlineStr">
        <is>
          <t>CUSTOMER_ID</t>
        </is>
      </c>
      <c r="J339" s="417" t="inlineStr">
        <is>
          <t>PG_SILVER</t>
        </is>
      </c>
      <c r="K339" s="377" t="inlineStr">
        <is>
          <t>CST_NBR</t>
        </is>
      </c>
      <c r="L339" s="417" t="inlineStr">
        <is>
          <t>VARCHAR2(20)</t>
        </is>
      </c>
      <c r="M339" s="377" t="inlineStr">
        <is>
          <t>FROM PG_BRONZE.T24CORE_STMT_ENTRY stmt WHERE stmt.RECID NOT LIKE 'F%' AND stmt.COMMIT_ACTION &lt;&gt; 'D' AND stmt.BOOKING_DATE = ${ETL_DATE}</t>
        </is>
      </c>
      <c r="N339" s="377" t="inlineStr">
        <is>
          <t>TRIM(stmt.CUSTOMER_ID)</t>
        </is>
      </c>
      <c r="O339" s="377" t="inlineStr">
        <is>
          <t>Source -&gt; PG_BRONZE (1:1) -&gt; PG_SILVER (Temp 2)</t>
        </is>
      </c>
      <c r="P339" s="357" t="inlineStr">
        <is>
          <t>Map từ PG_BRONZE.T24CORE_STMT_ENTRY.CUSTOMER_ID -&gt; PG_SILVER.PST_ENTR.CST_NBR</t>
        </is>
      </c>
    </row>
    <row r="340" ht="14.25" customHeight="1" s="335">
      <c r="A340" s="416">
        <f>C340&amp;D340&amp;E340</f>
        <v/>
      </c>
      <c r="B340" s="416" t="inlineStr">
        <is>
          <t>PST_ENTR</t>
        </is>
      </c>
      <c r="C340" s="416" t="inlineStr">
        <is>
          <t>T24CORE</t>
        </is>
      </c>
      <c r="D340" s="416" t="inlineStr">
        <is>
          <t>STMT_ENTRY</t>
        </is>
      </c>
      <c r="E340" s="416" t="inlineStr">
        <is>
          <t>SYSTEM_ID</t>
        </is>
      </c>
      <c r="F340" s="417" t="inlineStr">
        <is>
          <t>1:1</t>
        </is>
      </c>
      <c r="G340" s="417" t="inlineStr">
        <is>
          <t>PG_BRONZE</t>
        </is>
      </c>
      <c r="H340" s="377" t="inlineStr">
        <is>
          <t>T24CORE_STMT_ENTRY</t>
        </is>
      </c>
      <c r="I340" s="377" t="inlineStr">
        <is>
          <t>SYSTEM_ID</t>
        </is>
      </c>
      <c r="J340" s="417" t="inlineStr">
        <is>
          <t>PG_SILVER</t>
        </is>
      </c>
      <c r="K340" s="377" t="inlineStr">
        <is>
          <t>MOD_CODE</t>
        </is>
      </c>
      <c r="L340" s="417" t="inlineStr">
        <is>
          <t>VARCHAR2(20)</t>
        </is>
      </c>
      <c r="M340" s="377" t="inlineStr">
        <is>
          <t>FROM PG_BRONZE.T24CORE_STMT_ENTRY stmt WHERE stmt.RECID NOT LIKE 'F%' AND stmt.COMMIT_ACTION &lt;&gt; 'D' AND stmt.BOOKING_DATE = ${ETL_DATE}</t>
        </is>
      </c>
      <c r="N340" s="377" t="inlineStr">
        <is>
          <t>TRIM(stmt.SYSTEM_ID)</t>
        </is>
      </c>
      <c r="O340" s="377" t="inlineStr">
        <is>
          <t>Source -&gt; PG_BRONZE (1:1) -&gt; PG_SILVER (Temp 2)</t>
        </is>
      </c>
      <c r="P340" s="357" t="inlineStr">
        <is>
          <t>Map từ PG_BRONZE.T24CORE_STMT_ENTRY.SYSTEM_ID -&gt; PG_SILVER.PST_ENTR.MOD_CODE</t>
        </is>
      </c>
    </row>
    <row r="341" ht="14.25" customHeight="1" s="335">
      <c r="A341" s="416">
        <f>C341&amp;D341&amp;E341</f>
        <v/>
      </c>
      <c r="B341" s="416" t="inlineStr">
        <is>
          <t>PST_ENTR</t>
        </is>
      </c>
      <c r="C341" s="416" t="inlineStr">
        <is>
          <t>T24CORE</t>
        </is>
      </c>
      <c r="D341" s="416" t="inlineStr">
        <is>
          <t>STMT_ENTRY</t>
        </is>
      </c>
      <c r="E341" s="416" t="inlineStr">
        <is>
          <t>EXCHANGE_RATE</t>
        </is>
      </c>
      <c r="F341" s="417" t="inlineStr">
        <is>
          <t>1:1</t>
        </is>
      </c>
      <c r="G341" s="417" t="inlineStr">
        <is>
          <t>PG_BRONZE</t>
        </is>
      </c>
      <c r="H341" s="377" t="inlineStr">
        <is>
          <t>T24CORE_STMT_ENTRY</t>
        </is>
      </c>
      <c r="I341" s="377" t="inlineStr">
        <is>
          <t>EXCHANGE_RATE</t>
        </is>
      </c>
      <c r="J341" s="417" t="inlineStr">
        <is>
          <t>PG_SILVER</t>
        </is>
      </c>
      <c r="K341" s="377" t="inlineStr">
        <is>
          <t>EXG_RATE</t>
        </is>
      </c>
      <c r="L341" s="417" t="inlineStr">
        <is>
          <t>NUMBER(25,7)</t>
        </is>
      </c>
      <c r="M341" s="377" t="inlineStr">
        <is>
          <t>FROM PG_BRONZE.T24CORE_STMT_ENTRY stmt WHERE stmt.RECID NOT LIKE 'F%' AND stmt.COMMIT_ACTION &lt;&gt; 'D' AND stmt.BOOKING_DATE = ${ETL_DATE}</t>
        </is>
      </c>
      <c r="N341" s="377" t="inlineStr">
        <is>
          <t>COALESCE(CAST(stmt.EXCHANGE_RATE AS DECIMAL(25,7)), 0)</t>
        </is>
      </c>
      <c r="O341" s="377" t="inlineStr">
        <is>
          <t>Source -&gt; PG_BRONZE (1:1) -&gt; PG_SILVER (Temp 2)</t>
        </is>
      </c>
      <c r="P341" s="357" t="inlineStr">
        <is>
          <t>Map từ PG_BRONZE.T24CORE_STMT_ENTRY.EXCHANGE_RATE -&gt; PG_SILVER.PST_ENTR.EXG_RATE</t>
        </is>
      </c>
    </row>
    <row r="342" ht="14.25" customHeight="1" s="335">
      <c r="A342" s="416">
        <f>C342&amp;D342&amp;E342</f>
        <v/>
      </c>
      <c r="B342" s="416" t="inlineStr">
        <is>
          <t>PST_ENTR</t>
        </is>
      </c>
      <c r="C342" s="416" t="inlineStr">
        <is>
          <t>T24CORE</t>
        </is>
      </c>
      <c r="D342" s="416" t="inlineStr">
        <is>
          <t>STMT_ENTRY</t>
        </is>
      </c>
      <c r="E342" s="416" t="inlineStr">
        <is>
          <t>PRODUCT_CATEGORY</t>
        </is>
      </c>
      <c r="F342" s="417" t="inlineStr">
        <is>
          <t>1:1</t>
        </is>
      </c>
      <c r="G342" s="417" t="inlineStr">
        <is>
          <t>PG_BRONZE</t>
        </is>
      </c>
      <c r="H342" s="377" t="inlineStr">
        <is>
          <t>T24CORE_STMT_ENTRY</t>
        </is>
      </c>
      <c r="I342" s="377" t="inlineStr">
        <is>
          <t>PRODUCT_CATEGORY</t>
        </is>
      </c>
      <c r="J342" s="417" t="inlineStr">
        <is>
          <t>PG_SILVER</t>
        </is>
      </c>
      <c r="K342" s="377" t="inlineStr">
        <is>
          <t>ACG_PD_CGY</t>
        </is>
      </c>
      <c r="L342" s="417" t="inlineStr">
        <is>
          <t>VARCHAR2(20)</t>
        </is>
      </c>
      <c r="M342" s="377" t="inlineStr">
        <is>
          <t>FROM PG_BRONZE.T24CORE_STMT_ENTRY stmt WHERE stmt.RECID NOT LIKE 'F%' AND stmt.COMMIT_ACTION &lt;&gt; 'D' AND stmt.BOOKING_DATE = ${ETL_DATE}</t>
        </is>
      </c>
      <c r="N342" s="377" t="inlineStr">
        <is>
          <t>TRIM(stmt.PRODUCT_CATEGORY)</t>
        </is>
      </c>
      <c r="O342" s="377" t="inlineStr">
        <is>
          <t>Source -&gt; PG_BRONZE (1:1) -&gt; PG_SILVER (Temp 2)</t>
        </is>
      </c>
      <c r="P342" s="357" t="inlineStr">
        <is>
          <t>Map từ PG_BRONZE.T24CORE_STMT_ENTRY.PRODUCT_CATEGORY -&gt; PG_SILVER.PST_ENTR.ACG_PD_CGY</t>
        </is>
      </c>
    </row>
    <row r="343" ht="14.25" customHeight="1" s="335">
      <c r="A343" s="416">
        <f>C343&amp;D343&amp;E343</f>
        <v/>
      </c>
      <c r="B343" s="416" t="inlineStr">
        <is>
          <t>PST_ENTR</t>
        </is>
      </c>
      <c r="C343" s="416" t="inlineStr">
        <is>
          <t>T24CORE</t>
        </is>
      </c>
      <c r="D343" s="416" t="inlineStr">
        <is>
          <t>STMT_ENTRY</t>
        </is>
      </c>
      <c r="E343" s="416" t="inlineStr">
        <is>
          <t>NARRATIVE</t>
        </is>
      </c>
      <c r="F343" s="417" t="inlineStr">
        <is>
          <t>1:1</t>
        </is>
      </c>
      <c r="G343" s="417" t="inlineStr">
        <is>
          <t>PG_BRONZE</t>
        </is>
      </c>
      <c r="H343" s="377" t="inlineStr">
        <is>
          <t>T24CORE_STMT_ENTRY</t>
        </is>
      </c>
      <c r="I343" s="377" t="inlineStr">
        <is>
          <t>NARRATIVE</t>
        </is>
      </c>
      <c r="J343" s="417" t="inlineStr">
        <is>
          <t>PG_SILVER</t>
        </is>
      </c>
      <c r="K343" s="377" t="inlineStr">
        <is>
          <t>PST_ENTR_DSC</t>
        </is>
      </c>
      <c r="L343" s="417" t="inlineStr">
        <is>
          <t>VARCHAR2(4000)</t>
        </is>
      </c>
      <c r="M343" s="377" t="inlineStr">
        <is>
          <t>FROM PG_BRONZE.T24CORE_STMT_ENTRY stmt WHERE stmt.RECID NOT LIKE 'F%' AND stmt.COMMIT_ACTION &lt;&gt; 'D' AND stmt.BOOKING_DATE = ${ETL_DATE}</t>
        </is>
      </c>
      <c r="N343" s="377" t="inlineStr">
        <is>
          <t>TRIM(stmt.NARRATIVE)</t>
        </is>
      </c>
      <c r="O343" s="377" t="inlineStr">
        <is>
          <t>Source -&gt; PG_BRONZE (1:1) -&gt; PG_SILVER (Temp 2)</t>
        </is>
      </c>
      <c r="P343" s="357" t="inlineStr">
        <is>
          <t>Map từ PG_BRONZE.T24CORE_STMT_ENTRY.NARRATIVE -&gt; PG_SILVER.PST_ENTR.PST_ENTR_DSC</t>
        </is>
      </c>
    </row>
    <row r="344" ht="14.25" customHeight="1" s="335">
      <c r="A344" s="416">
        <f>C344&amp;D344&amp;E344</f>
        <v/>
      </c>
      <c r="B344" s="416" t="inlineStr">
        <is>
          <t>PST_ENTR</t>
        </is>
      </c>
      <c r="C344" s="416" t="inlineStr">
        <is>
          <t>T24CORE</t>
        </is>
      </c>
      <c r="D344" s="416" t="inlineStr">
        <is>
          <t>STMT_ENTRY</t>
        </is>
      </c>
      <c r="E344" s="416" t="inlineStr">
        <is>
          <t>ACCOUNT_NUMBER</t>
        </is>
      </c>
      <c r="F344" s="417" t="inlineStr">
        <is>
          <t>1:1</t>
        </is>
      </c>
      <c r="G344" s="417" t="inlineStr">
        <is>
          <t>PG_BRONZE</t>
        </is>
      </c>
      <c r="H344" s="377" t="inlineStr">
        <is>
          <t>T24CORE_STMT_ENTRY</t>
        </is>
      </c>
      <c r="I344" s="377" t="inlineStr">
        <is>
          <t>ACCOUNT_NUMBER</t>
        </is>
      </c>
      <c r="J344" s="417" t="inlineStr">
        <is>
          <t>PG_SILVER</t>
        </is>
      </c>
      <c r="K344" s="377" t="inlineStr">
        <is>
          <t>AC_NBR</t>
        </is>
      </c>
      <c r="L344" s="417" t="inlineStr">
        <is>
          <t>VARCHAR2(40)</t>
        </is>
      </c>
      <c r="M344" s="377" t="inlineStr">
        <is>
          <t>FROM PG_BRONZE.T24CORE_STMT_ENTRY stmt WHERE stmt.RECID NOT LIKE 'F%' AND stmt.COMMIT_ACTION &lt;&gt; 'D' AND stmt.BOOKING_DATE = ${ETL_DATE}</t>
        </is>
      </c>
      <c r="N344" s="377" t="inlineStr">
        <is>
          <t>TRIM(stmt.ACCOUNT_NUMBER)</t>
        </is>
      </c>
      <c r="O344" s="377" t="inlineStr">
        <is>
          <t>Source -&gt; PG_BRONZE (1:1) -&gt; PG_SILVER (Temp 2)</t>
        </is>
      </c>
      <c r="P344" s="357" t="inlineStr">
        <is>
          <t>Map từ PG_BRONZE.T24CORE_STMT_ENTRY.ACCOUNT_NUMBER -&gt; PG_SILVER.PST_ENTR.AC_NBR</t>
        </is>
      </c>
    </row>
    <row r="345" ht="14.25" customHeight="1" s="335">
      <c r="A345" s="416">
        <f>C345&amp;D345&amp;E345</f>
        <v/>
      </c>
      <c r="B345" s="416" t="inlineStr">
        <is>
          <t>PST_ENTR</t>
        </is>
      </c>
      <c r="C345" s="416" t="inlineStr">
        <is>
          <t>T24CORE</t>
        </is>
      </c>
      <c r="D345" s="416" t="inlineStr">
        <is>
          <t>STMT_ENTRY</t>
        </is>
      </c>
      <c r="E345" s="416" t="inlineStr">
        <is>
          <t>CRF_TYPE</t>
        </is>
      </c>
      <c r="F345" s="417" t="inlineStr">
        <is>
          <t>1:1</t>
        </is>
      </c>
      <c r="G345" s="417" t="inlineStr">
        <is>
          <t>PG_BRONZE</t>
        </is>
      </c>
      <c r="H345" s="377" t="inlineStr">
        <is>
          <t>T24CORE_STMT_ENTRY</t>
        </is>
      </c>
      <c r="I345" s="377" t="inlineStr">
        <is>
          <t>CRF_TYPE</t>
        </is>
      </c>
      <c r="J345" s="417" t="inlineStr">
        <is>
          <t>PG_SILVER</t>
        </is>
      </c>
      <c r="K345" s="377" t="inlineStr">
        <is>
          <t>ACG_CR_DB_F</t>
        </is>
      </c>
      <c r="L345" s="417" t="inlineStr">
        <is>
          <t>VARCHAR2(20)</t>
        </is>
      </c>
      <c r="M345" s="377" t="inlineStr">
        <is>
          <t>FROM PG_BRONZE.T24CORE_STMT_ENTRY stmt WHERE stmt.RECID NOT LIKE 'F%' AND stmt.COMMIT_ACTION &lt;&gt; 'D' AND stmt.BOOKING_DATE = ${ETL_DATE}</t>
        </is>
      </c>
      <c r="N345" s="377" t="inlineStr">
        <is>
          <t>TRIM(stmt.CRF_TYPE)</t>
        </is>
      </c>
      <c r="O345" s="377" t="inlineStr">
        <is>
          <t>Source -&gt; PG_BRONZE (1:1) -&gt; PG_SILVER (Temp 2)</t>
        </is>
      </c>
      <c r="P345" s="357" t="inlineStr">
        <is>
          <t>Map từ PG_BRONZE.T24CORE_STMT_ENTRY.CRF_TYPE -&gt; PG_SILVER.PST_ENTR.ACG_CR_DB_F</t>
        </is>
      </c>
    </row>
    <row r="346" ht="14.25" customHeight="1" s="335">
      <c r="A346" s="416">
        <f>C346&amp;D346&amp;E346</f>
        <v/>
      </c>
      <c r="B346" s="416" t="inlineStr">
        <is>
          <t>PST_ENTR</t>
        </is>
      </c>
      <c r="C346" s="416" t="inlineStr">
        <is>
          <t>T24CORE</t>
        </is>
      </c>
      <c r="D346" s="416" t="inlineStr">
        <is>
          <t>STMT_ENTRY</t>
        </is>
      </c>
      <c r="E346" s="416" t="inlineStr">
        <is>
          <t>ACCOUNTING_DATE</t>
        </is>
      </c>
      <c r="F346" s="417" t="inlineStr">
        <is>
          <t>1:1</t>
        </is>
      </c>
      <c r="G346" s="417" t="inlineStr">
        <is>
          <t>PG_BRONZE</t>
        </is>
      </c>
      <c r="H346" s="377" t="inlineStr">
        <is>
          <t>T24CORE_STMT_ENTRY</t>
        </is>
      </c>
      <c r="I346" s="377" t="inlineStr">
        <is>
          <t>ACCOUNTING_DATE</t>
        </is>
      </c>
      <c r="J346" s="417" t="inlineStr">
        <is>
          <t>PG_SILVER</t>
        </is>
      </c>
      <c r="K346" s="377" t="inlineStr">
        <is>
          <t>ACG_DT</t>
        </is>
      </c>
      <c r="L346" s="417" t="inlineStr">
        <is>
          <t>DATE</t>
        </is>
      </c>
      <c r="M346" s="377" t="inlineStr">
        <is>
          <t>FROM PG_BRONZE.T24CORE_STMT_ENTRY stmt WHERE stmt.RECID NOT LIKE 'F%' AND stmt.COMMIT_ACTION &lt;&gt; 'D' AND stmt.BOOKING_DATE = ${ETL_DATE}</t>
        </is>
      </c>
      <c r="N346" s="377" t="inlineStr">
        <is>
          <t>TO_DATE(CAST(stmt.ACCOUNTING_DATE AS VARCHAR(20)), 'YYYYMMDD')</t>
        </is>
      </c>
      <c r="O346" s="377" t="inlineStr">
        <is>
          <t>Source -&gt; PG_BRONZE (1:1) -&gt; PG_SILVER (Temp 2)</t>
        </is>
      </c>
      <c r="P346" s="357" t="inlineStr">
        <is>
          <t>Map từ PG_BRONZE.T24CORE_STMT_ENTRY.ACCOUNTING_DATE -&gt; PG_SILVER.PST_ENTR.ACG_DT</t>
        </is>
      </c>
    </row>
    <row r="347" ht="14.25" customHeight="1" s="335">
      <c r="A347" s="416">
        <f>C347&amp;D347&amp;E347</f>
        <v/>
      </c>
      <c r="B347" s="416" t="inlineStr">
        <is>
          <t>PST_ENTR</t>
        </is>
      </c>
      <c r="C347" s="416" t="inlineStr">
        <is>
          <t>T24CORE</t>
        </is>
      </c>
      <c r="D347" s="416" t="inlineStr">
        <is>
          <t>STMT_ENTRY</t>
        </is>
      </c>
      <c r="E347" s="416" t="inlineStr">
        <is>
          <t>ACCT_ID</t>
        </is>
      </c>
      <c r="F347" s="417" t="inlineStr">
        <is>
          <t>1:1</t>
        </is>
      </c>
      <c r="G347" s="417" t="inlineStr">
        <is>
          <t>PG_BRONZE</t>
        </is>
      </c>
      <c r="H347" s="377" t="inlineStr">
        <is>
          <t>T24CORE_STMT_ENTRY</t>
        </is>
      </c>
      <c r="I347" s="377" t="inlineStr">
        <is>
          <t>ACCT_ID</t>
        </is>
      </c>
      <c r="J347" s="417" t="inlineStr">
        <is>
          <t>PG_SILVER</t>
        </is>
      </c>
      <c r="K347" s="377" t="inlineStr">
        <is>
          <t>AC_ID</t>
        </is>
      </c>
      <c r="L347" s="417" t="inlineStr">
        <is>
          <t>CHAR(32)</t>
        </is>
      </c>
      <c r="M347" s="377" t="inlineStr">
        <is>
          <t>FROM PG_BRONZE.T24CORE_STMT_ENTRY stmt WHERE stmt.RECID NOT LIKE 'F%' AND stmt.COMMIT_ACTION &lt;&gt; 'D' AND stmt.BOOKING_DATE = ${ETL_DATE}</t>
        </is>
      </c>
      <c r="N347" s="377" t="inlineStr">
        <is>
          <t>CASE WHEN stmt.ACCT_ID IS NOT NULL THEN fn_hash("T24_ACCOUNT", stmt.ACCT_ID) ELSE NULL END</t>
        </is>
      </c>
      <c r="O347" s="377" t="inlineStr">
        <is>
          <t>Source -&gt; PG_BRONZE (1:1) -&gt; PG_SILVER (Temp 2)</t>
        </is>
      </c>
      <c r="P347" s="357" t="inlineStr">
        <is>
          <t>Map từ PG_BRONZE.T24CORE_STMT_ENTRY.ACCT_ID -&gt; PG_SILVER.PST_ENTR.AC_ID</t>
        </is>
      </c>
    </row>
    <row r="348" ht="14.25" customHeight="1" s="335">
      <c r="A348" s="416">
        <f>C348&amp;D348&amp;E348</f>
        <v/>
      </c>
      <c r="B348" s="416" t="inlineStr">
        <is>
          <t>PST_ENTR</t>
        </is>
      </c>
      <c r="C348" s="416" t="inlineStr">
        <is>
          <t>T24CORE</t>
        </is>
      </c>
      <c r="D348" s="416" t="inlineStr">
        <is>
          <t>STMT_ENTRY</t>
        </is>
      </c>
      <c r="E348" s="416" t="inlineStr">
        <is>
          <t>BALANCE_TYPE</t>
        </is>
      </c>
      <c r="F348" s="417" t="inlineStr">
        <is>
          <t>1:1</t>
        </is>
      </c>
      <c r="G348" s="417" t="inlineStr">
        <is>
          <t>PG_BRONZE</t>
        </is>
      </c>
      <c r="H348" s="377" t="inlineStr">
        <is>
          <t>T24CORE_STMT_ENTRY</t>
        </is>
      </c>
      <c r="I348" s="377" t="inlineStr">
        <is>
          <t>BALANCE_TYPE</t>
        </is>
      </c>
      <c r="J348" s="417" t="inlineStr">
        <is>
          <t>PG_SILVER</t>
        </is>
      </c>
      <c r="K348" s="377" t="inlineStr">
        <is>
          <t>BAL_TP</t>
        </is>
      </c>
      <c r="L348" s="417" t="inlineStr">
        <is>
          <t>VARCHAR2(20)</t>
        </is>
      </c>
      <c r="M348" s="377" t="inlineStr">
        <is>
          <t>FROM PG_BRONZE.T24CORE_STMT_ENTRY stmt WHERE stmt.RECID NOT LIKE 'F%' AND stmt.COMMIT_ACTION &lt;&gt; 'D' AND stmt.BOOKING_DATE = ${ETL_DATE}</t>
        </is>
      </c>
      <c r="N348" s="377" t="inlineStr">
        <is>
          <t>TRIM(stmt.BALANCE_TYPE)</t>
        </is>
      </c>
      <c r="O348" s="377" t="inlineStr">
        <is>
          <t>Source -&gt; PG_BRONZE (1:1) -&gt; PG_SILVER (Temp 2)</t>
        </is>
      </c>
      <c r="P348" s="357" t="inlineStr">
        <is>
          <t>Map từ PG_BRONZE.T24CORE_STMT_ENTRY.BALANCE_TYPE -&gt; PG_SILVER.PST_ENTR.BAL_TP</t>
        </is>
      </c>
    </row>
    <row r="349" ht="14.25" customHeight="1" s="335">
      <c r="A349" s="416">
        <f>C349&amp;D349&amp;E349</f>
        <v/>
      </c>
      <c r="B349" s="416" t="inlineStr">
        <is>
          <t>PST_ENTR</t>
        </is>
      </c>
      <c r="C349" s="416" t="inlineStr">
        <is>
          <t>T24CORE</t>
        </is>
      </c>
      <c r="D349" s="416" t="inlineStr">
        <is>
          <t>STMT_ENTRY</t>
        </is>
      </c>
      <c r="E349" s="416" t="inlineStr">
        <is>
          <t>CARD_NUMBER</t>
        </is>
      </c>
      <c r="F349" s="417" t="inlineStr">
        <is>
          <t>1:1</t>
        </is>
      </c>
      <c r="G349" s="417" t="inlineStr">
        <is>
          <t>PG_BRONZE</t>
        </is>
      </c>
      <c r="H349" s="377" t="inlineStr">
        <is>
          <t>T24CORE_STMT_ENTRY</t>
        </is>
      </c>
      <c r="I349" s="377" t="inlineStr">
        <is>
          <t>CARD_NUMBER</t>
        </is>
      </c>
      <c r="J349" s="417" t="inlineStr">
        <is>
          <t>PG_SILVER</t>
        </is>
      </c>
      <c r="K349" s="377" t="inlineStr">
        <is>
          <t>CARD_NBR</t>
        </is>
      </c>
      <c r="L349" s="417" t="inlineStr">
        <is>
          <t>VARCHAR2(40)</t>
        </is>
      </c>
      <c r="M349" s="377" t="inlineStr">
        <is>
          <t>FROM PG_BRONZE.T24CORE_STMT_ENTRY stmt WHERE stmt.RECID NOT LIKE 'F%' AND stmt.COMMIT_ACTION &lt;&gt; 'D' AND stmt.BOOKING_DATE = ${ETL_DATE}</t>
        </is>
      </c>
      <c r="N349" s="377" t="inlineStr">
        <is>
          <t>TRIM(stmt.CARD_NUMBER)</t>
        </is>
      </c>
      <c r="O349" s="377" t="inlineStr">
        <is>
          <t>Source -&gt; PG_BRONZE (1:1) -&gt; PG_SILVER (Temp 2)</t>
        </is>
      </c>
      <c r="P349" s="357" t="inlineStr">
        <is>
          <t>Map từ PG_BRONZE.T24CORE_STMT_ENTRY.CARD_NUMBER -&gt; PG_SILVER.PST_ENTR.CARD_NBR</t>
        </is>
      </c>
    </row>
    <row r="350" ht="14.25" customHeight="1" s="335">
      <c r="A350" s="416">
        <f>C350&amp;D350&amp;E350</f>
        <v/>
      </c>
      <c r="B350" s="416" t="inlineStr">
        <is>
          <t>PST_ENTR</t>
        </is>
      </c>
      <c r="C350" s="416" t="inlineStr">
        <is>
          <t>T24CORE</t>
        </is>
      </c>
      <c r="D350" s="416" t="inlineStr">
        <is>
          <t>STMT_ENTRY</t>
        </is>
      </c>
      <c r="E350" s="416" t="inlineStr">
        <is>
          <t>COMMIT_ACTION</t>
        </is>
      </c>
      <c r="F350" s="417" t="inlineStr">
        <is>
          <t>1:1</t>
        </is>
      </c>
      <c r="G350" s="417" t="inlineStr">
        <is>
          <t>PG_BRONZE</t>
        </is>
      </c>
      <c r="H350" s="377" t="inlineStr">
        <is>
          <t>T24CORE_STMT_ENTRY</t>
        </is>
      </c>
      <c r="I350" s="377" t="inlineStr">
        <is>
          <t>COMMIT_ACTION</t>
        </is>
      </c>
      <c r="J350" s="417" t="inlineStr">
        <is>
          <t>PG_SILVER</t>
        </is>
      </c>
      <c r="K350" s="377" t="inlineStr">
        <is>
          <t>CMMT_ACTN</t>
        </is>
      </c>
      <c r="L350" s="417" t="inlineStr">
        <is>
          <t>VARCHAR2(20)</t>
        </is>
      </c>
      <c r="M350" s="377" t="inlineStr">
        <is>
          <t>FROM PG_BRONZE.T24CORE_STMT_ENTRY stmt WHERE stmt.RECID NOT LIKE 'F%' AND stmt.COMMIT_ACTION &lt;&gt; 'D' AND stmt.BOOKING_DATE = ${ETL_DATE}</t>
        </is>
      </c>
      <c r="N350" s="377" t="inlineStr">
        <is>
          <t>TRIM(stmt.COMMIT_ACTION)</t>
        </is>
      </c>
      <c r="O350" s="377" t="inlineStr">
        <is>
          <t>Source -&gt; PG_BRONZE (1:1) -&gt; PG_SILVER (Temp 2)</t>
        </is>
      </c>
      <c r="P350" s="357" t="inlineStr">
        <is>
          <t>Map từ PG_BRONZE.T24CORE_STMT_ENTRY.COMMIT_ACTION -&gt; PG_SILVER.PST_ENTR.CMMT_ACTN</t>
        </is>
      </c>
    </row>
    <row r="351" ht="14.25" customHeight="1" s="335">
      <c r="A351" s="416">
        <f>C351&amp;D351&amp;E351</f>
        <v/>
      </c>
      <c r="B351" s="416" t="inlineStr">
        <is>
          <t>PST_ENTR</t>
        </is>
      </c>
      <c r="C351" s="416" t="inlineStr">
        <is>
          <t>T24CORE</t>
        </is>
      </c>
      <c r="D351" s="416" t="inlineStr">
        <is>
          <t>STMT_ENTRY</t>
        </is>
      </c>
      <c r="E351" s="416" t="inlineStr">
        <is>
          <t>COMMIT_TS</t>
        </is>
      </c>
      <c r="F351" s="417" t="inlineStr">
        <is>
          <t>1:1</t>
        </is>
      </c>
      <c r="G351" s="417" t="inlineStr">
        <is>
          <t>PG_BRONZE</t>
        </is>
      </c>
      <c r="H351" s="377" t="inlineStr">
        <is>
          <t>T24CORE_STMT_ENTRY</t>
        </is>
      </c>
      <c r="I351" s="377" t="inlineStr">
        <is>
          <t>COMMIT_TS</t>
        </is>
      </c>
      <c r="J351" s="417" t="inlineStr">
        <is>
          <t>PG_SILVER</t>
        </is>
      </c>
      <c r="K351" s="377" t="inlineStr">
        <is>
          <t>CMMT_TMS</t>
        </is>
      </c>
      <c r="L351" s="417" t="inlineStr">
        <is>
          <t>TIMESTAMP</t>
        </is>
      </c>
      <c r="M351" s="377" t="inlineStr">
        <is>
          <t>FROM PG_BRONZE.T24CORE_STMT_ENTRY stmt WHERE stmt.RECID NOT LIKE 'F%' AND stmt.COMMIT_ACTION &lt;&gt; 'D' AND stmt.BOOKING_DATE = ${ETL_DATE}</t>
        </is>
      </c>
      <c r="N351" s="377" t="inlineStr">
        <is>
          <t>stmt.COMMIT_TS</t>
        </is>
      </c>
      <c r="O351" s="377" t="inlineStr">
        <is>
          <t>Source -&gt; PG_BRONZE (1:1) -&gt; PG_SILVER (Temp 2)</t>
        </is>
      </c>
      <c r="P351" s="357" t="inlineStr">
        <is>
          <t>Map từ PG_BRONZE.T24CORE_STMT_ENTRY.COMMIT_TS -&gt; PG_SILVER.PST_ENTR.CMMT_TMS</t>
        </is>
      </c>
    </row>
    <row r="352" ht="14.25" customHeight="1" s="335">
      <c r="A352" s="416">
        <f>C352&amp;D352&amp;E352</f>
        <v/>
      </c>
      <c r="B352" s="416" t="inlineStr">
        <is>
          <t>PST_ENTR</t>
        </is>
      </c>
      <c r="C352" s="416" t="inlineStr">
        <is>
          <t>T24CORE</t>
        </is>
      </c>
      <c r="D352" s="416" t="inlineStr">
        <is>
          <t>STMT_ENTRY</t>
        </is>
      </c>
      <c r="E352" s="416" t="inlineStr">
        <is>
          <t>CRF_PROD_CAT</t>
        </is>
      </c>
      <c r="F352" s="417" t="inlineStr">
        <is>
          <t>1:1</t>
        </is>
      </c>
      <c r="G352" s="417" t="inlineStr">
        <is>
          <t>PG_BRONZE</t>
        </is>
      </c>
      <c r="H352" s="377" t="inlineStr">
        <is>
          <t>T24CORE_STMT_ENTRY</t>
        </is>
      </c>
      <c r="I352" s="377" t="inlineStr">
        <is>
          <t>CRF_PROD_CAT</t>
        </is>
      </c>
      <c r="J352" s="417" t="inlineStr">
        <is>
          <t>PG_SILVER</t>
        </is>
      </c>
      <c r="K352" s="377" t="inlineStr">
        <is>
          <t>CGY_PD_CODE</t>
        </is>
      </c>
      <c r="L352" s="417" t="inlineStr">
        <is>
          <t>VARCHAR2(20)</t>
        </is>
      </c>
      <c r="M352" s="377" t="inlineStr">
        <is>
          <t>FROM PG_BRONZE.T24CORE_STMT_ENTRY stmt WHERE stmt.RECID NOT LIKE 'F%' AND stmt.COMMIT_ACTION &lt;&gt; 'D' AND stmt.BOOKING_DATE = ${ETL_DATE}</t>
        </is>
      </c>
      <c r="N352" s="377" t="inlineStr">
        <is>
          <t>TRIM(stmt.CRF_PROD_CAT)</t>
        </is>
      </c>
      <c r="O352" s="377" t="inlineStr">
        <is>
          <t>Source -&gt; PG_BRONZE (1:1) -&gt; PG_SILVER (Temp 2)</t>
        </is>
      </c>
      <c r="P352" s="357" t="inlineStr">
        <is>
          <t>Map từ PG_BRONZE.T24CORE_STMT_ENTRY.CRF_PROD_CAT -&gt; PG_SILVER.PST_ENTR.CGY_PD_CODE</t>
        </is>
      </c>
    </row>
    <row r="353" ht="14.25" customHeight="1" s="335">
      <c r="A353" s="416">
        <f>C353&amp;D353&amp;E353</f>
        <v/>
      </c>
      <c r="B353" s="416" t="inlineStr">
        <is>
          <t>PST_ENTR</t>
        </is>
      </c>
      <c r="C353" s="416" t="inlineStr">
        <is>
          <t>T24CORE</t>
        </is>
      </c>
      <c r="D353" s="416" t="inlineStr">
        <is>
          <t>STMT_ENTRY</t>
        </is>
      </c>
      <c r="E353" s="416" t="inlineStr">
        <is>
          <t>CURR_NO</t>
        </is>
      </c>
      <c r="F353" s="417" t="inlineStr">
        <is>
          <t>1:1</t>
        </is>
      </c>
      <c r="G353" s="417" t="inlineStr">
        <is>
          <t>PG_BRONZE</t>
        </is>
      </c>
      <c r="H353" s="377" t="inlineStr">
        <is>
          <t>T24CORE_STMT_ENTRY</t>
        </is>
      </c>
      <c r="I353" s="377" t="inlineStr">
        <is>
          <t>CURR_NO</t>
        </is>
      </c>
      <c r="J353" s="417" t="inlineStr">
        <is>
          <t>PG_SILVER</t>
        </is>
      </c>
      <c r="K353" s="377" t="inlineStr">
        <is>
          <t>CRN_NBR</t>
        </is>
      </c>
      <c r="L353" s="417" t="inlineStr">
        <is>
          <t>NUMBER(22)</t>
        </is>
      </c>
      <c r="M353" s="377" t="inlineStr">
        <is>
          <t>FROM PG_BRONZE.T24CORE_STMT_ENTRY stmt WHERE stmt.RECID NOT LIKE 'F%' AND stmt.COMMIT_ACTION &lt;&gt; 'D' AND stmt.BOOKING_DATE = ${ETL_DATE}</t>
        </is>
      </c>
      <c r="N353" s="377" t="inlineStr">
        <is>
          <t>COALESCE(CAST(stmt.CURR_NO AS DECIMAL(22)), 0)</t>
        </is>
      </c>
      <c r="O353" s="377" t="inlineStr">
        <is>
          <t>Source -&gt; PG_BRONZE (1:1) -&gt; PG_SILVER (Temp 2)</t>
        </is>
      </c>
      <c r="P353" s="357" t="inlineStr">
        <is>
          <t>Map từ PG_BRONZE.T24CORE_STMT_ENTRY.CURR_NO -&gt; PG_SILVER.PST_ENTR.CRN_NBR</t>
        </is>
      </c>
    </row>
    <row r="354" ht="14.25" customHeight="1" s="335">
      <c r="A354" s="416">
        <f>C354&amp;D354&amp;E354</f>
        <v/>
      </c>
      <c r="B354" s="416" t="inlineStr">
        <is>
          <t>PST_ENTR</t>
        </is>
      </c>
      <c r="C354" s="416" t="inlineStr">
        <is>
          <t>T24CORE</t>
        </is>
      </c>
      <c r="D354" s="416" t="inlineStr">
        <is>
          <t>STMT_ENTRY</t>
        </is>
      </c>
      <c r="E354" s="416" t="inlineStr">
        <is>
          <t>CYCLE_FORWARD</t>
        </is>
      </c>
      <c r="F354" s="417" t="inlineStr">
        <is>
          <t>1:1</t>
        </is>
      </c>
      <c r="G354" s="417" t="inlineStr">
        <is>
          <t>PG_BRONZE</t>
        </is>
      </c>
      <c r="H354" s="377" t="inlineStr">
        <is>
          <t>T24CORE_STMT_ENTRY</t>
        </is>
      </c>
      <c r="I354" s="377" t="inlineStr">
        <is>
          <t>CYCLE_FORWARD</t>
        </is>
      </c>
      <c r="J354" s="417" t="inlineStr">
        <is>
          <t>PG_SILVER</t>
        </is>
      </c>
      <c r="K354" s="377" t="inlineStr">
        <is>
          <t>CYC_FWD</t>
        </is>
      </c>
      <c r="L354" s="417" t="inlineStr">
        <is>
          <t>DATE</t>
        </is>
      </c>
      <c r="M354" s="377" t="inlineStr">
        <is>
          <t>FROM PG_BRONZE.T24CORE_STMT_ENTRY stmt WHERE stmt.RECID NOT LIKE 'F%' AND stmt.COMMIT_ACTION &lt;&gt; 'D' AND stmt.BOOKING_DATE = ${ETL_DATE}</t>
        </is>
      </c>
      <c r="N354" s="377" t="inlineStr">
        <is>
          <t>TO_DATE(CAST(stmt.CYCLE_FORWARD AS VARCHAR(20)), 'YYYYMMDD')</t>
        </is>
      </c>
      <c r="O354" s="377" t="inlineStr">
        <is>
          <t>Source -&gt; PG_BRONZE (1:1) -&gt; PG_SILVER (Temp 2)</t>
        </is>
      </c>
      <c r="P354" s="357" t="inlineStr">
        <is>
          <t>Map từ PG_BRONZE.T24CORE_STMT_ENTRY.CYCLE_FORWARD -&gt; PG_SILVER.PST_ENTR.CYC_FWD</t>
        </is>
      </c>
    </row>
    <row r="355" ht="14.25" customHeight="1" s="335">
      <c r="A355" s="416">
        <f>C355&amp;D355&amp;E355</f>
        <v/>
      </c>
      <c r="B355" s="416" t="inlineStr">
        <is>
          <t>PST_ENTR</t>
        </is>
      </c>
      <c r="C355" s="416" t="inlineStr">
        <is>
          <t>T24CORE</t>
        </is>
      </c>
      <c r="D355" s="416" t="inlineStr">
        <is>
          <t>STMT_ENTRY</t>
        </is>
      </c>
      <c r="E355" s="416" t="inlineStr">
        <is>
          <t>DATE_TIME</t>
        </is>
      </c>
      <c r="F355" s="417" t="inlineStr">
        <is>
          <t>1:1</t>
        </is>
      </c>
      <c r="G355" s="417" t="inlineStr">
        <is>
          <t>PG_BRONZE</t>
        </is>
      </c>
      <c r="H355" s="377" t="inlineStr">
        <is>
          <t>T24CORE_STMT_ENTRY</t>
        </is>
      </c>
      <c r="I355" s="377" t="inlineStr">
        <is>
          <t>DATE_TIME</t>
        </is>
      </c>
      <c r="J355" s="417" t="inlineStr">
        <is>
          <t>PG_SILVER</t>
        </is>
      </c>
      <c r="K355" s="377" t="inlineStr">
        <is>
          <t>DT_TM</t>
        </is>
      </c>
      <c r="L355" s="417" t="inlineStr">
        <is>
          <t>DATE</t>
        </is>
      </c>
      <c r="M355" s="377" t="inlineStr">
        <is>
          <t>FROM PG_BRONZE.T24CORE_STMT_ENTRY stmt WHERE stmt.RECID NOT LIKE 'F%' AND stmt.COMMIT_ACTION &lt;&gt; 'D' AND stmt.BOOKING_DATE = ${ETL_DATE}</t>
        </is>
      </c>
      <c r="N355" s="377" t="inlineStr">
        <is>
          <t>TO_DATE(CAST(stmt.DATE_TIME AS VARCHAR(20)), 'YYYYMMDD')</t>
        </is>
      </c>
      <c r="O355" s="377" t="inlineStr">
        <is>
          <t>Source -&gt; PG_BRONZE (1:1) -&gt; PG_SILVER (Temp 2)</t>
        </is>
      </c>
      <c r="P355" s="357" t="inlineStr">
        <is>
          <t>Map từ PG_BRONZE.T24CORE_STMT_ENTRY.DATE_TIME -&gt; PG_SILVER.PST_ENTR.DT_TM</t>
        </is>
      </c>
    </row>
    <row r="356" ht="14.25" customHeight="1" s="335">
      <c r="A356" s="416">
        <f>C356&amp;D356&amp;E356</f>
        <v/>
      </c>
      <c r="B356" s="416" t="inlineStr">
        <is>
          <t>PST_ENTR</t>
        </is>
      </c>
      <c r="C356" s="416" t="inlineStr">
        <is>
          <t>T24CORE</t>
        </is>
      </c>
      <c r="D356" s="416" t="inlineStr">
        <is>
          <t>STMT_ENTRY</t>
        </is>
      </c>
      <c r="E356" s="416" t="inlineStr">
        <is>
          <t>DEPARTMENT_CODE</t>
        </is>
      </c>
      <c r="F356" s="417" t="inlineStr">
        <is>
          <t>1:1</t>
        </is>
      </c>
      <c r="G356" s="417" t="inlineStr">
        <is>
          <t>PG_BRONZE</t>
        </is>
      </c>
      <c r="H356" s="377" t="inlineStr">
        <is>
          <t>T24CORE_STMT_ENTRY</t>
        </is>
      </c>
      <c r="I356" s="377" t="inlineStr">
        <is>
          <t>DEPARTMENT_CODE</t>
        </is>
      </c>
      <c r="J356" s="417" t="inlineStr">
        <is>
          <t>PG_SILVER</t>
        </is>
      </c>
      <c r="K356" s="377" t="inlineStr">
        <is>
          <t>DEPT_CODE</t>
        </is>
      </c>
      <c r="L356" s="417" t="inlineStr">
        <is>
          <t>VARCHAR2(20)</t>
        </is>
      </c>
      <c r="M356" s="377" t="inlineStr">
        <is>
          <t>FROM PG_BRONZE.T24CORE_STMT_ENTRY stmt WHERE stmt.RECID NOT LIKE 'F%' AND stmt.COMMIT_ACTION &lt;&gt; 'D' AND stmt.BOOKING_DATE = ${ETL_DATE}</t>
        </is>
      </c>
      <c r="N356" s="377" t="inlineStr">
        <is>
          <t>TRIM(stmt.DEPARTMENT_CODE)</t>
        </is>
      </c>
      <c r="O356" s="377" t="inlineStr">
        <is>
          <t>Source -&gt; PG_BRONZE (1:1) -&gt; PG_SILVER (Temp 2)</t>
        </is>
      </c>
      <c r="P356" s="357" t="inlineStr">
        <is>
          <t>Map từ PG_BRONZE.T24CORE_STMT_ENTRY.DEPARTMENT_CODE -&gt; PG_SILVER.PST_ENTR.DEPT_CODE</t>
        </is>
      </c>
    </row>
    <row r="357" ht="14.25" customHeight="1" s="335">
      <c r="A357" s="416">
        <f>C357&amp;D357&amp;E357</f>
        <v/>
      </c>
      <c r="B357" s="416" t="inlineStr">
        <is>
          <t>PST_ENTR</t>
        </is>
      </c>
      <c r="C357" s="416" t="inlineStr">
        <is>
          <t>T24CORE</t>
        </is>
      </c>
      <c r="D357" s="416" t="inlineStr">
        <is>
          <t>STMT_ENTRY</t>
        </is>
      </c>
      <c r="E357" s="416" t="inlineStr">
        <is>
          <t>DRAWN_ACCOUNT</t>
        </is>
      </c>
      <c r="F357" s="417" t="inlineStr">
        <is>
          <t>1:1</t>
        </is>
      </c>
      <c r="G357" s="417" t="inlineStr">
        <is>
          <t>PG_BRONZE</t>
        </is>
      </c>
      <c r="H357" s="377" t="inlineStr">
        <is>
          <t>T24CORE_STMT_ENTRY</t>
        </is>
      </c>
      <c r="I357" s="377" t="inlineStr">
        <is>
          <t>DRAWN_ACCOUNT</t>
        </is>
      </c>
      <c r="J357" s="417" t="inlineStr">
        <is>
          <t>PG_SILVER</t>
        </is>
      </c>
      <c r="K357" s="377" t="inlineStr">
        <is>
          <t>DRN_AC</t>
        </is>
      </c>
      <c r="L357" s="417" t="inlineStr">
        <is>
          <t>VARCHAR2(20)</t>
        </is>
      </c>
      <c r="M357" s="377" t="inlineStr">
        <is>
          <t>FROM PG_BRONZE.T24CORE_STMT_ENTRY stmt WHERE stmt.RECID NOT LIKE 'F%' AND stmt.COMMIT_ACTION &lt;&gt; 'D' AND stmt.BOOKING_DATE = ${ETL_DATE}</t>
        </is>
      </c>
      <c r="N357" s="377" t="inlineStr">
        <is>
          <t>TRIM(stmt.DRAWN_ACCOUNT)</t>
        </is>
      </c>
      <c r="O357" s="377" t="inlineStr">
        <is>
          <t>Source -&gt; PG_BRONZE (1:1) -&gt; PG_SILVER (Temp 2)</t>
        </is>
      </c>
      <c r="P357" s="357" t="inlineStr">
        <is>
          <t>Map từ PG_BRONZE.T24CORE_STMT_ENTRY.DRAWN_ACCOUNT -&gt; PG_SILVER.PST_ENTR.DRN_AC</t>
        </is>
      </c>
    </row>
    <row r="358" ht="14.25" customHeight="1" s="335">
      <c r="A358" s="416">
        <f>C358&amp;D358&amp;E358</f>
        <v/>
      </c>
      <c r="B358" s="416" t="inlineStr">
        <is>
          <t>PST_ENTR</t>
        </is>
      </c>
      <c r="C358" s="416" t="inlineStr">
        <is>
          <t>T24CORE</t>
        </is>
      </c>
      <c r="D358" s="416" t="inlineStr">
        <is>
          <t>STMT_ENTRY</t>
        </is>
      </c>
      <c r="E358" s="416" t="inlineStr">
        <is>
          <t>INTERNAL_CATEGORY</t>
        </is>
      </c>
      <c r="F358" s="417" t="inlineStr">
        <is>
          <t>1:1</t>
        </is>
      </c>
      <c r="G358" s="417" t="inlineStr">
        <is>
          <t>PG_BRONZE</t>
        </is>
      </c>
      <c r="H358" s="377" t="inlineStr">
        <is>
          <t>T24CORE_STMT_ENTRY</t>
        </is>
      </c>
      <c r="I358" s="377" t="inlineStr">
        <is>
          <t>INTERNAL_CATEGORY</t>
        </is>
      </c>
      <c r="J358" s="417" t="inlineStr">
        <is>
          <t>PG_SILVER</t>
        </is>
      </c>
      <c r="K358" s="377" t="inlineStr">
        <is>
          <t>INR_CGY</t>
        </is>
      </c>
      <c r="L358" s="417" t="inlineStr">
        <is>
          <t>VARCHAR2(20)</t>
        </is>
      </c>
      <c r="M358" s="377" t="inlineStr">
        <is>
          <t>FROM PG_BRONZE.T24CORE_STMT_ENTRY stmt WHERE stmt.RECID NOT LIKE 'F%' AND stmt.COMMIT_ACTION &lt;&gt; 'D' AND stmt.BOOKING_DATE = ${ETL_DATE}</t>
        </is>
      </c>
      <c r="N358" s="377" t="inlineStr">
        <is>
          <t>TRIM(stmt.INTERNAL_CATEGORY)</t>
        </is>
      </c>
      <c r="O358" s="377" t="inlineStr">
        <is>
          <t>Source -&gt; PG_BRONZE (1:1) -&gt; PG_SILVER (Temp 2)</t>
        </is>
      </c>
      <c r="P358" s="357" t="inlineStr">
        <is>
          <t>Map từ PG_BRONZE.T24CORE_STMT_ENTRY.INTERNAL_CATEGORY -&gt; PG_SILVER.PST_ENTR.INR_CGY</t>
        </is>
      </c>
    </row>
    <row r="359" ht="14.25" customHeight="1" s="335">
      <c r="A359" s="416">
        <f>C359&amp;D359&amp;E359</f>
        <v/>
      </c>
      <c r="B359" s="416" t="inlineStr">
        <is>
          <t>PST_ENTR</t>
        </is>
      </c>
      <c r="C359" s="416" t="inlineStr">
        <is>
          <t>T24CORE</t>
        </is>
      </c>
      <c r="D359" s="416" t="inlineStr">
        <is>
          <t>STMT_ENTRY</t>
        </is>
      </c>
      <c r="E359" s="416" t="inlineStr">
        <is>
          <t>LOCAL_REF</t>
        </is>
      </c>
      <c r="F359" s="417" t="inlineStr">
        <is>
          <t>1:1</t>
        </is>
      </c>
      <c r="G359" s="417" t="inlineStr">
        <is>
          <t>PG_BRONZE</t>
        </is>
      </c>
      <c r="H359" s="377" t="inlineStr">
        <is>
          <t>T24CORE_STMT_ENTRY</t>
        </is>
      </c>
      <c r="I359" s="377" t="inlineStr">
        <is>
          <t>LOCAL_REF</t>
        </is>
      </c>
      <c r="J359" s="417" t="inlineStr">
        <is>
          <t>PG_SILVER</t>
        </is>
      </c>
      <c r="K359" s="377" t="inlineStr">
        <is>
          <t>LCL_REFR</t>
        </is>
      </c>
      <c r="L359" s="417" t="inlineStr">
        <is>
          <t>VARCHAR2(20)</t>
        </is>
      </c>
      <c r="M359" s="377" t="inlineStr">
        <is>
          <t>FROM PG_BRONZE.T24CORE_STMT_ENTRY stmt WHERE stmt.RECID NOT LIKE 'F%' AND stmt.COMMIT_ACTION &lt;&gt; 'D' AND stmt.BOOKING_DATE = ${ETL_DATE}</t>
        </is>
      </c>
      <c r="N359" s="377" t="inlineStr">
        <is>
          <t>TRIM(stmt.LOCAL_REF)</t>
        </is>
      </c>
      <c r="O359" s="377" t="inlineStr">
        <is>
          <t>Source -&gt; PG_BRONZE (1:1) -&gt; PG_SILVER (Temp 2)</t>
        </is>
      </c>
      <c r="P359" s="357" t="inlineStr">
        <is>
          <t>Map từ PG_BRONZE.T24CORE_STMT_ENTRY.LOCAL_REF -&gt; PG_SILVER.PST_ENTR.LCL_REFR</t>
        </is>
      </c>
    </row>
    <row r="360" ht="14.25" customHeight="1" s="335">
      <c r="A360" s="416">
        <f>C360&amp;D360&amp;E360</f>
        <v/>
      </c>
      <c r="B360" s="416" t="inlineStr">
        <is>
          <t>PST_ENTR</t>
        </is>
      </c>
      <c r="C360" s="416" t="inlineStr">
        <is>
          <t>T24CORE</t>
        </is>
      </c>
      <c r="D360" s="416" t="inlineStr">
        <is>
          <t>STMT_ENTRY</t>
        </is>
      </c>
      <c r="E360" s="416" t="inlineStr">
        <is>
          <t>ORIG_AMOUNT_LCY</t>
        </is>
      </c>
      <c r="F360" s="417" t="inlineStr">
        <is>
          <t>1:1</t>
        </is>
      </c>
      <c r="G360" s="417" t="inlineStr">
        <is>
          <t>PG_BRONZE</t>
        </is>
      </c>
      <c r="H360" s="377" t="inlineStr">
        <is>
          <t>T24CORE_STMT_ENTRY</t>
        </is>
      </c>
      <c r="I360" s="377" t="inlineStr">
        <is>
          <t>ORIG_AMOUNT_LCY</t>
        </is>
      </c>
      <c r="J360" s="417" t="inlineStr">
        <is>
          <t>PG_SILVER</t>
        </is>
      </c>
      <c r="K360" s="377" t="inlineStr">
        <is>
          <t>ORIG_AMT_LCY</t>
        </is>
      </c>
      <c r="L360" s="417" t="inlineStr">
        <is>
          <t>NUMBER(25,5)</t>
        </is>
      </c>
      <c r="M360" s="377" t="inlineStr">
        <is>
          <t>FROM PG_BRONZE.T24CORE_STMT_ENTRY stmt WHERE stmt.RECID NOT LIKE 'F%' AND stmt.COMMIT_ACTION &lt;&gt; 'D' AND stmt.BOOKING_DATE = ${ETL_DATE}</t>
        </is>
      </c>
      <c r="N360" s="377" t="inlineStr">
        <is>
          <t>COALESCE(CAST(stmt.ORIG_AMOUNT_LCY AS DECIMAL(25,5)), 0)</t>
        </is>
      </c>
      <c r="O360" s="377" t="inlineStr">
        <is>
          <t>Source -&gt; PG_BRONZE (1:1) -&gt; PG_SILVER (Temp 2)</t>
        </is>
      </c>
      <c r="P360" s="357" t="inlineStr">
        <is>
          <t>Map từ PG_BRONZE.T24CORE_STMT_ENTRY.ORIG_AMOUNT_LCY -&gt; PG_SILVER.PST_ENTR.ORIG_AMT_LCY</t>
        </is>
      </c>
    </row>
    <row r="361" ht="14.25" customHeight="1" s="335">
      <c r="A361" s="416">
        <f>C361&amp;D361&amp;E361</f>
        <v/>
      </c>
      <c r="B361" s="416" t="inlineStr">
        <is>
          <t>PST_ENTR</t>
        </is>
      </c>
      <c r="C361" s="416" t="inlineStr">
        <is>
          <t>T24CORE</t>
        </is>
      </c>
      <c r="D361" s="416" t="inlineStr">
        <is>
          <t>STMT_ENTRY</t>
        </is>
      </c>
      <c r="E361" s="416" t="inlineStr">
        <is>
          <t>ORIGINAL_ACCT</t>
        </is>
      </c>
      <c r="F361" s="417" t="inlineStr">
        <is>
          <t>1:1</t>
        </is>
      </c>
      <c r="G361" s="417" t="inlineStr">
        <is>
          <t>PG_BRONZE</t>
        </is>
      </c>
      <c r="H361" s="377" t="inlineStr">
        <is>
          <t>T24CORE_STMT_ENTRY</t>
        </is>
      </c>
      <c r="I361" s="377" t="inlineStr">
        <is>
          <t>ORIGINAL_ACCT</t>
        </is>
      </c>
      <c r="J361" s="417" t="inlineStr">
        <is>
          <t>PG_SILVER</t>
        </is>
      </c>
      <c r="K361" s="377" t="inlineStr">
        <is>
          <t>ORIG_AC</t>
        </is>
      </c>
      <c r="L361" s="417" t="inlineStr">
        <is>
          <t>VARCHAR2(20)</t>
        </is>
      </c>
      <c r="M361" s="377" t="inlineStr">
        <is>
          <t>FROM PG_BRONZE.T24CORE_STMT_ENTRY stmt WHERE stmt.RECID NOT LIKE 'F%' AND stmt.COMMIT_ACTION &lt;&gt; 'D' AND stmt.BOOKING_DATE = ${ETL_DATE}</t>
        </is>
      </c>
      <c r="N361" s="377" t="inlineStr">
        <is>
          <t>TRIM(stmt.ORIGINAL_ACCT)</t>
        </is>
      </c>
      <c r="O361" s="377" t="inlineStr">
        <is>
          <t>Source -&gt; PG_BRONZE (1:1) -&gt; PG_SILVER (Temp 2)</t>
        </is>
      </c>
      <c r="P361" s="357" t="inlineStr">
        <is>
          <t>Map từ PG_BRONZE.T24CORE_STMT_ENTRY.ORIGINAL_ACCT -&gt; PG_SILVER.PST_ENTR.ORIG_AC</t>
        </is>
      </c>
    </row>
    <row r="362" ht="14.25" customHeight="1" s="335">
      <c r="A362" s="416">
        <f>C362&amp;D362&amp;E362</f>
        <v/>
      </c>
      <c r="B362" s="416" t="inlineStr">
        <is>
          <t>PST_ENTR</t>
        </is>
      </c>
      <c r="C362" s="416" t="inlineStr">
        <is>
          <t>T24CORE</t>
        </is>
      </c>
      <c r="D362" s="416" t="inlineStr">
        <is>
          <t>STMT_ENTRY</t>
        </is>
      </c>
      <c r="E362" s="416" t="inlineStr">
        <is>
          <t>ORIGINAL_AMOUNT</t>
        </is>
      </c>
      <c r="F362" s="417" t="inlineStr">
        <is>
          <t>1:1</t>
        </is>
      </c>
      <c r="G362" s="417" t="inlineStr">
        <is>
          <t>PG_BRONZE</t>
        </is>
      </c>
      <c r="H362" s="377" t="inlineStr">
        <is>
          <t>T24CORE_STMT_ENTRY</t>
        </is>
      </c>
      <c r="I362" s="377" t="inlineStr">
        <is>
          <t>ORIGINAL_AMOUNT</t>
        </is>
      </c>
      <c r="J362" s="417" t="inlineStr">
        <is>
          <t>PG_SILVER</t>
        </is>
      </c>
      <c r="K362" s="377" t="inlineStr">
        <is>
          <t>ORIG_AMT</t>
        </is>
      </c>
      <c r="L362" s="417" t="inlineStr">
        <is>
          <t>NUMBER(25,5)</t>
        </is>
      </c>
      <c r="M362" s="377" t="inlineStr">
        <is>
          <t>FROM PG_BRONZE.T24CORE_STMT_ENTRY stmt WHERE stmt.RECID NOT LIKE 'F%' AND stmt.COMMIT_ACTION &lt;&gt; 'D' AND stmt.BOOKING_DATE = ${ETL_DATE}</t>
        </is>
      </c>
      <c r="N362" s="377" t="inlineStr">
        <is>
          <t>COALESCE(CAST(stmt.ORIGINAL_AMOUNT AS DECIMAL(25,5)), 0)</t>
        </is>
      </c>
      <c r="O362" s="377" t="inlineStr">
        <is>
          <t>Source -&gt; PG_BRONZE (1:1) -&gt; PG_SILVER (Temp 2)</t>
        </is>
      </c>
      <c r="P362" s="357" t="inlineStr">
        <is>
          <t>Map từ PG_BRONZE.T24CORE_STMT_ENTRY.ORIGINAL_AMOUNT -&gt; PG_SILVER.PST_ENTR.ORIG_AMT</t>
        </is>
      </c>
    </row>
    <row r="363" ht="14.25" customHeight="1" s="335">
      <c r="A363" s="416">
        <f>C363&amp;D363&amp;E363</f>
        <v/>
      </c>
      <c r="B363" s="416" t="inlineStr">
        <is>
          <t>PST_ENTR</t>
        </is>
      </c>
      <c r="C363" s="416" t="inlineStr">
        <is>
          <t>T24CORE</t>
        </is>
      </c>
      <c r="D363" s="416" t="inlineStr">
        <is>
          <t>STMT_ENTRY</t>
        </is>
      </c>
      <c r="E363" s="416" t="inlineStr">
        <is>
          <t>ORIGINAL_CCY</t>
        </is>
      </c>
      <c r="F363" s="417" t="inlineStr">
        <is>
          <t>1:1</t>
        </is>
      </c>
      <c r="G363" s="417" t="inlineStr">
        <is>
          <t>PG_BRONZE</t>
        </is>
      </c>
      <c r="H363" s="377" t="inlineStr">
        <is>
          <t>T24CORE_STMT_ENTRY</t>
        </is>
      </c>
      <c r="I363" s="377" t="inlineStr">
        <is>
          <t>ORIGINAL_CCY</t>
        </is>
      </c>
      <c r="J363" s="417" t="inlineStr">
        <is>
          <t>PG_SILVER</t>
        </is>
      </c>
      <c r="K363" s="377" t="inlineStr">
        <is>
          <t>ORIG_CCY</t>
        </is>
      </c>
      <c r="L363" s="417" t="inlineStr">
        <is>
          <t>VARCHAR2(20)</t>
        </is>
      </c>
      <c r="M363" s="377" t="inlineStr">
        <is>
          <t>FROM PG_BRONZE.T24CORE_STMT_ENTRY stmt WHERE stmt.RECID NOT LIKE 'F%' AND stmt.COMMIT_ACTION &lt;&gt; 'D' AND stmt.BOOKING_DATE = ${ETL_DATE}</t>
        </is>
      </c>
      <c r="N363" s="377" t="inlineStr">
        <is>
          <t>TRIM(stmt.ORIGINAL_CCY)</t>
        </is>
      </c>
      <c r="O363" s="377" t="inlineStr">
        <is>
          <t>Source -&gt; PG_BRONZE (1:1) -&gt; PG_SILVER (Temp 2)</t>
        </is>
      </c>
      <c r="P363" s="357" t="inlineStr">
        <is>
          <t>Map từ PG_BRONZE.T24CORE_STMT_ENTRY.ORIGINAL_CCY -&gt; PG_SILVER.PST_ENTR.ORIG_CCY</t>
        </is>
      </c>
    </row>
    <row r="364" ht="14.25" customHeight="1" s="335">
      <c r="A364" s="416">
        <f>C364&amp;D364&amp;E364</f>
        <v/>
      </c>
      <c r="B364" s="416" t="inlineStr">
        <is>
          <t>PST_ENTR</t>
        </is>
      </c>
      <c r="C364" s="416" t="inlineStr">
        <is>
          <t>T24CORE</t>
        </is>
      </c>
      <c r="D364" s="416" t="inlineStr">
        <is>
          <t>STMT_ENTRY</t>
        </is>
      </c>
      <c r="E364" s="416" t="inlineStr">
        <is>
          <t>ORIGINAL_EXCH_RATE</t>
        </is>
      </c>
      <c r="F364" s="417" t="inlineStr">
        <is>
          <t>1:1</t>
        </is>
      </c>
      <c r="G364" s="417" t="inlineStr">
        <is>
          <t>PG_BRONZE</t>
        </is>
      </c>
      <c r="H364" s="377" t="inlineStr">
        <is>
          <t>T24CORE_STMT_ENTRY</t>
        </is>
      </c>
      <c r="I364" s="377" t="inlineStr">
        <is>
          <t>ORIGINAL_EXCH_RATE</t>
        </is>
      </c>
      <c r="J364" s="417" t="inlineStr">
        <is>
          <t>PG_SILVER</t>
        </is>
      </c>
      <c r="K364" s="377" t="inlineStr">
        <is>
          <t>ORIG_EXG_RATE</t>
        </is>
      </c>
      <c r="L364" s="417" t="inlineStr">
        <is>
          <t>NUMBER(25,7)</t>
        </is>
      </c>
      <c r="M364" s="377" t="inlineStr">
        <is>
          <t>FROM PG_BRONZE.T24CORE_STMT_ENTRY stmt WHERE stmt.RECID NOT LIKE 'F%' AND stmt.COMMIT_ACTION &lt;&gt; 'D' AND stmt.BOOKING_DATE = ${ETL_DATE}</t>
        </is>
      </c>
      <c r="N364" s="377" t="inlineStr">
        <is>
          <t>COALESCE(CAST(stmt.ORIGINAL_EXCH_RATE AS DECIMAL(25,7)), 0)</t>
        </is>
      </c>
      <c r="O364" s="377" t="inlineStr">
        <is>
          <t>Source -&gt; PG_BRONZE (1:1) -&gt; PG_SILVER (Temp 2)</t>
        </is>
      </c>
      <c r="P364" s="357" t="inlineStr">
        <is>
          <t>Map từ PG_BRONZE.T24CORE_STMT_ENTRY.ORIGINAL_EXCH_RATE -&gt; PG_SILVER.PST_ENTR.ORIG_EXG_RATE</t>
        </is>
      </c>
    </row>
    <row r="365" ht="14.25" customHeight="1" s="335">
      <c r="A365" s="416">
        <f>C365&amp;D365&amp;E365</f>
        <v/>
      </c>
      <c r="B365" s="416" t="inlineStr">
        <is>
          <t>PST_ENTR</t>
        </is>
      </c>
      <c r="C365" s="416" t="inlineStr">
        <is>
          <t>T24CORE</t>
        </is>
      </c>
      <c r="D365" s="416" t="inlineStr">
        <is>
          <t>STMT_ENTRY</t>
        </is>
      </c>
      <c r="E365" s="416" t="inlineStr">
        <is>
          <t>OUTSTANDING_BAL</t>
        </is>
      </c>
      <c r="F365" s="417" t="inlineStr">
        <is>
          <t>1:1</t>
        </is>
      </c>
      <c r="G365" s="417" t="inlineStr">
        <is>
          <t>PG_BRONZE</t>
        </is>
      </c>
      <c r="H365" s="377" t="inlineStr">
        <is>
          <t>T24CORE_STMT_ENTRY</t>
        </is>
      </c>
      <c r="I365" s="377" t="inlineStr">
        <is>
          <t>OUTSTANDING_BAL</t>
        </is>
      </c>
      <c r="J365" s="417" t="inlineStr">
        <is>
          <t>PG_SILVER</t>
        </is>
      </c>
      <c r="K365" s="377" t="inlineStr">
        <is>
          <t>OTSND_BAL</t>
        </is>
      </c>
      <c r="L365" s="417" t="inlineStr">
        <is>
          <t>NUMBER(25,5)</t>
        </is>
      </c>
      <c r="M365" s="377" t="inlineStr">
        <is>
          <t>FROM PG_BRONZE.T24CORE_STMT_ENTRY stmt WHERE stmt.RECID NOT LIKE 'F%' AND stmt.COMMIT_ACTION &lt;&gt; 'D' AND stmt.BOOKING_DATE = ${ETL_DATE}</t>
        </is>
      </c>
      <c r="N365" s="377" t="inlineStr">
        <is>
          <t>COALESCE(CAST(stmt.OUTSTANDING_BAL AS DECIMAL(25,5)), 0)</t>
        </is>
      </c>
      <c r="O365" s="377" t="inlineStr">
        <is>
          <t>Source -&gt; PG_BRONZE (1:1) -&gt; PG_SILVER (Temp 2)</t>
        </is>
      </c>
      <c r="P365" s="357" t="inlineStr">
        <is>
          <t>Map từ PG_BRONZE.T24CORE_STMT_ENTRY.OUTSTANDING_BAL -&gt; PG_SILVER.PST_ENTR.OTSND_BAL</t>
        </is>
      </c>
    </row>
    <row r="366" ht="14.25" customHeight="1" s="335">
      <c r="A366" s="416">
        <f>C366&amp;D366&amp;E366</f>
        <v/>
      </c>
      <c r="B366" s="416" t="inlineStr">
        <is>
          <t>PST_ENTR</t>
        </is>
      </c>
      <c r="C366" s="416" t="inlineStr">
        <is>
          <t>T24CORE</t>
        </is>
      </c>
      <c r="D366" s="416" t="inlineStr">
        <is>
          <t>STMT_ENTRY</t>
        </is>
      </c>
      <c r="E366" s="416" t="inlineStr">
        <is>
          <t>OVERRIDE</t>
        </is>
      </c>
      <c r="F366" s="417" t="inlineStr">
        <is>
          <t>1:1</t>
        </is>
      </c>
      <c r="G366" s="417" t="inlineStr">
        <is>
          <t>PG_BRONZE</t>
        </is>
      </c>
      <c r="H366" s="377" t="inlineStr">
        <is>
          <t>T24CORE_STMT_ENTRY</t>
        </is>
      </c>
      <c r="I366" s="377" t="inlineStr">
        <is>
          <t>OVERRIDE</t>
        </is>
      </c>
      <c r="J366" s="417" t="inlineStr">
        <is>
          <t>PG_SILVER</t>
        </is>
      </c>
      <c r="K366" s="377" t="inlineStr">
        <is>
          <t>OVRD</t>
        </is>
      </c>
      <c r="L366" s="417" t="inlineStr">
        <is>
          <t>VARCHAR2(20)</t>
        </is>
      </c>
      <c r="M366" s="377" t="inlineStr">
        <is>
          <t>FROM PG_BRONZE.T24CORE_STMT_ENTRY stmt WHERE stmt.RECID NOT LIKE 'F%' AND stmt.COMMIT_ACTION &lt;&gt; 'D' AND stmt.BOOKING_DATE = ${ETL_DATE}</t>
        </is>
      </c>
      <c r="N366" s="377" t="inlineStr">
        <is>
          <t>TRIM(stmt.OVERRIDE)</t>
        </is>
      </c>
      <c r="O366" s="377" t="inlineStr">
        <is>
          <t>Source -&gt; PG_BRONZE (1:1) -&gt; PG_SILVER (Temp 2)</t>
        </is>
      </c>
      <c r="P366" s="357" t="inlineStr">
        <is>
          <t>Map từ PG_BRONZE.T24CORE_STMT_ENTRY.OVERRIDE -&gt; PG_SILVER.PST_ENTR.OVRD</t>
        </is>
      </c>
    </row>
    <row r="367" ht="14.25" customHeight="1" s="335">
      <c r="A367" s="416">
        <f>C367&amp;D367&amp;E367</f>
        <v/>
      </c>
      <c r="B367" s="416" t="inlineStr">
        <is>
          <t>PST_ENTR</t>
        </is>
      </c>
      <c r="C367" s="416" t="inlineStr">
        <is>
          <t>T24CORE</t>
        </is>
      </c>
      <c r="D367" s="416" t="inlineStr">
        <is>
          <t>STMT_ENTRY</t>
        </is>
      </c>
      <c r="E367" s="416" t="inlineStr">
        <is>
          <t>PROCESS_FORWARD</t>
        </is>
      </c>
      <c r="F367" s="417" t="inlineStr">
        <is>
          <t>1:1</t>
        </is>
      </c>
      <c r="G367" s="417" t="inlineStr">
        <is>
          <t>PG_BRONZE</t>
        </is>
      </c>
      <c r="H367" s="377" t="inlineStr">
        <is>
          <t>T24CORE_STMT_ENTRY</t>
        </is>
      </c>
      <c r="I367" s="377" t="inlineStr">
        <is>
          <t>PROCESS_FORWARD</t>
        </is>
      </c>
      <c r="J367" s="417" t="inlineStr">
        <is>
          <t>PG_SILVER</t>
        </is>
      </c>
      <c r="K367" s="377" t="inlineStr">
        <is>
          <t>PCS_FWD</t>
        </is>
      </c>
      <c r="L367" s="417" t="inlineStr">
        <is>
          <t>VARCHAR2(20)</t>
        </is>
      </c>
      <c r="M367" s="377" t="inlineStr">
        <is>
          <t>FROM PG_BRONZE.T24CORE_STMT_ENTRY stmt WHERE stmt.RECID NOT LIKE 'F%' AND stmt.COMMIT_ACTION &lt;&gt; 'D' AND stmt.BOOKING_DATE = ${ETL_DATE}</t>
        </is>
      </c>
      <c r="N367" s="377" t="inlineStr">
        <is>
          <t>TRIM(stmt.PROCESS_FORWARD)</t>
        </is>
      </c>
      <c r="O367" s="377" t="inlineStr">
        <is>
          <t>Source -&gt; PG_BRONZE (1:1) -&gt; PG_SILVER (Temp 2)</t>
        </is>
      </c>
      <c r="P367" s="357" t="inlineStr">
        <is>
          <t>Map từ PG_BRONZE.T24CORE_STMT_ENTRY.PROCESS_FORWARD -&gt; PG_SILVER.PST_ENTR.PCS_FWD</t>
        </is>
      </c>
    </row>
    <row r="368" ht="14.25" customHeight="1" s="335">
      <c r="A368" s="416">
        <f>C368&amp;D368&amp;E368</f>
        <v/>
      </c>
      <c r="B368" s="416" t="inlineStr">
        <is>
          <t>PST_ENTR</t>
        </is>
      </c>
      <c r="C368" s="416" t="inlineStr">
        <is>
          <t>T24CORE</t>
        </is>
      </c>
      <c r="D368" s="416" t="inlineStr">
        <is>
          <t>STMT_ENTRY</t>
        </is>
      </c>
      <c r="E368" s="416" t="inlineStr">
        <is>
          <t>RECORD_STATUS</t>
        </is>
      </c>
      <c r="F368" s="417" t="inlineStr">
        <is>
          <t>1:1</t>
        </is>
      </c>
      <c r="G368" s="417" t="inlineStr">
        <is>
          <t>PG_BRONZE</t>
        </is>
      </c>
      <c r="H368" s="377" t="inlineStr">
        <is>
          <t>T24CORE_STMT_ENTRY</t>
        </is>
      </c>
      <c r="I368" s="377" t="inlineStr">
        <is>
          <t>RECORD_STATUS</t>
        </is>
      </c>
      <c r="J368" s="417" t="inlineStr">
        <is>
          <t>PG_SILVER</t>
        </is>
      </c>
      <c r="K368" s="377" t="inlineStr">
        <is>
          <t>RCRD_ST</t>
        </is>
      </c>
      <c r="L368" s="417" t="inlineStr">
        <is>
          <t>VARCHAR2(20)</t>
        </is>
      </c>
      <c r="M368" s="377" t="inlineStr">
        <is>
          <t>FROM PG_BRONZE.T24CORE_STMT_ENTRY stmt WHERE stmt.RECID NOT LIKE 'F%' AND stmt.COMMIT_ACTION &lt;&gt; 'D' AND stmt.BOOKING_DATE = ${ETL_DATE}</t>
        </is>
      </c>
      <c r="N368" s="377" t="inlineStr">
        <is>
          <t>TRIM(stmt.RECORD_STATUS)</t>
        </is>
      </c>
      <c r="O368" s="377" t="inlineStr">
        <is>
          <t>Source -&gt; PG_BRONZE (1:1) -&gt; PG_SILVER (Temp 2)</t>
        </is>
      </c>
      <c r="P368" s="357" t="inlineStr">
        <is>
          <t>Map từ PG_BRONZE.T24CORE_STMT_ENTRY.RECORD_STATUS -&gt; PG_SILVER.PST_ENTR.RCRD_ST</t>
        </is>
      </c>
    </row>
    <row r="369" ht="14.25" customHeight="1" s="335">
      <c r="A369" s="416">
        <f>C369&amp;D369&amp;E369</f>
        <v/>
      </c>
      <c r="B369" s="416" t="inlineStr">
        <is>
          <t>PST_ENTR</t>
        </is>
      </c>
      <c r="C369" s="416" t="inlineStr">
        <is>
          <t>T24CORE</t>
        </is>
      </c>
      <c r="D369" s="416" t="inlineStr">
        <is>
          <t>STMT_ENTRY</t>
        </is>
      </c>
      <c r="E369" s="416" t="inlineStr">
        <is>
          <t>REPAYMENT_AMT</t>
        </is>
      </c>
      <c r="F369" s="417" t="inlineStr">
        <is>
          <t>1:1</t>
        </is>
      </c>
      <c r="G369" s="417" t="inlineStr">
        <is>
          <t>PG_BRONZE</t>
        </is>
      </c>
      <c r="H369" s="377" t="inlineStr">
        <is>
          <t>T24CORE_STMT_ENTRY</t>
        </is>
      </c>
      <c r="I369" s="377" t="inlineStr">
        <is>
          <t>REPAYMENT_AMT</t>
        </is>
      </c>
      <c r="J369" s="417" t="inlineStr">
        <is>
          <t>PG_SILVER</t>
        </is>
      </c>
      <c r="K369" s="377" t="inlineStr">
        <is>
          <t>REPYMT_AMT</t>
        </is>
      </c>
      <c r="L369" s="417" t="inlineStr">
        <is>
          <t>NUMBER(25,5)</t>
        </is>
      </c>
      <c r="M369" s="377" t="inlineStr">
        <is>
          <t>FROM PG_BRONZE.T24CORE_STMT_ENTRY stmt WHERE stmt.RECID NOT LIKE 'F%' AND stmt.COMMIT_ACTION &lt;&gt; 'D' AND stmt.BOOKING_DATE = ${ETL_DATE}</t>
        </is>
      </c>
      <c r="N369" s="377" t="inlineStr">
        <is>
          <t>COALESCE(CAST(stmt.REPAYMENT_AMT AS DECIMAL(25,5)), 0)</t>
        </is>
      </c>
      <c r="O369" s="377" t="inlineStr">
        <is>
          <t>Source -&gt; PG_BRONZE (1:1) -&gt; PG_SILVER (Temp 2)</t>
        </is>
      </c>
      <c r="P369" s="357" t="inlineStr">
        <is>
          <t>Map từ PG_BRONZE.T24CORE_STMT_ENTRY.REPAYMENT_AMT -&gt; PG_SILVER.PST_ENTR.REPYMT_AMT</t>
        </is>
      </c>
    </row>
    <row r="370" ht="14.25" customHeight="1" s="335">
      <c r="A370" s="416">
        <f>C370&amp;D370&amp;E370</f>
        <v/>
      </c>
      <c r="B370" s="416" t="inlineStr">
        <is>
          <t>PST_ENTR</t>
        </is>
      </c>
      <c r="C370" s="416" t="inlineStr">
        <is>
          <t>T24CORE</t>
        </is>
      </c>
      <c r="D370" s="416" t="inlineStr">
        <is>
          <t>STMT_ENTRY</t>
        </is>
      </c>
      <c r="E370" s="416" t="inlineStr">
        <is>
          <t>REPAYMENT_DATE</t>
        </is>
      </c>
      <c r="F370" s="417" t="inlineStr">
        <is>
          <t>1:1</t>
        </is>
      </c>
      <c r="G370" s="417" t="inlineStr">
        <is>
          <t>PG_BRONZE</t>
        </is>
      </c>
      <c r="H370" s="377" t="inlineStr">
        <is>
          <t>T24CORE_STMT_ENTRY</t>
        </is>
      </c>
      <c r="I370" s="377" t="inlineStr">
        <is>
          <t>REPAYMENT_DATE</t>
        </is>
      </c>
      <c r="J370" s="417" t="inlineStr">
        <is>
          <t>PG_SILVER</t>
        </is>
      </c>
      <c r="K370" s="377" t="inlineStr">
        <is>
          <t>REPYMT_DT</t>
        </is>
      </c>
      <c r="L370" s="417" t="inlineStr">
        <is>
          <t>DATE</t>
        </is>
      </c>
      <c r="M370" s="377" t="inlineStr">
        <is>
          <t>FROM PG_BRONZE.T24CORE_STMT_ENTRY stmt WHERE stmt.RECID NOT LIKE 'F%' AND stmt.COMMIT_ACTION &lt;&gt; 'D' AND stmt.BOOKING_DATE = ${ETL_DATE}</t>
        </is>
      </c>
      <c r="N370" s="377" t="inlineStr">
        <is>
          <t>TO_DATE(CAST(stmt.REPAYMENT_DATE AS VARCHAR(20)), 'YYYYMMDD')</t>
        </is>
      </c>
      <c r="O370" s="377" t="inlineStr">
        <is>
          <t>Source -&gt; PG_BRONZE (1:1) -&gt; PG_SILVER (Temp 2)</t>
        </is>
      </c>
      <c r="P370" s="357" t="inlineStr">
        <is>
          <t>Map từ PG_BRONZE.T24CORE_STMT_ENTRY.REPAYMENT_DATE -&gt; PG_SILVER.PST_ENTR.REPYMT_DT</t>
        </is>
      </c>
    </row>
    <row r="371" ht="14.25" customHeight="1" s="335">
      <c r="A371" s="416">
        <f>C371&amp;D371&amp;E371</f>
        <v/>
      </c>
      <c r="B371" s="416" t="inlineStr">
        <is>
          <t>PST_ENTR</t>
        </is>
      </c>
      <c r="C371" s="416" t="inlineStr">
        <is>
          <t>T24CORE</t>
        </is>
      </c>
      <c r="D371" s="416" t="inlineStr">
        <is>
          <t>STMT_ENTRY</t>
        </is>
      </c>
      <c r="E371" s="416" t="inlineStr">
        <is>
          <t>REPAYMENT_TYPE</t>
        </is>
      </c>
      <c r="F371" s="417" t="inlineStr">
        <is>
          <t>1:1</t>
        </is>
      </c>
      <c r="G371" s="417" t="inlineStr">
        <is>
          <t>PG_BRONZE</t>
        </is>
      </c>
      <c r="H371" s="377" t="inlineStr">
        <is>
          <t>T24CORE_STMT_ENTRY</t>
        </is>
      </c>
      <c r="I371" s="377" t="inlineStr">
        <is>
          <t>REPAYMENT_TYPE</t>
        </is>
      </c>
      <c r="J371" s="417" t="inlineStr">
        <is>
          <t>PG_SILVER</t>
        </is>
      </c>
      <c r="K371" s="377" t="inlineStr">
        <is>
          <t>REPYMT_TP</t>
        </is>
      </c>
      <c r="L371" s="417" t="inlineStr">
        <is>
          <t>VARCHAR2(20)</t>
        </is>
      </c>
      <c r="M371" s="377" t="inlineStr">
        <is>
          <t>FROM PG_BRONZE.T24CORE_STMT_ENTRY stmt WHERE stmt.RECID NOT LIKE 'F%' AND stmt.COMMIT_ACTION &lt;&gt; 'D' AND stmt.BOOKING_DATE = ${ETL_DATE}</t>
        </is>
      </c>
      <c r="N371" s="377" t="inlineStr">
        <is>
          <t>TRIM(stmt.REPAYMENT_TYPE)</t>
        </is>
      </c>
      <c r="O371" s="377" t="inlineStr">
        <is>
          <t>Source -&gt; PG_BRONZE (1:1) -&gt; PG_SILVER (Temp 2)</t>
        </is>
      </c>
      <c r="P371" s="357" t="inlineStr">
        <is>
          <t>Map từ PG_BRONZE.T24CORE_STMT_ENTRY.REPAYMENT_TYPE -&gt; PG_SILVER.PST_ENTR.REPYMT_TP</t>
        </is>
      </c>
    </row>
    <row r="372" ht="14.25" customHeight="1" s="335">
      <c r="A372" s="416">
        <f>C372&amp;D372&amp;E372</f>
        <v/>
      </c>
      <c r="B372" s="416" t="inlineStr">
        <is>
          <t>PST_ENTR</t>
        </is>
      </c>
      <c r="C372" s="416" t="inlineStr">
        <is>
          <t>T24CORE</t>
        </is>
      </c>
      <c r="D372" s="416" t="inlineStr">
        <is>
          <t>STMT_ENTRY</t>
        </is>
      </c>
      <c r="E372" s="416" t="inlineStr">
        <is>
          <t>SUSPENSE_CATEGORY</t>
        </is>
      </c>
      <c r="F372" s="417" t="inlineStr">
        <is>
          <t>1:1</t>
        </is>
      </c>
      <c r="G372" s="417" t="inlineStr">
        <is>
          <t>PG_BRONZE</t>
        </is>
      </c>
      <c r="H372" s="377" t="inlineStr">
        <is>
          <t>T24CORE_STMT_ENTRY</t>
        </is>
      </c>
      <c r="I372" s="377" t="inlineStr">
        <is>
          <t>SUSPENSE_CATEGORY</t>
        </is>
      </c>
      <c r="J372" s="417" t="inlineStr">
        <is>
          <t>PG_SILVER</t>
        </is>
      </c>
      <c r="K372" s="377" t="inlineStr">
        <is>
          <t>SUSP_CGY</t>
        </is>
      </c>
      <c r="L372" s="417" t="inlineStr">
        <is>
          <t>VARCHAR2(20)</t>
        </is>
      </c>
      <c r="M372" s="377" t="inlineStr">
        <is>
          <t>FROM PG_BRONZE.T24CORE_STMT_ENTRY stmt WHERE stmt.RECID NOT LIKE 'F%' AND stmt.COMMIT_ACTION &lt;&gt; 'D' AND stmt.BOOKING_DATE = ${ETL_DATE}</t>
        </is>
      </c>
      <c r="N372" s="377" t="inlineStr">
        <is>
          <t>TRIM(stmt.SUSPENSE_CATEGORY)</t>
        </is>
      </c>
      <c r="O372" s="377" t="inlineStr">
        <is>
          <t>Source -&gt; PG_BRONZE (1:1) -&gt; PG_SILVER (Temp 2)</t>
        </is>
      </c>
      <c r="P372" s="357" t="inlineStr">
        <is>
          <t>Map từ PG_BRONZE.T24CORE_STMT_ENTRY.SUSPENSE_CATEGORY -&gt; PG_SILVER.PST_ENTR.SUSP_CGY</t>
        </is>
      </c>
    </row>
    <row r="373" ht="14.25" customHeight="1" s="335">
      <c r="A373" s="416">
        <f>C373&amp;D373&amp;E373</f>
        <v/>
      </c>
      <c r="B373" s="416" t="inlineStr">
        <is>
          <t>PST_ENTR</t>
        </is>
      </c>
      <c r="C373" s="416" t="inlineStr">
        <is>
          <t>T24CORE</t>
        </is>
      </c>
      <c r="D373" s="416" t="inlineStr">
        <is>
          <t>STMT_ENTRY</t>
        </is>
      </c>
      <c r="E373" s="416" t="inlineStr">
        <is>
          <t>SUSPNSE_VALUE_DATE</t>
        </is>
      </c>
      <c r="F373" s="417" t="inlineStr">
        <is>
          <t>1:1</t>
        </is>
      </c>
      <c r="G373" s="417" t="inlineStr">
        <is>
          <t>PG_BRONZE</t>
        </is>
      </c>
      <c r="H373" s="377" t="inlineStr">
        <is>
          <t>T24CORE_STMT_ENTRY</t>
        </is>
      </c>
      <c r="I373" s="377" t="inlineStr">
        <is>
          <t>SUSPNSE_VALUE_DATE</t>
        </is>
      </c>
      <c r="J373" s="417" t="inlineStr">
        <is>
          <t>PG_SILVER</t>
        </is>
      </c>
      <c r="K373" s="377" t="inlineStr">
        <is>
          <t>SUSP_VAL_DT</t>
        </is>
      </c>
      <c r="L373" s="417" t="inlineStr">
        <is>
          <t>DATE</t>
        </is>
      </c>
      <c r="M373" s="377" t="inlineStr">
        <is>
          <t>FROM PG_BRONZE.T24CORE_STMT_ENTRY stmt WHERE stmt.RECID NOT LIKE 'F%' AND stmt.COMMIT_ACTION &lt;&gt; 'D' AND stmt.BOOKING_DATE = ${ETL_DATE}</t>
        </is>
      </c>
      <c r="N373" s="377" t="inlineStr">
        <is>
          <t>TO_DATE(CAST(stmt.SUSPNSE_VALUE_DATE AS VARCHAR(20)), 'YYYYMMDD')</t>
        </is>
      </c>
      <c r="O373" s="377" t="inlineStr">
        <is>
          <t>Source -&gt; PG_BRONZE (1:1) -&gt; PG_SILVER (Temp 2)</t>
        </is>
      </c>
      <c r="P373" s="357" t="inlineStr">
        <is>
          <t>Map từ PG_BRONZE.T24CORE_STMT_ENTRY.SUSPNSE_VALUE_DATE -&gt; PG_SILVER.PST_ENTR.SUSP_VAL_DT</t>
        </is>
      </c>
    </row>
    <row r="374" ht="14.25" customHeight="1" s="335">
      <c r="A374" s="416">
        <f>C374&amp;D374&amp;E374</f>
        <v/>
      </c>
      <c r="B374" s="416" t="inlineStr">
        <is>
          <t>CCY</t>
        </is>
      </c>
      <c r="C374" s="416" t="inlineStr">
        <is>
          <t>T24CORE</t>
        </is>
      </c>
      <c r="D374" s="416" t="inlineStr">
        <is>
          <t>CURRENCY</t>
        </is>
      </c>
      <c r="E374" s="416" t="inlineStr">
        <is>
          <t>ID</t>
        </is>
      </c>
      <c r="F374" s="417" t="inlineStr">
        <is>
          <t>1:1</t>
        </is>
      </c>
      <c r="G374" s="417" t="inlineStr">
        <is>
          <t>PG_BRONZE</t>
        </is>
      </c>
      <c r="H374" s="377" t="inlineStr">
        <is>
          <t>T24CORE_CURRENCY</t>
        </is>
      </c>
      <c r="I374" s="377" t="inlineStr">
        <is>
          <t>ID</t>
        </is>
      </c>
      <c r="J374" s="417" t="inlineStr">
        <is>
          <t>PG_SILVER</t>
        </is>
      </c>
      <c r="K374" s="377" t="inlineStr">
        <is>
          <t>CCY_CODE</t>
        </is>
      </c>
      <c r="L374" s="417" t="inlineStr">
        <is>
          <t>VARCHAR2(20)</t>
        </is>
      </c>
      <c r="M374" s="377" t="inlineStr">
        <is>
          <t>FROM PG_BRONZE.T24CORE_CURRENCY cur WHERE cur.ETL_DATE = ${ETL_DATE}</t>
        </is>
      </c>
      <c r="N374" s="377" t="inlineStr">
        <is>
          <t>TRIM(cur.ID)</t>
        </is>
      </c>
      <c r="O374" s="377" t="inlineStr">
        <is>
          <t>Source -&gt; PG_BRONZE (1:1) -&gt; PG_SILVER (Temp 1)</t>
        </is>
      </c>
      <c r="P374" s="357" t="inlineStr">
        <is>
          <t>Map từ PG_BRONZE.T24CORE_CURRENCY.ID -&gt; PG_SILVER.CCY.CCY_CODE</t>
        </is>
      </c>
    </row>
    <row r="375" ht="14.25" customHeight="1" s="335">
      <c r="A375" s="416">
        <f>C375&amp;D375&amp;E375</f>
        <v/>
      </c>
      <c r="B375" s="416" t="inlineStr">
        <is>
          <t>CCY</t>
        </is>
      </c>
      <c r="C375" s="416" t="inlineStr">
        <is>
          <t>T24CORE</t>
        </is>
      </c>
      <c r="D375" s="416" t="inlineStr">
        <is>
          <t>CURRENCY</t>
        </is>
      </c>
      <c r="E375" s="416" t="inlineStr">
        <is>
          <t>CCY_NAME</t>
        </is>
      </c>
      <c r="F375" s="417" t="inlineStr">
        <is>
          <t>1:1</t>
        </is>
      </c>
      <c r="G375" s="417" t="inlineStr">
        <is>
          <t>PG_BRONZE</t>
        </is>
      </c>
      <c r="H375" s="377" t="inlineStr">
        <is>
          <t>T24CORE_CURRENCY</t>
        </is>
      </c>
      <c r="I375" s="377" t="inlineStr">
        <is>
          <t>CCY_NAME</t>
        </is>
      </c>
      <c r="J375" s="417" t="inlineStr">
        <is>
          <t>PG_SILVER</t>
        </is>
      </c>
      <c r="K375" s="377" t="inlineStr">
        <is>
          <t>CCY_NM</t>
        </is>
      </c>
      <c r="L375" s="417" t="inlineStr">
        <is>
          <t>VARCHAR2(300)</t>
        </is>
      </c>
      <c r="M375" s="377" t="inlineStr">
        <is>
          <t>FROM PG_BRONZE.T24CORE_CURRENCY cur WHERE cur.ETL_DATE = ${ETL_DATE}</t>
        </is>
      </c>
      <c r="N375" s="377" t="inlineStr">
        <is>
          <t>TRIM(cur.CCY_NAME)</t>
        </is>
      </c>
      <c r="O375" s="377" t="inlineStr">
        <is>
          <t>Source -&gt; PG_BRONZE (1:1) -&gt; PG_SILVER (Temp 1)</t>
        </is>
      </c>
      <c r="P375" s="357" t="inlineStr">
        <is>
          <t>Map từ PG_BRONZE.T24CORE_CURRENCY.CCY_NAME -&gt; PG_SILVER.CCY.CCY_NM</t>
        </is>
      </c>
    </row>
    <row r="376" ht="14.25" customHeight="1" s="335">
      <c r="A376" s="416">
        <f>C376&amp;D376&amp;E376</f>
        <v/>
      </c>
      <c r="B376" s="416" t="inlineStr">
        <is>
          <t>CCY</t>
        </is>
      </c>
      <c r="C376" s="416" t="inlineStr">
        <is>
          <t>T24CORE</t>
        </is>
      </c>
      <c r="D376" s="416" t="inlineStr">
        <is>
          <t>CURRENCY</t>
        </is>
      </c>
      <c r="E376" s="416" t="inlineStr">
        <is>
          <t>NUMERIC_CCY_CODE</t>
        </is>
      </c>
      <c r="F376" s="417" t="inlineStr">
        <is>
          <t>1:1</t>
        </is>
      </c>
      <c r="G376" s="417" t="inlineStr">
        <is>
          <t>PG_BRONZE</t>
        </is>
      </c>
      <c r="H376" s="377" t="inlineStr">
        <is>
          <t>T24CORE_CURRENCY</t>
        </is>
      </c>
      <c r="I376" s="377" t="inlineStr">
        <is>
          <t>NUMERIC_CCY_CODE</t>
        </is>
      </c>
      <c r="J376" s="417" t="inlineStr">
        <is>
          <t>PG_SILVER</t>
        </is>
      </c>
      <c r="K376" s="377" t="inlineStr">
        <is>
          <t>NUMERIC_CCY_CODE</t>
        </is>
      </c>
      <c r="L376" s="417" t="inlineStr">
        <is>
          <t>VARCHAR2(20)</t>
        </is>
      </c>
      <c r="M376" s="377" t="inlineStr">
        <is>
          <t>FROM PG_BRONZE.T24CORE_CURRENCY cur WHERE cur.ETL_DATE = ${ETL_DATE}</t>
        </is>
      </c>
      <c r="N376" s="377" t="inlineStr">
        <is>
          <t>TRIM(cur.NUMERIC_CCY_CODE)</t>
        </is>
      </c>
      <c r="O376" s="377" t="inlineStr">
        <is>
          <t>Source -&gt; PG_BRONZE (1:1) -&gt; PG_SILVER (Temp 1)</t>
        </is>
      </c>
      <c r="P376" s="357" t="inlineStr">
        <is>
          <t>Map từ PG_BRONZE.T24CORE_CURRENCY.NUMERIC_CCY_CODE -&gt; PG_SILVER.CCY.NUMERIC_CCY_CODE</t>
        </is>
      </c>
    </row>
    <row r="377" ht="14.25" customHeight="1" s="335">
      <c r="A377" s="416">
        <f>C377&amp;D377&amp;E377</f>
        <v/>
      </c>
      <c r="B377" s="416" t="inlineStr">
        <is>
          <t>EXG_RATE</t>
        </is>
      </c>
      <c r="C377" s="416" t="inlineStr">
        <is>
          <t>T24CORE</t>
        </is>
      </c>
      <c r="D377" s="416" t="inlineStr">
        <is>
          <t>CURRENCY</t>
        </is>
      </c>
      <c r="E377" s="416" t="inlineStr">
        <is>
          <t>MID_REVAL_RATE</t>
        </is>
      </c>
      <c r="F377" s="417" t="inlineStr">
        <is>
          <t>1:1</t>
        </is>
      </c>
      <c r="G377" s="417" t="inlineStr">
        <is>
          <t>PG_BRONZE</t>
        </is>
      </c>
      <c r="H377" s="377" t="inlineStr">
        <is>
          <t>T24CORE_CURRENCY</t>
        </is>
      </c>
      <c r="I377" s="377" t="inlineStr">
        <is>
          <t>MID_REVAL_RATE</t>
        </is>
      </c>
      <c r="J377" s="417" t="inlineStr">
        <is>
          <t>PG_SILVER</t>
        </is>
      </c>
      <c r="K377" s="377" t="inlineStr">
        <is>
          <t>MID_RATE</t>
        </is>
      </c>
      <c r="L377" s="417" t="inlineStr">
        <is>
          <t>NUMBER(25,7)</t>
        </is>
      </c>
      <c r="M377" s="377" t="inlineStr">
        <is>
          <t>FROM PG_BRONZE.T24CORE_CURRENCY cur WHERE TO_TIMESTAMP(TO_CHAR(DATE_TIME), 'YYMMDDHH24MI') &lt; ${ETL_DATE} + 1</t>
        </is>
      </c>
      <c r="N377" s="377" t="inlineStr">
        <is>
          <t>COALESCE(CAST(REGEXP_SUBSTR(cur.MID_REVAL_RATE, '[^#]+') AS DECIMAL(13,7)), 1)</t>
        </is>
      </c>
      <c r="O377" s="377" t="inlineStr">
        <is>
          <t>Source -&gt; PG_BRONZE (1:1) -&gt; PG_SILVER (Temp 1)</t>
        </is>
      </c>
      <c r="P377" s="357" t="inlineStr">
        <is>
          <t>Map từ PG_BRONZE.T24CORE_CURRENCY.MID_REVAL_RATE -&gt; PG_SILVER.EXG_RATE.MID_RATE</t>
        </is>
      </c>
    </row>
    <row r="378" ht="14.25" customHeight="1" s="335">
      <c r="A378" s="416">
        <f>C378&amp;D378&amp;E378</f>
        <v/>
      </c>
      <c r="B378" s="416" t="inlineStr">
        <is>
          <t>CCY</t>
        </is>
      </c>
      <c r="C378" s="416" t="inlineStr">
        <is>
          <t>T24CORE</t>
        </is>
      </c>
      <c r="D378" s="416" t="inlineStr">
        <is>
          <t>CURRENCY</t>
        </is>
      </c>
      <c r="E378" s="416" t="inlineStr">
        <is>
          <t>DATE_TIME</t>
        </is>
      </c>
      <c r="F378" s="417" t="inlineStr">
        <is>
          <t>1:1</t>
        </is>
      </c>
      <c r="G378" s="417" t="inlineStr">
        <is>
          <t>PG_BRONZE</t>
        </is>
      </c>
      <c r="H378" s="377" t="inlineStr">
        <is>
          <t>T24CORE_CURRENCY</t>
        </is>
      </c>
      <c r="I378" s="377" t="inlineStr">
        <is>
          <t>DATE_TIME</t>
        </is>
      </c>
      <c r="J378" s="417" t="inlineStr">
        <is>
          <t>PG_SILVER</t>
        </is>
      </c>
      <c r="K378" s="377" t="inlineStr">
        <is>
          <t>SYS_UDT_DT</t>
        </is>
      </c>
      <c r="L378" s="417" t="inlineStr">
        <is>
          <t>DATE</t>
        </is>
      </c>
      <c r="M378" s="377" t="inlineStr">
        <is>
          <t>FROM PG_BRONZE.T24CORE_CURRENCY cur WHERE cur.ETL_DATE = ${ETL_DATE}</t>
        </is>
      </c>
      <c r="N378" s="377" t="inlineStr">
        <is>
          <t>${ETL_DATE}</t>
        </is>
      </c>
      <c r="O378" s="377" t="inlineStr">
        <is>
          <t>Source -&gt; PG_BRONZE (1:1) -&gt; PG_SILVER (Temp 1)</t>
        </is>
      </c>
      <c r="P378" s="357" t="inlineStr">
        <is>
          <t>Map từ PG_BRONZE.T24CORE_CURRENCY.DATE_TIME -&gt; PG_SILVER.CCY.SYS_UDT_DT</t>
        </is>
      </c>
    </row>
    <row r="379" ht="14.25" customHeight="1" s="335">
      <c r="A379" s="416">
        <f>C379&amp;D379&amp;E379</f>
        <v/>
      </c>
      <c r="B379" s="416" t="inlineStr">
        <is>
          <t>EXG_RATE</t>
        </is>
      </c>
      <c r="C379" s="416" t="inlineStr">
        <is>
          <t>T24CORE</t>
        </is>
      </c>
      <c r="D379" s="416" t="inlineStr">
        <is>
          <t>CURRENCY</t>
        </is>
      </c>
      <c r="E379" s="416" t="inlineStr">
        <is>
          <t>CURR_NO</t>
        </is>
      </c>
      <c r="F379" s="417" t="inlineStr">
        <is>
          <t>1:1</t>
        </is>
      </c>
      <c r="G379" s="417" t="inlineStr">
        <is>
          <t>PG_BRONZE</t>
        </is>
      </c>
      <c r="H379" s="377" t="inlineStr">
        <is>
          <t>T24CORE_CURRENCY</t>
        </is>
      </c>
      <c r="I379" s="377" t="inlineStr">
        <is>
          <t>CURR_NO</t>
        </is>
      </c>
      <c r="J379" s="417" t="inlineStr">
        <is>
          <t>PG_SILVER</t>
        </is>
      </c>
      <c r="K379" s="377" t="inlineStr">
        <is>
          <t>MID_RATE</t>
        </is>
      </c>
      <c r="L379" s="417" t="inlineStr">
        <is>
          <t>NUMBER(25,7)</t>
        </is>
      </c>
      <c r="M379" s="377" t="inlineStr">
        <is>
          <t>FROM PG_BRONZE.T24CORE_CURRENCY cur WHERE TO_TIMESTAMP(TO_CHAR(DATE_TIME), 'YYMMDDHH24MI') &lt; ${ETL_DATE} + 1</t>
        </is>
      </c>
      <c r="N379" s="377" t="inlineStr">
        <is>
          <t>RANK() OVER (PARTITION BY FRST_CCY_CODE ORDER BY curr_no DESC)</t>
        </is>
      </c>
      <c r="O379" s="377" t="inlineStr">
        <is>
          <t>Source -&gt; PG_BRONZE (1:1) -&gt; PG_SILVER (Temp 1)</t>
        </is>
      </c>
      <c r="P379" s="357" t="inlineStr">
        <is>
          <t>Map từ PG_BRONZE.T24CORE_CURRENCY.CURR_NO -&gt; PG_SILVER.EXG_RATE.MID_RATE</t>
        </is>
      </c>
    </row>
    <row r="380" ht="14.25" customHeight="1" s="335">
      <c r="A380" s="416">
        <f>C380&amp;D380&amp;E380</f>
        <v/>
      </c>
      <c r="B380" s="416" t="inlineStr">
        <is>
          <t>EXG_RATE</t>
        </is>
      </c>
      <c r="C380" s="416" t="inlineStr">
        <is>
          <t>T24CORE</t>
        </is>
      </c>
      <c r="D380" s="416" t="inlineStr">
        <is>
          <t>CURRENCY_HIS</t>
        </is>
      </c>
      <c r="E380" s="416" t="inlineStr">
        <is>
          <t>ID</t>
        </is>
      </c>
      <c r="F380" s="417" t="inlineStr">
        <is>
          <t>1:1</t>
        </is>
      </c>
      <c r="G380" s="417" t="inlineStr">
        <is>
          <t>PG_BRONZE</t>
        </is>
      </c>
      <c r="H380" s="377" t="inlineStr">
        <is>
          <t>T24CORE_CURRENCY_HIS</t>
        </is>
      </c>
      <c r="I380" s="377" t="inlineStr">
        <is>
          <t>ID</t>
        </is>
      </c>
      <c r="J380" s="417" t="inlineStr">
        <is>
          <t>PG_SILVER</t>
        </is>
      </c>
      <c r="K380" s="377" t="inlineStr">
        <is>
          <t>FRST_CCY_CODE</t>
        </is>
      </c>
      <c r="L380" s="417" t="inlineStr">
        <is>
          <t>VARCHAR2(20)</t>
        </is>
      </c>
      <c r="M380" s="377" t="inlineStr">
        <is>
          <t>FROM PG_BRONZE.T24CORE_CURRENCY_HIS ch WHERE TO_TIMESTAMP(TO_CHAR(DATE_TIME), 'YYMMDDHH24MI') &lt; ${ETL_DATE} + 1</t>
        </is>
      </c>
      <c r="N380" s="377" t="inlineStr">
        <is>
          <t>REGEXP_SUBSTR(ch.ID, '[^;]+')</t>
        </is>
      </c>
      <c r="O380" s="377" t="inlineStr">
        <is>
          <t>Source -&gt; PG_BRONZE (1:1) -&gt; PG_SILVER (Temp 1)</t>
        </is>
      </c>
      <c r="P380" s="357" t="inlineStr">
        <is>
          <t>Map từ PG_BRONZE.T24CORE_CURRENCY_HIS.ID -&gt; PG_SILVER.EXG_RATE.FRST_CCY_CODE</t>
        </is>
      </c>
    </row>
    <row r="381" ht="14.25" customHeight="1" s="335">
      <c r="A381" s="416">
        <f>C381&amp;D381&amp;E381</f>
        <v/>
      </c>
      <c r="B381" s="416" t="inlineStr">
        <is>
          <t>EXG_RATE</t>
        </is>
      </c>
      <c r="C381" s="416" t="inlineStr">
        <is>
          <t>T24CORE</t>
        </is>
      </c>
      <c r="D381" s="416" t="inlineStr">
        <is>
          <t>CURRENCY_HIS</t>
        </is>
      </c>
      <c r="E381" s="416" t="inlineStr">
        <is>
          <t>MID_REVAL_RATE</t>
        </is>
      </c>
      <c r="F381" s="417" t="inlineStr">
        <is>
          <t>1:1</t>
        </is>
      </c>
      <c r="G381" s="417" t="inlineStr">
        <is>
          <t>PG_BRONZE</t>
        </is>
      </c>
      <c r="H381" s="377" t="inlineStr">
        <is>
          <t>T24CORE_CURRENCY_HIS</t>
        </is>
      </c>
      <c r="I381" s="377" t="inlineStr">
        <is>
          <t>MID_REVAL_RATE</t>
        </is>
      </c>
      <c r="J381" s="417" t="inlineStr">
        <is>
          <t>PG_SILVER</t>
        </is>
      </c>
      <c r="K381" s="377" t="inlineStr">
        <is>
          <t>MID_RATE</t>
        </is>
      </c>
      <c r="L381" s="417" t="inlineStr">
        <is>
          <t>NUMBER(25,7)</t>
        </is>
      </c>
      <c r="M381" s="377" t="inlineStr">
        <is>
          <t>FROM PG_BRONZE.T24CORE_CURRENCY_HIS ch WHERE TO_TIMESTAMP(TO_CHAR(DATE_TIME), 'YYMMDDHH24MI') &lt; ${ETL_DATE} + 1</t>
        </is>
      </c>
      <c r="N381" s="377" t="inlineStr">
        <is>
          <t>COALESCE(CAST(ch.MID_REVAL_RATE AS DECIMAL(13,7)), 1)</t>
        </is>
      </c>
      <c r="O381" s="377" t="inlineStr">
        <is>
          <t>Source -&gt; PG_BRONZE (1:1) -&gt; PG_SILVER (Temp 1)</t>
        </is>
      </c>
      <c r="P381" s="357" t="inlineStr">
        <is>
          <t>Map từ PG_BRONZE.T24CORE_CURRENCY_HIS.MID_REVAL_RATE -&gt; PG_SILVER.EXG_RATE.MID_RATE</t>
        </is>
      </c>
    </row>
    <row r="382" ht="14.25" customHeight="1" s="335">
      <c r="A382" s="416">
        <f>C382&amp;D382&amp;E382</f>
        <v/>
      </c>
      <c r="B382" s="416" t="inlineStr">
        <is>
          <t>EXG_RATE</t>
        </is>
      </c>
      <c r="C382" s="416" t="inlineStr">
        <is>
          <t>T24CORE</t>
        </is>
      </c>
      <c r="D382" s="416" t="inlineStr">
        <is>
          <t>CURRENCY_HIS</t>
        </is>
      </c>
      <c r="E382" s="416" t="inlineStr">
        <is>
          <t>DATE_TIME</t>
        </is>
      </c>
      <c r="F382" s="417" t="inlineStr">
        <is>
          <t>1:1</t>
        </is>
      </c>
      <c r="G382" s="417" t="inlineStr">
        <is>
          <t>PG_BRONZE</t>
        </is>
      </c>
      <c r="H382" s="377" t="inlineStr">
        <is>
          <t>T24CORE_CURRENCY_HIS</t>
        </is>
      </c>
      <c r="I382" s="377" t="inlineStr">
        <is>
          <t>DATE_TIME</t>
        </is>
      </c>
      <c r="J382" s="417" t="inlineStr">
        <is>
          <t>PG_SILVER</t>
        </is>
      </c>
      <c r="K382" s="377" t="inlineStr">
        <is>
          <t>SNPST_DT</t>
        </is>
      </c>
      <c r="L382" s="417" t="inlineStr">
        <is>
          <t>DATE</t>
        </is>
      </c>
      <c r="M382" s="377" t="inlineStr">
        <is>
          <t>FROM PG_BRONZE.T24CORE_CURRENCY_HIS ch WHERE TO_TIMESTAMP(TO_CHAR(DATE_TIME), 'YYMMDDHH24MI') &lt; ${ETL_DATE} + 1</t>
        </is>
      </c>
      <c r="N382" s="377" t="inlineStr">
        <is>
          <t>${ETL_DATE}</t>
        </is>
      </c>
      <c r="O382" s="377" t="inlineStr">
        <is>
          <t>Source -&gt; PG_BRONZE (1:1) -&gt; PG_SILVER (Temp 1)</t>
        </is>
      </c>
      <c r="P382" s="357" t="inlineStr">
        <is>
          <t>Map từ PG_BRONZE.T24CORE_CURRENCY_HIS.DATE_TIME -&gt; PG_SILVER.EXG_RATE.SNPST_DT</t>
        </is>
      </c>
    </row>
    <row r="383" ht="14.25" customHeight="1" s="335">
      <c r="A383" s="416">
        <f>C383&amp;D383&amp;E383</f>
        <v/>
      </c>
      <c r="B383" s="416" t="inlineStr">
        <is>
          <t>EXG_RATE</t>
        </is>
      </c>
      <c r="C383" s="416" t="inlineStr">
        <is>
          <t>T24CORE</t>
        </is>
      </c>
      <c r="D383" s="416" t="inlineStr">
        <is>
          <t>CURRENCY_HIS</t>
        </is>
      </c>
      <c r="E383" s="416" t="inlineStr">
        <is>
          <t>CURR_NO</t>
        </is>
      </c>
      <c r="F383" s="417" t="inlineStr">
        <is>
          <t>1:1</t>
        </is>
      </c>
      <c r="G383" s="417" t="inlineStr">
        <is>
          <t>PG_BRONZE</t>
        </is>
      </c>
      <c r="H383" s="377" t="inlineStr">
        <is>
          <t>T24CORE_CURRENCY_HIS</t>
        </is>
      </c>
      <c r="I383" s="377" t="inlineStr">
        <is>
          <t>CURR_NO</t>
        </is>
      </c>
      <c r="J383" s="417" t="inlineStr">
        <is>
          <t>PG_SILVER</t>
        </is>
      </c>
      <c r="K383" s="377" t="inlineStr">
        <is>
          <t>MID_RATE</t>
        </is>
      </c>
      <c r="L383" s="417" t="inlineStr">
        <is>
          <t>NUMBER(25,7)</t>
        </is>
      </c>
      <c r="M383" s="377" t="inlineStr">
        <is>
          <t>FROM PG_BRONZE.T24CORE_CURRENCY_HIS ch WHERE TO_TIMESTAMP(TO_CHAR(DATE_TIME), 'YYMMDDHH24MI') &lt; ${ETL_DATE} + 1</t>
        </is>
      </c>
      <c r="N383" s="377" t="inlineStr">
        <is>
          <t>RANK() OVER (PARTITION BY FRST_CCY_CODE ORDER BY curr_no DESC)</t>
        </is>
      </c>
      <c r="O383" s="377" t="inlineStr">
        <is>
          <t>Source -&gt; PG_BRONZE (1:1) -&gt; PG_SILVER (Temp 1)</t>
        </is>
      </c>
      <c r="P383" s="357" t="inlineStr">
        <is>
          <t>Map từ PG_BRONZE.T24CORE_CURRENCY_HIS.CURR_NO -&gt; PG_SILVER.EXG_RATE.MID_RATE</t>
        </is>
      </c>
    </row>
    <row r="384" ht="14.25" customHeight="1" s="335">
      <c r="A384" s="416">
        <f>C384&amp;D384&amp;E384</f>
        <v/>
      </c>
      <c r="B384" s="416" t="inlineStr">
        <is>
          <t>LMT</t>
        </is>
      </c>
      <c r="C384" s="416" t="inlineStr">
        <is>
          <t>T24CORE</t>
        </is>
      </c>
      <c r="D384" s="416" t="inlineStr">
        <is>
          <t>LIMIT</t>
        </is>
      </c>
      <c r="E384" s="416" t="inlineStr">
        <is>
          <t>RECID</t>
        </is>
      </c>
      <c r="F384" s="417" t="inlineStr">
        <is>
          <t>1:1</t>
        </is>
      </c>
      <c r="G384" s="417" t="inlineStr">
        <is>
          <t>PG_BRONZE</t>
        </is>
      </c>
      <c r="H384" s="377" t="inlineStr">
        <is>
          <t>T24CORE_LIMIT</t>
        </is>
      </c>
      <c r="I384" s="377" t="inlineStr">
        <is>
          <t>RECID</t>
        </is>
      </c>
      <c r="J384" s="417" t="inlineStr">
        <is>
          <t>PG_SILVER</t>
        </is>
      </c>
      <c r="K384" s="377" t="inlineStr">
        <is>
          <t>LMT_CODE</t>
        </is>
      </c>
      <c r="L384" s="417" t="inlineStr">
        <is>
          <t>VARCHAR2(32)</t>
        </is>
      </c>
      <c r="M384" s="377" t="inlineStr">
        <is>
          <t>FROM PG_BRONZE.T24CORE_LIMIT l WHERE l.ETL_DATE = ${ETL_DATE}</t>
        </is>
      </c>
      <c r="N384" s="377" t="inlineStr">
        <is>
          <t>TRIM(l.RECID)</t>
        </is>
      </c>
      <c r="O384" s="377" t="inlineStr">
        <is>
          <t>Source -&gt; PG_BRONZE (1:1) -&gt; PG_SILVER (Temp 1)</t>
        </is>
      </c>
      <c r="P384" s="357" t="inlineStr">
        <is>
          <t>Map từ PG_BRONZE.T24CORE_LIMIT.RECID -&gt; PG_SILVER.LMT.LMT_CODE</t>
        </is>
      </c>
    </row>
    <row r="385" ht="14.25" customHeight="1" s="335">
      <c r="A385" s="416">
        <f>C385&amp;D385&amp;E385</f>
        <v/>
      </c>
      <c r="B385" s="416" t="inlineStr">
        <is>
          <t>LMT</t>
        </is>
      </c>
      <c r="C385" s="416" t="inlineStr">
        <is>
          <t>T24CORE</t>
        </is>
      </c>
      <c r="D385" s="416" t="inlineStr">
        <is>
          <t>LIMIT</t>
        </is>
      </c>
      <c r="E385" s="416" t="inlineStr">
        <is>
          <t>LIMIT_PRODUCT</t>
        </is>
      </c>
      <c r="F385" s="417" t="inlineStr">
        <is>
          <t>1:1</t>
        </is>
      </c>
      <c r="G385" s="417" t="inlineStr">
        <is>
          <t>PG_BRONZE</t>
        </is>
      </c>
      <c r="H385" s="377" t="inlineStr">
        <is>
          <t>T24CORE_LIMIT</t>
        </is>
      </c>
      <c r="I385" s="377" t="inlineStr">
        <is>
          <t>LIMIT_PRODUCT</t>
        </is>
      </c>
      <c r="J385" s="417" t="inlineStr">
        <is>
          <t>PG_SILVER</t>
        </is>
      </c>
      <c r="K385" s="377" t="inlineStr">
        <is>
          <t>LMT_DSC</t>
        </is>
      </c>
      <c r="L385" s="417" t="inlineStr">
        <is>
          <t>VARCHAR2(300)</t>
        </is>
      </c>
      <c r="M385" s="377" t="inlineStr">
        <is>
          <t>FROM PG_BRONZE.T24CORE_LIMIT l WHERE l.ETL_DATE = ${ETL_DATE}</t>
        </is>
      </c>
      <c r="N385" s="377" t="inlineStr">
        <is>
          <t>TRIM(l.LIMIT_PRODUCT)</t>
        </is>
      </c>
      <c r="O385" s="377" t="inlineStr">
        <is>
          <t>Source -&gt; PG_BRONZE (1:1) -&gt; PG_SILVER (Temp 1)</t>
        </is>
      </c>
      <c r="P385" s="357" t="inlineStr">
        <is>
          <t>Map từ PG_BRONZE.T24CORE_LIMIT.LIMIT_PRODUCT -&gt; PG_SILVER.LMT.LMT_DSC</t>
        </is>
      </c>
    </row>
    <row r="386" ht="14.25" customHeight="1" s="335">
      <c r="A386" s="416">
        <f>C386&amp;D386&amp;E386</f>
        <v/>
      </c>
      <c r="B386" s="416" t="inlineStr">
        <is>
          <t>LMT</t>
        </is>
      </c>
      <c r="C386" s="416" t="inlineStr">
        <is>
          <t>T24CORE</t>
        </is>
      </c>
      <c r="D386" s="416" t="inlineStr">
        <is>
          <t>LIMIT</t>
        </is>
      </c>
      <c r="E386" s="416" t="inlineStr">
        <is>
          <t>INTERNAL_AMOUNT</t>
        </is>
      </c>
      <c r="F386" s="417" t="inlineStr">
        <is>
          <t>1:1</t>
        </is>
      </c>
      <c r="G386" s="417" t="inlineStr">
        <is>
          <t>PG_BRONZE</t>
        </is>
      </c>
      <c r="H386" s="377" t="inlineStr">
        <is>
          <t>T24CORE_LIMIT</t>
        </is>
      </c>
      <c r="I386" s="377" t="inlineStr">
        <is>
          <t>INTERNAL_AMOUNT</t>
        </is>
      </c>
      <c r="J386" s="417" t="inlineStr">
        <is>
          <t>PG_SILVER</t>
        </is>
      </c>
      <c r="K386" s="377" t="inlineStr">
        <is>
          <t>INR_LMT_AMT</t>
        </is>
      </c>
      <c r="L386" s="417" t="inlineStr">
        <is>
          <t>NUMBER(25,5)</t>
        </is>
      </c>
      <c r="M386" s="377" t="inlineStr">
        <is>
          <t>FROM PG_BRONZE.T24CORE_LIMIT l WHERE l.ETL_DATE = ${ETL_DATE}</t>
        </is>
      </c>
      <c r="N386" s="377" t="inlineStr">
        <is>
          <t>COALESCE(CAST(l.INTERNAL_AMOUNT AS DECIMAL(25,5)), 0)</t>
        </is>
      </c>
      <c r="O386" s="377" t="inlineStr">
        <is>
          <t>Source -&gt; PG_BRONZE (1:1) -&gt; PG_SILVER (Temp 1)</t>
        </is>
      </c>
      <c r="P386" s="357" t="inlineStr">
        <is>
          <t>Map từ PG_BRONZE.T24CORE_LIMIT.INTERNAL_AMOUNT -&gt; PG_SILVER.LMT.INR_LMT_AMT</t>
        </is>
      </c>
    </row>
    <row r="387" ht="14.25" customHeight="1" s="335">
      <c r="A387" s="416">
        <f>C387&amp;D387&amp;E387</f>
        <v/>
      </c>
      <c r="B387" s="416" t="inlineStr">
        <is>
          <t>LMT</t>
        </is>
      </c>
      <c r="C387" s="416" t="inlineStr">
        <is>
          <t>T24CORE</t>
        </is>
      </c>
      <c r="D387" s="416" t="inlineStr">
        <is>
          <t>LIMIT</t>
        </is>
      </c>
      <c r="E387" s="416" t="inlineStr">
        <is>
          <t>MAXIMUM_TOTAL</t>
        </is>
      </c>
      <c r="F387" s="417" t="inlineStr">
        <is>
          <t>1:1</t>
        </is>
      </c>
      <c r="G387" s="417" t="inlineStr">
        <is>
          <t>PG_BRONZE</t>
        </is>
      </c>
      <c r="H387" s="377" t="inlineStr">
        <is>
          <t>T24CORE_LIMIT</t>
        </is>
      </c>
      <c r="I387" s="377" t="inlineStr">
        <is>
          <t>MAXIMUM_TOTAL</t>
        </is>
      </c>
      <c r="J387" s="417" t="inlineStr">
        <is>
          <t>PG_SILVER</t>
        </is>
      </c>
      <c r="K387" s="377" t="inlineStr">
        <is>
          <t>MAX_TOT_LMT</t>
        </is>
      </c>
      <c r="L387" s="417" t="inlineStr">
        <is>
          <t>NUMBER(25,5)</t>
        </is>
      </c>
      <c r="M387" s="377" t="inlineStr">
        <is>
          <t>FROM PG_BRONZE.T24CORE_LIMIT l WHERE l.ETL_DATE = ${ETL_DATE}</t>
        </is>
      </c>
      <c r="N387" s="377" t="inlineStr">
        <is>
          <t>COALESCE(CAST(l.MAXIMUM_TOTAL AS DECIMAL(25,5)), 0)</t>
        </is>
      </c>
      <c r="O387" s="377" t="inlineStr">
        <is>
          <t>Source -&gt; PG_BRONZE (1:1) -&gt; PG_SILVER (Temp 1)</t>
        </is>
      </c>
      <c r="P387" s="357" t="inlineStr">
        <is>
          <t>Map từ PG_BRONZE.T24CORE_LIMIT.MAXIMUM_TOTAL -&gt; PG_SILVER.LMT.MAX_TOT_LMT</t>
        </is>
      </c>
    </row>
    <row r="388" ht="14.25" customHeight="1" s="335">
      <c r="A388" s="416">
        <f>C388&amp;D388&amp;E388</f>
        <v/>
      </c>
      <c r="B388" s="416" t="inlineStr">
        <is>
          <t>LMT</t>
        </is>
      </c>
      <c r="C388" s="416" t="inlineStr">
        <is>
          <t>T24CORE</t>
        </is>
      </c>
      <c r="D388" s="416" t="inlineStr">
        <is>
          <t>LIMIT</t>
        </is>
      </c>
      <c r="E388" s="416" t="inlineStr">
        <is>
          <t>ONLINE_LIMIT_DATE</t>
        </is>
      </c>
      <c r="F388" s="417" t="inlineStr">
        <is>
          <t>1:1</t>
        </is>
      </c>
      <c r="G388" s="417" t="inlineStr">
        <is>
          <t>PG_BRONZE</t>
        </is>
      </c>
      <c r="H388" s="377" t="inlineStr">
        <is>
          <t>T24CORE_LIMIT</t>
        </is>
      </c>
      <c r="I388" s="377" t="inlineStr">
        <is>
          <t>ONLINE_LIMIT_DATE</t>
        </is>
      </c>
      <c r="J388" s="417" t="inlineStr">
        <is>
          <t>PG_SILVER</t>
        </is>
      </c>
      <c r="K388" s="377" t="inlineStr">
        <is>
          <t>ONL_LMT_DT</t>
        </is>
      </c>
      <c r="L388" s="417" t="inlineStr">
        <is>
          <t>DATE</t>
        </is>
      </c>
      <c r="M388" s="377" t="inlineStr">
        <is>
          <t>FROM PG_BRONZE.T24CORE_LIMIT l WHERE l.ETL_DATE = ${ETL_DATE}</t>
        </is>
      </c>
      <c r="N388" s="377" t="inlineStr">
        <is>
          <t>TO_DATE(CAST(l.ONLINE_LIMIT_DATE AS VARCHAR(20)), 'YYYYMMDD')</t>
        </is>
      </c>
      <c r="O388" s="377" t="inlineStr">
        <is>
          <t>Source -&gt; PG_BRONZE (1:1) -&gt; PG_SILVER (Temp 1)</t>
        </is>
      </c>
      <c r="P388" s="357" t="inlineStr">
        <is>
          <t>Map từ PG_BRONZE.T24CORE_LIMIT.ONLINE_LIMIT_DATE -&gt; PG_SILVER.LMT.ONL_LMT_DT</t>
        </is>
      </c>
    </row>
    <row r="389" ht="14.25" customHeight="1" s="335">
      <c r="A389" s="416">
        <f>C389&amp;D389&amp;E389</f>
        <v/>
      </c>
      <c r="B389" s="416" t="inlineStr">
        <is>
          <t>LMT</t>
        </is>
      </c>
      <c r="C389" s="416" t="inlineStr">
        <is>
          <t>T24CORE</t>
        </is>
      </c>
      <c r="D389" s="416" t="inlineStr">
        <is>
          <t>LIMIT</t>
        </is>
      </c>
      <c r="E389" s="416" t="inlineStr">
        <is>
          <t>EXPIRY_DATE</t>
        </is>
      </c>
      <c r="F389" s="417" t="inlineStr">
        <is>
          <t>1:1</t>
        </is>
      </c>
      <c r="G389" s="417" t="inlineStr">
        <is>
          <t>PG_BRONZE</t>
        </is>
      </c>
      <c r="H389" s="377" t="inlineStr">
        <is>
          <t>T24CORE_LIMIT</t>
        </is>
      </c>
      <c r="I389" s="377" t="inlineStr">
        <is>
          <t>EXPIRY_DATE</t>
        </is>
      </c>
      <c r="J389" s="417" t="inlineStr">
        <is>
          <t>PG_SILVER</t>
        </is>
      </c>
      <c r="K389" s="377" t="inlineStr">
        <is>
          <t>LMT_EXP_DT</t>
        </is>
      </c>
      <c r="L389" s="417" t="inlineStr">
        <is>
          <t>DATE</t>
        </is>
      </c>
      <c r="M389" s="377" t="inlineStr">
        <is>
          <t>FROM PG_BRONZE.T24CORE_LIMIT l WHERE l.ETL_DATE = ${ETL_DATE}</t>
        </is>
      </c>
      <c r="N389" s="377" t="inlineStr">
        <is>
          <t>TO_DATE(CAST(l.EXPIRY_DATE AS VARCHAR(20)), 'YYYYMMDD')</t>
        </is>
      </c>
      <c r="O389" s="377" t="inlineStr">
        <is>
          <t>Source -&gt; PG_BRONZE (1:1) -&gt; PG_SILVER (Temp 1)</t>
        </is>
      </c>
      <c r="P389" s="357" t="inlineStr">
        <is>
          <t>Map từ PG_BRONZE.T24CORE_LIMIT.EXPIRY_DATE -&gt; PG_SILVER.LMT.LMT_EXP_DT</t>
        </is>
      </c>
    </row>
    <row r="390" ht="14.25" customHeight="1" s="335">
      <c r="A390" s="416">
        <f>C390&amp;D390&amp;E390</f>
        <v/>
      </c>
      <c r="B390" s="416" t="inlineStr">
        <is>
          <t>PD</t>
        </is>
      </c>
      <c r="C390" s="416" t="inlineStr">
        <is>
          <t>LOS_APP</t>
        </is>
      </c>
      <c r="D390" s="416" t="inlineStr">
        <is>
          <t>PRODUCT@TO_LOS</t>
        </is>
      </c>
      <c r="E390" s="416" t="inlineStr">
        <is>
          <t>RECID</t>
        </is>
      </c>
      <c r="F390" s="417" t="inlineStr">
        <is>
          <t>1:1</t>
        </is>
      </c>
      <c r="G390" s="417" t="inlineStr">
        <is>
          <t>PG_BRONZE</t>
        </is>
      </c>
      <c r="H390" s="377" t="inlineStr">
        <is>
          <t>LOS_APP_PRODUCT</t>
        </is>
      </c>
      <c r="I390" s="377" t="inlineStr">
        <is>
          <t>RECID</t>
        </is>
      </c>
      <c r="J390" s="417" t="inlineStr">
        <is>
          <t>PG_SILVER</t>
        </is>
      </c>
      <c r="K390" s="377" t="inlineStr">
        <is>
          <t>PD_ID</t>
        </is>
      </c>
      <c r="L390" s="417" t="inlineStr">
        <is>
          <t>CHAR(32)</t>
        </is>
      </c>
      <c r="M390" s="377" t="inlineStr">
        <is>
          <t>FROM PG_BRONZE.LOS_APP_PRODUCT pd WHERE pd.ETL_DATE = ${ETL_DATE}</t>
        </is>
      </c>
      <c r="N390" s="377" t="inlineStr">
        <is>
          <t>fn_hash("T24_PRODUCT", pd.PRODUCT_CODE)</t>
        </is>
      </c>
      <c r="O390" s="377" t="inlineStr">
        <is>
          <t>Source -&gt; PG_BRONZE (1:1) -&gt; PG_SILVER (Temp 1)</t>
        </is>
      </c>
      <c r="P390" s="357" t="inlineStr">
        <is>
          <t>Map từ PG_BRONZE.LOS_APP_PRODUCT.RECID -&gt; PG_SILVER.PD.PD_ID</t>
        </is>
      </c>
    </row>
    <row r="391" ht="14.25" customHeight="1" s="335">
      <c r="A391" s="416">
        <f>C391&amp;D391&amp;E391</f>
        <v/>
      </c>
      <c r="B391" s="416" t="inlineStr">
        <is>
          <t>LOAN_AR_PRFL</t>
        </is>
      </c>
      <c r="C391" s="416" t="inlineStr">
        <is>
          <t>T24CORE</t>
        </is>
      </c>
      <c r="D391" s="416" t="inlineStr">
        <is>
          <t>PD_PAYMENT_DUE</t>
        </is>
      </c>
      <c r="E391" s="416" t="inlineStr">
        <is>
          <t>REPAYMENT_ACCT</t>
        </is>
      </c>
      <c r="F391" s="417" t="inlineStr">
        <is>
          <t>1:1</t>
        </is>
      </c>
      <c r="G391" s="417" t="inlineStr">
        <is>
          <t>PG_BRONZE</t>
        </is>
      </c>
      <c r="H391" s="377" t="inlineStr">
        <is>
          <t>T24CORE_PD_PAYMENT_DUE</t>
        </is>
      </c>
      <c r="I391" s="377" t="inlineStr">
        <is>
          <t>REPAYMENT_ACCT</t>
        </is>
      </c>
      <c r="J391" s="417" t="inlineStr">
        <is>
          <t>PG_SILVER</t>
        </is>
      </c>
      <c r="K391" s="377" t="inlineStr">
        <is>
          <t>INT_LQD_AR_CODE</t>
        </is>
      </c>
      <c r="L391" s="417" t="inlineStr">
        <is>
          <t>VARCHAR2(40)</t>
        </is>
      </c>
      <c r="M391" s="377" t="inlineStr">
        <is>
          <t>FROM PG_BRONZE.T24CORE_PD_PAYMENT_DUE d WHERE NVL(d.FLAG_STATUS, '_') &lt;&gt; 'DELETE'</t>
        </is>
      </c>
      <c r="N391" s="377" t="inlineStr">
        <is>
          <t>COALESCE(d.REPAYMENT_ACCT, d1.REPAYMENT_ACCT)</t>
        </is>
      </c>
      <c r="O391" s="377" t="inlineStr">
        <is>
          <t>Source -&gt; PG_BRONZE (1:1) -&gt; PG_SILVER (Temp 2)</t>
        </is>
      </c>
      <c r="P391" s="357" t="inlineStr">
        <is>
          <t>Map từ PG_BRONZE.T24CORE_PD_PAYMENT_DUE.REPAYMENT_ACCT -&gt; PG_SILVER.LOAN_AR_PRFL.INT_LQD_AR_CODE</t>
        </is>
      </c>
    </row>
    <row r="392" ht="14.25" customHeight="1" s="335">
      <c r="A392" s="412">
        <f>C392&amp;D392&amp;E392</f>
        <v/>
      </c>
      <c r="B392" s="412" t="inlineStr">
        <is>
          <t>sk_lich_tra_no</t>
        </is>
      </c>
      <c r="C392" s="412" t="inlineStr">
        <is>
          <t>T24CORE</t>
        </is>
      </c>
      <c r="D392" s="412" t="inlineStr">
        <is>
          <t>PD_PAYMENT_DUE_HIS_MV</t>
        </is>
      </c>
      <c r="E392" s="412" t="inlineStr">
        <is>
          <t>PAYMENT_DTE_DUE</t>
        </is>
      </c>
      <c r="F392" s="385" t="inlineStr">
        <is>
          <t>1:1</t>
        </is>
      </c>
      <c r="G392" s="385" t="inlineStr">
        <is>
          <t>PG_BRONZE</t>
        </is>
      </c>
      <c r="H392" s="386" t="inlineStr">
        <is>
          <t>T24CORE_PD_PAYMENT_DUE_HIS_MV</t>
        </is>
      </c>
      <c r="I392" s="386" t="inlineStr">
        <is>
          <t>PAYMENT_DTE_DUE</t>
        </is>
      </c>
      <c r="J392" s="385" t="inlineStr">
        <is>
          <t>PG_SILVER</t>
        </is>
      </c>
      <c r="K392" s="386" t="inlineStr">
        <is>
          <t>PDHMV_PAYMENT_DTE_DUE</t>
        </is>
      </c>
      <c r="L392" s="385" t="inlineStr">
        <is>
          <t>DATE</t>
        </is>
      </c>
      <c r="M392" s="386" t="inlineStr">
        <is>
          <t>LEFT JOIN PG_BRONZE.T24CORE_PD_PAYMENT_DUE_HIS_MV pdhmv ON pdmv.RECID = pdhmv.RECID AND pdmv.PAY_TYPE = pdhmv.PAY_TYPE AND pdhmv.FLAG_STATUS = 'LIVE' AND pdhmv.PAY_AMT_OUTS &gt; 0</t>
        </is>
      </c>
      <c r="N392" s="386" t="inlineStr">
        <is>
          <t>TO_DATE(CAST(pdhmv.PAYMENT_DTE_DUE AS VARCHAR(20)), 'YYYYMMDD')</t>
        </is>
      </c>
      <c r="O392" s="386" t="inlineStr">
        <is>
          <t>Source -&gt; PG_BRONZE (1:1) -&gt; PG_SILVER (Temp 1)</t>
        </is>
      </c>
      <c r="P392" s="414" t="inlineStr">
        <is>
          <t>Hạn thanh toán lịch sử quá hạn (Map từ PG_BRONZE.T24CORE_PD_PAYMENT_DUE_HIS_MV.PAYMENT_DTE_DUE -&gt; PG_SILVER.sk_lich_tra_no.PDHMV_PAYMENT_DTE_DUE)</t>
        </is>
      </c>
    </row>
    <row r="393" ht="14.25" customHeight="1" s="335">
      <c r="A393" s="412">
        <f>C393&amp;D393&amp;E393</f>
        <v/>
      </c>
      <c r="B393" s="412" t="inlineStr">
        <is>
          <t>sk_lich_tra_no</t>
        </is>
      </c>
      <c r="C393" s="412" t="inlineStr">
        <is>
          <t>T24CORE</t>
        </is>
      </c>
      <c r="D393" s="412" t="inlineStr">
        <is>
          <t>PD_PAYMENT_DUE_HIS_MV</t>
        </is>
      </c>
      <c r="E393" s="412" t="inlineStr">
        <is>
          <t>PAY_AMT_OUTS</t>
        </is>
      </c>
      <c r="F393" s="385" t="inlineStr">
        <is>
          <t>1:1</t>
        </is>
      </c>
      <c r="G393" s="385" t="inlineStr">
        <is>
          <t>PG_BRONZE</t>
        </is>
      </c>
      <c r="H393" s="386" t="inlineStr">
        <is>
          <t>T24CORE_PD_PAYMENT_DUE_HIS_MV</t>
        </is>
      </c>
      <c r="I393" s="386" t="inlineStr">
        <is>
          <t>PAY_AMT_OUTS</t>
        </is>
      </c>
      <c r="J393" s="385" t="inlineStr">
        <is>
          <t>PG_SILVER</t>
        </is>
      </c>
      <c r="K393" s="386" t="inlineStr">
        <is>
          <t>PDHMV_PAY_AMT_OUTS</t>
        </is>
      </c>
      <c r="L393" s="385" t="inlineStr">
        <is>
          <t>NUMBER(25,5)</t>
        </is>
      </c>
      <c r="M393" s="386" t="inlineStr">
        <is>
          <t>LEFT JOIN PG_BRONZE.T24CORE_PD_PAYMENT_DUE_HIS_MV pdhmv ON pdmv.RECID = pdhmv.RECID AND pdmv.PAY_TYPE = pdhmv.PAY_TYPE AND pdhmv.FLAG_STATUS = 'LIVE' AND pdhmv.PAY_AMT_OUTS &gt; 0</t>
        </is>
      </c>
      <c r="N393" s="386" t="inlineStr">
        <is>
          <t>COALESCE(CAST(pdhmv.PAY_AMT_OUTS AS DECIMAL(25,5)), 0)</t>
        </is>
      </c>
      <c r="O393" s="386" t="inlineStr">
        <is>
          <t>Source -&gt; PG_BRONZE (1:1) -&gt; PG_SILVER (Temp 1)</t>
        </is>
      </c>
      <c r="P393" s="414" t="inlineStr">
        <is>
          <t>Số tiền quá hạn còn lại chưa thanh toán (Map từ PG_BRONZE.T24CORE_PD_PAYMENT_DUE_HIS_MV.PAY_AMT_OUTS -&gt; PG_SILVER.sk_lich_tra_no.PDHMV_PAY_AMT_OUTS)</t>
        </is>
      </c>
    </row>
    <row r="394" ht="14.25" customHeight="1" s="335"/>
    <row r="395" ht="14.25" customHeight="1" s="335"/>
    <row r="396" ht="14.25" customHeight="1" s="335"/>
    <row r="397" ht="14.25" customHeight="1" s="335"/>
    <row r="398" ht="14.25" customHeight="1" s="335"/>
    <row r="399" ht="14.25" customHeight="1" s="335"/>
    <row r="400" ht="14.25" customHeight="1" s="335"/>
    <row r="401" ht="14.25" customHeight="1" s="335"/>
    <row r="402" ht="14.25" customHeight="1" s="335"/>
    <row r="403" ht="14.25" customHeight="1" s="335"/>
    <row r="404" ht="14.25" customHeight="1" s="335"/>
    <row r="405" ht="14.25" customHeight="1" s="335"/>
    <row r="406" ht="14.25" customHeight="1" s="335"/>
    <row r="407" ht="14.25" customHeight="1" s="335"/>
    <row r="408" ht="14.25" customHeight="1" s="335"/>
    <row r="409" ht="14.25" customHeight="1" s="335"/>
    <row r="410" ht="14.25" customHeight="1" s="335"/>
    <row r="411" ht="14.25" customHeight="1" s="335"/>
    <row r="412" ht="14.25" customHeight="1" s="335"/>
    <row r="413" ht="14.25" customHeight="1" s="335"/>
    <row r="414" ht="14.25" customHeight="1" s="335"/>
    <row r="415" ht="14.25" customHeight="1" s="335"/>
    <row r="416" ht="14.25" customHeight="1" s="335"/>
    <row r="417" ht="14.25" customHeight="1" s="335"/>
    <row r="418" ht="14.25" customHeight="1" s="335"/>
    <row r="419" ht="14.25" customHeight="1" s="335"/>
    <row r="420" ht="14.25" customHeight="1" s="335"/>
    <row r="421" ht="14.25" customHeight="1" s="335"/>
    <row r="422" ht="14.25" customHeight="1" s="335"/>
    <row r="423" ht="14.25" customHeight="1" s="335"/>
    <row r="424" ht="14.25" customHeight="1" s="335"/>
    <row r="425" ht="14.25" customHeight="1" s="335"/>
    <row r="426" ht="14.25" customHeight="1" s="335"/>
    <row r="427" ht="14.25" customHeight="1" s="335"/>
    <row r="428" ht="14.25" customHeight="1" s="335"/>
    <row r="429" ht="14.25" customHeight="1" s="335"/>
    <row r="430" ht="14.25" customHeight="1" s="335"/>
    <row r="431" ht="14.25" customHeight="1" s="335"/>
    <row r="432" ht="14.25" customHeight="1" s="335"/>
    <row r="433" ht="14.25" customHeight="1" s="335"/>
    <row r="434" ht="14.25" customHeight="1" s="335"/>
    <row r="435" ht="14.25" customHeight="1" s="335"/>
    <row r="436" ht="14.25" customHeight="1" s="335"/>
    <row r="437" ht="14.25" customHeight="1" s="335"/>
    <row r="438" ht="14.25" customHeight="1" s="335"/>
    <row r="439" ht="14.25" customHeight="1" s="335"/>
    <row r="440" ht="14.25" customHeight="1" s="335"/>
    <row r="441" ht="14.25" customHeight="1" s="335"/>
    <row r="442" ht="14.25" customHeight="1" s="335"/>
    <row r="443" ht="14.25" customHeight="1" s="335"/>
    <row r="444" ht="14.25" customHeight="1" s="335"/>
    <row r="445" ht="14.25" customHeight="1" s="335"/>
    <row r="446" ht="14.25" customHeight="1" s="335"/>
    <row r="447" ht="14.25" customHeight="1" s="335"/>
    <row r="448" ht="14.25" customHeight="1" s="335"/>
    <row r="449" ht="14.25" customHeight="1" s="335"/>
    <row r="450" ht="14.25" customHeight="1" s="335"/>
    <row r="451" ht="14.25" customHeight="1" s="335"/>
    <row r="452" ht="14.25" customHeight="1" s="335"/>
    <row r="453" ht="14.25" customHeight="1" s="335"/>
    <row r="454" ht="14.25" customHeight="1" s="335"/>
    <row r="455" ht="14.25" customHeight="1" s="335"/>
    <row r="456" ht="14.25" customHeight="1" s="335"/>
    <row r="457" ht="14.25" customHeight="1" s="335"/>
    <row r="458" ht="14.25" customHeight="1" s="335"/>
    <row r="459" ht="14.25" customHeight="1" s="335"/>
    <row r="460" ht="14.25" customHeight="1" s="335"/>
    <row r="461" ht="14.25" customHeight="1" s="335"/>
    <row r="462" ht="14.25" customHeight="1" s="335"/>
    <row r="463" ht="14.25" customHeight="1" s="335"/>
    <row r="464" ht="14.25" customHeight="1" s="335"/>
    <row r="465" ht="14.25" customHeight="1" s="335"/>
    <row r="466" ht="14.25" customHeight="1" s="335"/>
    <row r="467" ht="14.25" customHeight="1" s="335"/>
    <row r="468" ht="14.25" customHeight="1" s="335"/>
    <row r="469" ht="14.25" customHeight="1" s="335"/>
    <row r="470" ht="14.25" customHeight="1" s="335"/>
    <row r="471" ht="14.25" customHeight="1" s="335"/>
    <row r="472" ht="14.25" customHeight="1" s="335"/>
    <row r="473" ht="14.25" customHeight="1" s="335"/>
    <row r="474" ht="14.25" customHeight="1" s="335"/>
    <row r="475" ht="14.25" customHeight="1" s="335"/>
    <row r="476" ht="14.25" customHeight="1" s="335"/>
    <row r="477" ht="14.25" customHeight="1" s="335"/>
    <row r="478" ht="14.25" customHeight="1" s="335"/>
    <row r="479" ht="14.25" customHeight="1" s="335"/>
    <row r="480" ht="14.25" customHeight="1" s="335"/>
    <row r="481" ht="14.25" customHeight="1" s="335"/>
    <row r="482" ht="14.25" customHeight="1" s="335"/>
    <row r="483" ht="14.25" customHeight="1" s="335"/>
    <row r="484" ht="14.25" customHeight="1" s="335"/>
    <row r="485" ht="14.25" customHeight="1" s="335"/>
    <row r="486" ht="14.25" customHeight="1" s="335"/>
    <row r="487" ht="14.25" customHeight="1" s="335"/>
    <row r="488" ht="14.25" customHeight="1" s="335"/>
    <row r="489" ht="14.25" customHeight="1" s="335"/>
    <row r="490" ht="14.25" customHeight="1" s="335"/>
    <row r="491" ht="14.25" customHeight="1" s="335"/>
    <row r="492" ht="14.25" customHeight="1" s="335"/>
    <row r="493" ht="14.25" customHeight="1" s="335"/>
    <row r="494" ht="14.25" customHeight="1" s="335"/>
    <row r="495" ht="14.25" customHeight="1" s="335"/>
    <row r="496" ht="14.25" customHeight="1" s="335"/>
    <row r="497" ht="14.25" customHeight="1" s="335"/>
    <row r="498" ht="14.25" customHeight="1" s="335"/>
    <row r="499" ht="14.25" customHeight="1" s="335"/>
    <row r="500" ht="14.25" customHeight="1" s="335"/>
    <row r="501" ht="14.25" customHeight="1" s="335"/>
    <row r="502" ht="14.25" customHeight="1" s="335"/>
    <row r="503" ht="14.25" customHeight="1" s="335"/>
    <row r="504" ht="14.25" customHeight="1" s="335"/>
    <row r="505" ht="14.25" customHeight="1" s="335"/>
    <row r="506" ht="14.25" customHeight="1" s="335"/>
    <row r="507" ht="14.25" customHeight="1" s="335"/>
    <row r="508" ht="14.25" customHeight="1" s="335"/>
    <row r="509" ht="14.25" customHeight="1" s="335"/>
    <row r="510" ht="14.25" customHeight="1" s="335"/>
    <row r="511" ht="14.25" customHeight="1" s="335"/>
    <row r="512" ht="14.25" customHeight="1" s="335"/>
    <row r="513" ht="14.25" customHeight="1" s="335"/>
    <row r="514" ht="14.25" customHeight="1" s="335"/>
    <row r="515" ht="14.25" customHeight="1" s="335"/>
    <row r="516" ht="14.25" customHeight="1" s="335"/>
    <row r="517" ht="14.25" customHeight="1" s="335"/>
    <row r="518" ht="14.25" customHeight="1" s="335"/>
    <row r="519" ht="14.25" customHeight="1" s="335"/>
    <row r="520" ht="14.25" customHeight="1" s="335"/>
    <row r="521" ht="14.25" customHeight="1" s="335"/>
    <row r="522" ht="14.25" customHeight="1" s="335"/>
    <row r="523" ht="14.25" customHeight="1" s="335"/>
    <row r="524" ht="14.25" customHeight="1" s="335"/>
    <row r="525" ht="14.25" customHeight="1" s="335"/>
    <row r="526" ht="14.25" customHeight="1" s="335"/>
    <row r="527" ht="14.25" customHeight="1" s="335"/>
    <row r="528" ht="14.25" customHeight="1" s="335"/>
    <row r="529" ht="14.25" customHeight="1" s="335"/>
    <row r="530" ht="14.25" customHeight="1" s="335"/>
    <row r="531" ht="14.25" customHeight="1" s="335"/>
    <row r="532" ht="14.25" customHeight="1" s="335"/>
    <row r="533" ht="14.25" customHeight="1" s="335"/>
    <row r="534" ht="14.25" customHeight="1" s="335"/>
    <row r="535" ht="14.25" customHeight="1" s="335"/>
    <row r="536" ht="14.25" customHeight="1" s="335"/>
    <row r="537" ht="14.25" customHeight="1" s="335"/>
    <row r="538" ht="14.25" customHeight="1" s="335"/>
    <row r="539" ht="14.25" customHeight="1" s="335"/>
    <row r="540" ht="14.25" customHeight="1" s="335"/>
    <row r="541" ht="14.25" customHeight="1" s="335"/>
    <row r="542" ht="14.25" customHeight="1" s="335"/>
    <row r="543" ht="14.25" customHeight="1" s="335"/>
    <row r="544" ht="14.25" customHeight="1" s="335"/>
    <row r="545" ht="14.25" customHeight="1" s="335"/>
    <row r="546" ht="14.25" customHeight="1" s="335"/>
    <row r="547" ht="14.25" customHeight="1" s="335"/>
    <row r="548" ht="14.25" customHeight="1" s="335"/>
    <row r="549" ht="14.25" customHeight="1" s="335"/>
    <row r="550" ht="14.25" customHeight="1" s="335"/>
    <row r="551" ht="14.25" customHeight="1" s="335"/>
    <row r="552" ht="14.25" customHeight="1" s="335"/>
    <row r="553" ht="14.25" customHeight="1" s="335"/>
    <row r="554" ht="14.25" customHeight="1" s="335"/>
    <row r="555" ht="14.25" customHeight="1" s="335"/>
    <row r="556" ht="14.25" customHeight="1" s="335"/>
    <row r="557" ht="14.25" customHeight="1" s="335"/>
    <row r="558" ht="14.25" customHeight="1" s="335"/>
    <row r="559" ht="14.25" customHeight="1" s="335"/>
    <row r="560" ht="14.25" customHeight="1" s="335"/>
    <row r="561" ht="14.25" customHeight="1" s="335"/>
    <row r="562" ht="14.25" customHeight="1" s="335"/>
    <row r="563" ht="14.25" customHeight="1" s="335"/>
    <row r="564" ht="14.25" customHeight="1" s="335"/>
    <row r="565" ht="14.25" customHeight="1" s="335"/>
    <row r="566" ht="14.25" customHeight="1" s="335"/>
    <row r="567" ht="14.25" customHeight="1" s="335"/>
    <row r="568" ht="14.25" customHeight="1" s="335"/>
    <row r="569" ht="14.25" customHeight="1" s="335"/>
    <row r="570" ht="14.25" customHeight="1" s="335"/>
    <row r="571" ht="14.25" customHeight="1" s="335"/>
    <row r="572" ht="14.25" customHeight="1" s="335"/>
    <row r="573" ht="14.25" customHeight="1" s="335"/>
    <row r="574" ht="14.25" customHeight="1" s="335"/>
    <row r="575" ht="14.25" customHeight="1" s="335"/>
    <row r="576" ht="14.25" customHeight="1" s="335"/>
    <row r="577" ht="14.25" customHeight="1" s="335"/>
    <row r="578" ht="14.25" customHeight="1" s="335"/>
    <row r="579" ht="14.25" customHeight="1" s="335"/>
    <row r="580" ht="14.25" customHeight="1" s="335"/>
    <row r="581" ht="14.25" customHeight="1" s="335"/>
    <row r="582" ht="14.25" customHeight="1" s="335"/>
    <row r="583" ht="14.25" customHeight="1" s="335"/>
    <row r="584" ht="14.25" customHeight="1" s="335"/>
    <row r="585" ht="14.25" customHeight="1" s="335"/>
    <row r="586" ht="14.25" customHeight="1" s="335"/>
    <row r="587" ht="14.25" customHeight="1" s="335"/>
    <row r="588" ht="14.25" customHeight="1" s="335"/>
    <row r="589" ht="14.25" customHeight="1" s="335"/>
    <row r="590" ht="14.25" customHeight="1" s="335"/>
    <row r="591" ht="14.25" customHeight="1" s="335"/>
    <row r="592" ht="14.25" customHeight="1" s="335"/>
    <row r="593" ht="14.25" customHeight="1" s="335"/>
    <row r="594" ht="14.25" customHeight="1" s="335"/>
    <row r="595" ht="14.25" customHeight="1" s="335"/>
    <row r="596" ht="14.25" customHeight="1" s="335"/>
    <row r="597" ht="14.25" customHeight="1" s="335"/>
    <row r="598" ht="14.25" customHeight="1" s="335"/>
    <row r="599" ht="14.25" customHeight="1" s="335"/>
    <row r="600" ht="14.25" customHeight="1" s="335"/>
    <row r="601" ht="14.25" customHeight="1" s="335"/>
    <row r="602" ht="14.25" customHeight="1" s="335"/>
    <row r="603" ht="14.25" customHeight="1" s="335"/>
    <row r="604" ht="14.25" customHeight="1" s="335"/>
    <row r="605" ht="14.25" customHeight="1" s="335"/>
    <row r="606" ht="14.25" customHeight="1" s="335"/>
    <row r="607" ht="14.25" customHeight="1" s="335"/>
    <row r="608" ht="14.25" customHeight="1" s="335"/>
    <row r="609" ht="14.25" customHeight="1" s="335"/>
    <row r="610" ht="14.25" customHeight="1" s="335"/>
    <row r="611" ht="14.25" customHeight="1" s="335"/>
    <row r="612" ht="14.25" customHeight="1" s="335"/>
    <row r="613" ht="14.25" customHeight="1" s="335"/>
    <row r="614" ht="14.25" customHeight="1" s="335"/>
    <row r="615" ht="14.25" customHeight="1" s="335"/>
    <row r="616" ht="14.25" customHeight="1" s="335"/>
    <row r="617" ht="14.25" customHeight="1" s="335"/>
    <row r="618" ht="14.25" customHeight="1" s="335"/>
    <row r="619" ht="14.25" customHeight="1" s="335"/>
    <row r="620" ht="14.25" customHeight="1" s="335"/>
    <row r="621" ht="14.25" customHeight="1" s="335"/>
    <row r="622" ht="14.25" customHeight="1" s="335"/>
    <row r="623" ht="14.25" customHeight="1" s="335"/>
    <row r="624" ht="14.25" customHeight="1" s="335"/>
    <row r="625" ht="14.25" customHeight="1" s="335"/>
    <row r="626" ht="14.25" customHeight="1" s="335"/>
    <row r="627" ht="14.25" customHeight="1" s="335"/>
    <row r="628" ht="14.25" customHeight="1" s="335"/>
    <row r="629" ht="14.25" customHeight="1" s="335"/>
    <row r="630" ht="14.25" customHeight="1" s="335"/>
    <row r="631" ht="14.25" customHeight="1" s="335"/>
    <row r="632" ht="14.25" customHeight="1" s="335"/>
    <row r="633" ht="14.25" customHeight="1" s="335"/>
    <row r="634" ht="14.25" customHeight="1" s="335"/>
    <row r="635" ht="14.25" customHeight="1" s="335"/>
    <row r="636" ht="14.25" customHeight="1" s="335"/>
    <row r="637" ht="14.25" customHeight="1" s="335"/>
    <row r="638" ht="14.25" customHeight="1" s="335"/>
    <row r="639" ht="14.25" customHeight="1" s="335"/>
    <row r="640" ht="14.25" customHeight="1" s="335"/>
    <row r="641" ht="14.25" customHeight="1" s="335"/>
    <row r="642" ht="14.25" customHeight="1" s="335"/>
    <row r="643" ht="14.25" customHeight="1" s="335"/>
    <row r="644" ht="14.25" customHeight="1" s="335"/>
    <row r="645" ht="14.25" customHeight="1" s="335"/>
    <row r="646" ht="14.25" customHeight="1" s="335"/>
    <row r="647" ht="14.25" customHeight="1" s="335"/>
    <row r="648" ht="14.25" customHeight="1" s="335"/>
    <row r="649" ht="14.25" customHeight="1" s="335"/>
    <row r="650" ht="14.25" customHeight="1" s="335"/>
    <row r="651" ht="14.25" customHeight="1" s="335"/>
    <row r="652" ht="14.25" customHeight="1" s="335"/>
    <row r="653" ht="14.25" customHeight="1" s="335"/>
    <row r="654" ht="14.25" customHeight="1" s="335"/>
    <row r="655" ht="14.25" customHeight="1" s="335"/>
    <row r="656" ht="14.25" customHeight="1" s="335"/>
    <row r="657" ht="14.25" customHeight="1" s="335"/>
    <row r="658" ht="14.25" customHeight="1" s="335"/>
    <row r="659" ht="14.25" customHeight="1" s="335"/>
    <row r="660" ht="14.25" customHeight="1" s="335"/>
    <row r="661" ht="14.25" customHeight="1" s="335"/>
    <row r="662" ht="14.25" customHeight="1" s="335"/>
    <row r="663" ht="14.25" customHeight="1" s="335"/>
    <row r="664" ht="14.25" customHeight="1" s="335"/>
    <row r="665" ht="14.25" customHeight="1" s="335"/>
    <row r="666" ht="14.25" customHeight="1" s="335"/>
    <row r="667" ht="14.25" customHeight="1" s="335"/>
    <row r="668" ht="14.25" customHeight="1" s="335"/>
    <row r="669" ht="14.25" customHeight="1" s="335"/>
    <row r="670" ht="14.25" customHeight="1" s="335"/>
    <row r="671" ht="14.25" customHeight="1" s="335"/>
    <row r="672" ht="14.25" customHeight="1" s="335"/>
    <row r="673" ht="14.25" customHeight="1" s="335"/>
    <row r="674" ht="14.25" customHeight="1" s="335"/>
    <row r="675" ht="14.25" customHeight="1" s="335"/>
    <row r="676" ht="14.25" customHeight="1" s="335"/>
    <row r="677" ht="14.25" customHeight="1" s="335"/>
    <row r="678" ht="14.25" customHeight="1" s="335"/>
    <row r="679" ht="14.25" customHeight="1" s="335"/>
    <row r="680" ht="14.25" customHeight="1" s="335"/>
    <row r="681" ht="14.25" customHeight="1" s="335"/>
    <row r="682" ht="14.25" customHeight="1" s="335"/>
    <row r="683" ht="14.25" customHeight="1" s="335"/>
    <row r="684" ht="14.25" customHeight="1" s="335"/>
    <row r="685" ht="14.25" customHeight="1" s="335"/>
    <row r="686" ht="14.25" customHeight="1" s="335"/>
    <row r="687" ht="14.25" customHeight="1" s="335"/>
    <row r="688" ht="14.25" customHeight="1" s="335"/>
    <row r="689" ht="14.25" customHeight="1" s="335"/>
    <row r="690" ht="14.25" customHeight="1" s="335"/>
    <row r="691" ht="14.25" customHeight="1" s="335"/>
    <row r="692" ht="14.25" customHeight="1" s="335"/>
    <row r="693" ht="14.25" customHeight="1" s="335"/>
    <row r="694" ht="14.25" customHeight="1" s="335"/>
    <row r="695" ht="14.25" customHeight="1" s="335"/>
    <row r="696" ht="14.25" customHeight="1" s="335"/>
    <row r="697" ht="14.25" customHeight="1" s="335"/>
    <row r="698" ht="14.25" customHeight="1" s="335"/>
    <row r="699" ht="14.25" customHeight="1" s="335"/>
    <row r="700" ht="14.25" customHeight="1" s="335"/>
    <row r="701" ht="14.25" customHeight="1" s="335"/>
    <row r="702" ht="14.25" customHeight="1" s="335"/>
    <row r="703" ht="14.25" customHeight="1" s="335"/>
    <row r="704" ht="14.25" customHeight="1" s="335"/>
    <row r="705" ht="14.25" customHeight="1" s="335"/>
    <row r="706" ht="14.25" customHeight="1" s="335"/>
    <row r="707" ht="14.25" customHeight="1" s="335"/>
    <row r="708" ht="14.25" customHeight="1" s="335"/>
    <row r="709" ht="14.25" customHeight="1" s="335"/>
    <row r="710" ht="14.25" customHeight="1" s="335"/>
    <row r="711" ht="14.25" customHeight="1" s="335"/>
    <row r="712" ht="14.25" customHeight="1" s="335"/>
    <row r="713" ht="14.25" customHeight="1" s="335"/>
    <row r="714" ht="14.25" customHeight="1" s="335"/>
    <row r="715" ht="14.25" customHeight="1" s="335"/>
    <row r="716" ht="14.25" customHeight="1" s="335"/>
    <row r="717" ht="14.25" customHeight="1" s="335"/>
    <row r="718" ht="14.25" customHeight="1" s="335"/>
    <row r="719" ht="14.25" customHeight="1" s="335"/>
    <row r="720" ht="14.25" customHeight="1" s="335"/>
    <row r="721" ht="14.25" customHeight="1" s="335"/>
    <row r="722" ht="14.25" customHeight="1" s="335"/>
    <row r="723" ht="14.25" customHeight="1" s="335"/>
    <row r="724" ht="14.25" customHeight="1" s="335"/>
    <row r="725" ht="14.25" customHeight="1" s="335"/>
    <row r="726" ht="14.25" customHeight="1" s="335"/>
    <row r="727" ht="14.25" customHeight="1" s="335"/>
    <row r="728" ht="14.25" customHeight="1" s="335"/>
    <row r="729" ht="14.25" customHeight="1" s="335"/>
    <row r="730" ht="14.25" customHeight="1" s="335"/>
    <row r="731" ht="14.25" customHeight="1" s="335"/>
    <row r="732" ht="14.25" customHeight="1" s="335"/>
    <row r="733" ht="14.25" customHeight="1" s="335"/>
    <row r="734" ht="14.25" customHeight="1" s="335"/>
    <row r="735" ht="14.25" customHeight="1" s="335"/>
    <row r="736" ht="14.25" customHeight="1" s="335"/>
    <row r="737" ht="14.25" customHeight="1" s="335"/>
    <row r="738" ht="14.25" customHeight="1" s="335"/>
    <row r="739" ht="14.25" customHeight="1" s="335"/>
    <row r="740" ht="14.25" customHeight="1" s="335"/>
    <row r="741" ht="14.25" customHeight="1" s="335"/>
    <row r="742" ht="14.25" customHeight="1" s="335"/>
    <row r="743" ht="14.25" customHeight="1" s="335"/>
    <row r="744" ht="14.25" customHeight="1" s="335"/>
    <row r="745" ht="14.25" customHeight="1" s="335"/>
    <row r="746" ht="14.25" customHeight="1" s="335"/>
    <row r="747" ht="14.25" customHeight="1" s="335"/>
    <row r="748" ht="14.25" customHeight="1" s="335"/>
    <row r="749" ht="14.25" customHeight="1" s="335"/>
    <row r="750" ht="14.25" customHeight="1" s="335"/>
    <row r="751" ht="14.25" customHeight="1" s="335"/>
    <row r="752" ht="14.25" customHeight="1" s="335"/>
    <row r="753" ht="14.25" customHeight="1" s="335"/>
    <row r="754" ht="14.25" customHeight="1" s="335"/>
    <row r="755" ht="14.25" customHeight="1" s="335"/>
    <row r="756" ht="14.25" customHeight="1" s="335"/>
    <row r="757" ht="14.25" customHeight="1" s="335"/>
    <row r="758" ht="14.25" customHeight="1" s="335"/>
    <row r="759" ht="14.25" customHeight="1" s="335"/>
    <row r="760" ht="14.25" customHeight="1" s="335"/>
    <row r="761" ht="14.25" customHeight="1" s="335"/>
    <row r="762" ht="14.25" customHeight="1" s="335"/>
    <row r="763" ht="14.25" customHeight="1" s="335"/>
    <row r="764" ht="14.25" customHeight="1" s="335"/>
    <row r="765" ht="14.25" customHeight="1" s="335"/>
    <row r="766" ht="14.25" customHeight="1" s="335"/>
    <row r="767" ht="14.25" customHeight="1" s="335"/>
    <row r="768" ht="14.25" customHeight="1" s="335"/>
    <row r="769" ht="14.25" customHeight="1" s="335"/>
    <row r="770" ht="14.25" customHeight="1" s="335"/>
    <row r="771" ht="14.25" customHeight="1" s="335"/>
    <row r="772" ht="14.25" customHeight="1" s="335"/>
    <row r="773" ht="14.25" customHeight="1" s="335"/>
    <row r="774" ht="14.25" customHeight="1" s="335"/>
    <row r="775" ht="14.25" customHeight="1" s="335"/>
    <row r="776" ht="14.25" customHeight="1" s="335"/>
    <row r="777" ht="14.25" customHeight="1" s="335"/>
    <row r="778" ht="14.25" customHeight="1" s="335"/>
    <row r="779" ht="14.25" customHeight="1" s="335"/>
    <row r="780" ht="14.25" customHeight="1" s="335"/>
    <row r="781" ht="14.25" customHeight="1" s="335"/>
    <row r="782" ht="14.25" customHeight="1" s="335"/>
    <row r="783" ht="14.25" customHeight="1" s="335"/>
    <row r="784" ht="14.25" customHeight="1" s="335"/>
    <row r="785" ht="14.25" customHeight="1" s="335"/>
    <row r="786" ht="14.25" customHeight="1" s="335"/>
    <row r="787" ht="14.25" customHeight="1" s="335"/>
    <row r="788" ht="14.25" customHeight="1" s="335"/>
    <row r="789" ht="14.25" customHeight="1" s="335"/>
    <row r="790" ht="14.25" customHeight="1" s="335"/>
    <row r="791" ht="14.25" customHeight="1" s="335"/>
    <row r="792" ht="14.25" customHeight="1" s="335"/>
    <row r="793" ht="14.25" customHeight="1" s="335"/>
    <row r="794" ht="14.25" customHeight="1" s="335"/>
    <row r="795" ht="14.25" customHeight="1" s="335"/>
    <row r="796" ht="14.25" customHeight="1" s="335"/>
    <row r="797" ht="14.25" customHeight="1" s="335"/>
    <row r="798" ht="14.25" customHeight="1" s="335"/>
    <row r="799" ht="14.25" customHeight="1" s="335"/>
    <row r="800" ht="14.25" customHeight="1" s="335"/>
    <row r="801" ht="14.25" customHeight="1" s="335"/>
    <row r="802" ht="14.25" customHeight="1" s="335"/>
    <row r="803" ht="14.25" customHeight="1" s="335"/>
    <row r="804" ht="14.25" customHeight="1" s="335"/>
    <row r="805" ht="14.25" customHeight="1" s="335"/>
    <row r="806" ht="14.25" customHeight="1" s="335"/>
    <row r="807" ht="14.25" customHeight="1" s="335"/>
    <row r="808" ht="14.25" customHeight="1" s="335"/>
    <row r="809" ht="14.25" customHeight="1" s="335"/>
    <row r="810" ht="14.25" customHeight="1" s="335"/>
    <row r="811" ht="14.25" customHeight="1" s="335"/>
    <row r="812" ht="14.25" customHeight="1" s="335"/>
    <row r="813" ht="14.25" customHeight="1" s="335"/>
    <row r="814" ht="14.25" customHeight="1" s="335"/>
    <row r="815" ht="14.25" customHeight="1" s="335"/>
    <row r="816" ht="14.25" customHeight="1" s="335"/>
    <row r="817" ht="14.25" customHeight="1" s="335"/>
    <row r="818" ht="14.25" customHeight="1" s="335"/>
    <row r="819" ht="14.25" customHeight="1" s="335"/>
    <row r="820" ht="14.25" customHeight="1" s="335"/>
    <row r="821" ht="14.25" customHeight="1" s="335"/>
    <row r="822" ht="14.25" customHeight="1" s="335"/>
    <row r="823" ht="14.25" customHeight="1" s="335"/>
    <row r="824" ht="14.25" customHeight="1" s="335"/>
    <row r="825" ht="14.25" customHeight="1" s="335"/>
    <row r="826" ht="14.25" customHeight="1" s="335"/>
    <row r="827" ht="14.25" customHeight="1" s="335"/>
    <row r="828" ht="14.25" customHeight="1" s="335"/>
    <row r="829" ht="14.25" customHeight="1" s="335"/>
    <row r="830" ht="14.25" customHeight="1" s="335"/>
    <row r="831" ht="14.25" customHeight="1" s="335"/>
    <row r="832" ht="14.25" customHeight="1" s="335"/>
    <row r="833" ht="14.25" customHeight="1" s="335"/>
    <row r="834" ht="14.25" customHeight="1" s="335"/>
    <row r="835" ht="14.25" customHeight="1" s="335"/>
    <row r="836" ht="14.25" customHeight="1" s="335"/>
    <row r="837" ht="14.25" customHeight="1" s="335"/>
    <row r="838" ht="14.25" customHeight="1" s="335"/>
    <row r="839" ht="14.25" customHeight="1" s="335"/>
    <row r="840" ht="14.25" customHeight="1" s="335"/>
    <row r="841" ht="14.25" customHeight="1" s="335"/>
    <row r="842" ht="14.25" customHeight="1" s="335"/>
    <row r="843" ht="14.25" customHeight="1" s="335"/>
    <row r="844" ht="14.25" customHeight="1" s="335"/>
    <row r="845" ht="14.25" customHeight="1" s="335"/>
    <row r="846" ht="14.25" customHeight="1" s="335"/>
    <row r="847" ht="14.25" customHeight="1" s="335"/>
    <row r="848" ht="14.25" customHeight="1" s="335"/>
    <row r="849" ht="14.25" customHeight="1" s="335"/>
    <row r="850" ht="14.25" customHeight="1" s="335"/>
    <row r="851" ht="14.25" customHeight="1" s="335"/>
    <row r="852" ht="14.25" customHeight="1" s="335"/>
    <row r="853" ht="14.25" customHeight="1" s="335"/>
    <row r="854" ht="14.25" customHeight="1" s="335"/>
    <row r="855" ht="14.25" customHeight="1" s="335"/>
    <row r="856" ht="14.25" customHeight="1" s="335"/>
    <row r="857" ht="14.25" customHeight="1" s="335"/>
    <row r="858" ht="14.25" customHeight="1" s="335"/>
    <row r="859" ht="14.25" customHeight="1" s="335"/>
    <row r="860" ht="14.25" customHeight="1" s="335"/>
    <row r="861" ht="14.25" customHeight="1" s="335"/>
    <row r="862" ht="14.25" customHeight="1" s="335"/>
    <row r="863" ht="14.25" customHeight="1" s="335"/>
    <row r="864" ht="14.25" customHeight="1" s="335"/>
    <row r="865" ht="14.25" customHeight="1" s="335"/>
    <row r="866" ht="14.25" customHeight="1" s="335"/>
    <row r="867" ht="14.25" customHeight="1" s="335"/>
    <row r="868" ht="14.25" customHeight="1" s="335"/>
    <row r="869" ht="14.25" customHeight="1" s="335"/>
    <row r="870" ht="14.25" customHeight="1" s="335"/>
    <row r="871" ht="14.25" customHeight="1" s="335"/>
    <row r="872" ht="14.25" customHeight="1" s="335"/>
    <row r="873" ht="14.25" customHeight="1" s="335"/>
    <row r="874" ht="14.25" customHeight="1" s="335"/>
    <row r="875" ht="14.25" customHeight="1" s="335"/>
    <row r="876" ht="14.25" customHeight="1" s="335"/>
    <row r="877" ht="14.25" customHeight="1" s="335"/>
    <row r="878" ht="14.25" customHeight="1" s="335"/>
    <row r="879" ht="14.25" customHeight="1" s="335"/>
    <row r="880" ht="14.25" customHeight="1" s="335"/>
    <row r="881" ht="14.25" customHeight="1" s="335"/>
    <row r="882" ht="14.25" customHeight="1" s="335"/>
    <row r="883" ht="14.25" customHeight="1" s="335"/>
    <row r="884" ht="14.25" customHeight="1" s="335"/>
    <row r="885" ht="14.25" customHeight="1" s="335"/>
    <row r="886" ht="14.25" customHeight="1" s="335"/>
    <row r="887" ht="14.25" customHeight="1" s="335"/>
    <row r="888" ht="14.25" customHeight="1" s="335"/>
    <row r="889" ht="14.25" customHeight="1" s="335"/>
    <row r="890" ht="14.25" customHeight="1" s="335"/>
    <row r="891" ht="14.25" customHeight="1" s="335"/>
    <row r="892" ht="14.25" customHeight="1" s="335"/>
    <row r="893" ht="14.25" customHeight="1" s="335"/>
    <row r="894" ht="14.25" customHeight="1" s="335"/>
    <row r="895" ht="14.25" customHeight="1" s="335"/>
    <row r="896" ht="14.25" customHeight="1" s="335"/>
    <row r="897" ht="14.25" customHeight="1" s="335"/>
    <row r="898" ht="14.25" customHeight="1" s="335"/>
    <row r="899" ht="14.25" customHeight="1" s="335"/>
    <row r="900" ht="14.25" customHeight="1" s="335"/>
    <row r="901" ht="14.25" customHeight="1" s="335"/>
    <row r="902" ht="14.25" customHeight="1" s="335"/>
    <row r="903" ht="14.25" customHeight="1" s="335"/>
    <row r="904" ht="14.25" customHeight="1" s="335"/>
    <row r="905" ht="14.25" customHeight="1" s="335"/>
    <row r="906" ht="14.25" customHeight="1" s="335"/>
    <row r="907" ht="14.25" customHeight="1" s="335"/>
    <row r="908" ht="14.25" customHeight="1" s="335"/>
    <row r="909" ht="14.25" customHeight="1" s="335"/>
    <row r="910" ht="14.25" customHeight="1" s="335"/>
    <row r="911" ht="14.25" customHeight="1" s="335"/>
    <row r="912" ht="14.25" customHeight="1" s="335"/>
    <row r="913" ht="14.25" customHeight="1" s="335"/>
    <row r="914" ht="14.25" customHeight="1" s="335"/>
    <row r="915" ht="14.25" customHeight="1" s="335"/>
    <row r="916" ht="14.25" customHeight="1" s="335"/>
    <row r="917" ht="14.25" customHeight="1" s="335"/>
    <row r="918" ht="14.25" customHeight="1" s="335"/>
    <row r="919" ht="14.25" customHeight="1" s="335"/>
    <row r="920" ht="14.25" customHeight="1" s="335"/>
    <row r="921" ht="14.25" customHeight="1" s="335"/>
    <row r="922" ht="14.25" customHeight="1" s="335"/>
    <row r="923" ht="14.25" customHeight="1" s="335"/>
    <row r="924" ht="14.25" customHeight="1" s="335"/>
    <row r="925" ht="14.25" customHeight="1" s="335"/>
    <row r="926" ht="14.25" customHeight="1" s="335"/>
    <row r="927" ht="14.25" customHeight="1" s="335"/>
    <row r="928" ht="14.25" customHeight="1" s="335"/>
    <row r="929" ht="14.25" customHeight="1" s="335"/>
    <row r="930" ht="14.25" customHeight="1" s="335"/>
    <row r="931" ht="14.25" customHeight="1" s="335"/>
    <row r="932" ht="14.25" customHeight="1" s="335"/>
    <row r="933" ht="14.25" customHeight="1" s="335"/>
    <row r="934" ht="14.25" customHeight="1" s="335"/>
    <row r="935" ht="14.25" customHeight="1" s="335"/>
    <row r="936" ht="14.25" customHeight="1" s="335"/>
    <row r="937" ht="14.25" customHeight="1" s="335"/>
    <row r="938" ht="14.25" customHeight="1" s="335"/>
    <row r="939" ht="14.25" customHeight="1" s="335"/>
    <row r="940" ht="14.25" customHeight="1" s="335"/>
    <row r="941" ht="14.25" customHeight="1" s="335"/>
    <row r="942" ht="14.25" customHeight="1" s="335"/>
    <row r="943" ht="14.25" customHeight="1" s="335"/>
    <row r="944" ht="14.25" customHeight="1" s="335"/>
    <row r="945" ht="14.25" customHeight="1" s="335"/>
    <row r="946" ht="14.25" customHeight="1" s="335"/>
    <row r="947" ht="14.25" customHeight="1" s="335"/>
    <row r="948" ht="14.25" customHeight="1" s="335"/>
    <row r="949" ht="14.25" customHeight="1" s="335"/>
    <row r="950" ht="14.25" customHeight="1" s="335"/>
    <row r="951" ht="14.25" customHeight="1" s="335"/>
    <row r="952" ht="14.25" customHeight="1" s="335"/>
    <row r="953" ht="14.25" customHeight="1" s="335"/>
    <row r="954" ht="14.25" customHeight="1" s="335"/>
    <row r="955" ht="14.25" customHeight="1" s="335"/>
    <row r="956" ht="14.25" customHeight="1" s="335"/>
    <row r="957" ht="14.25" customHeight="1" s="335"/>
    <row r="958" ht="14.25" customHeight="1" s="335"/>
    <row r="959" ht="14.25" customHeight="1" s="335"/>
    <row r="960" ht="14.25" customHeight="1" s="335"/>
    <row r="961" ht="14.25" customHeight="1" s="335"/>
    <row r="962" ht="14.25" customHeight="1" s="335"/>
    <row r="963" ht="14.25" customHeight="1" s="335"/>
    <row r="964" ht="14.25" customHeight="1" s="335"/>
    <row r="965" ht="14.25" customHeight="1" s="335"/>
    <row r="966" ht="14.25" customHeight="1" s="335"/>
    <row r="967" ht="14.25" customHeight="1" s="335"/>
    <row r="968" ht="14.25" customHeight="1" s="335"/>
    <row r="969" ht="14.25" customHeight="1" s="335"/>
    <row r="970" ht="14.25" customHeight="1" s="335"/>
    <row r="971" ht="14.25" customHeight="1" s="335"/>
    <row r="972" ht="14.25" customHeight="1" s="335"/>
    <row r="973" ht="14.25" customHeight="1" s="335"/>
    <row r="974" ht="14.25" customHeight="1" s="335"/>
    <row r="975" ht="14.25" customHeight="1" s="335"/>
    <row r="976" ht="14.25" customHeight="1" s="335"/>
    <row r="977" ht="14.25" customHeight="1" s="335"/>
    <row r="978" ht="14.25" customHeight="1" s="335"/>
    <row r="979" ht="14.25" customHeight="1" s="335"/>
    <row r="980" ht="14.25" customHeight="1" s="335"/>
    <row r="981" ht="14.25" customHeight="1" s="335"/>
    <row r="982" ht="14.25" customHeight="1" s="335"/>
    <row r="983" ht="14.25" customHeight="1" s="335"/>
    <row r="984" ht="14.25" customHeight="1" s="335"/>
    <row r="985" ht="14.25" customHeight="1" s="335"/>
    <row r="986" ht="14.25" customHeight="1" s="335"/>
    <row r="987" ht="14.25" customHeight="1" s="335"/>
    <row r="988" ht="14.25" customHeight="1" s="335"/>
    <row r="989" ht="14.25" customHeight="1" s="335"/>
    <row r="990" ht="14.25" customHeight="1" s="335"/>
    <row r="991" ht="14.25" customHeight="1" s="335"/>
    <row r="992" ht="14.25" customHeight="1" s="335"/>
    <row r="993" ht="14.25" customHeight="1" s="335"/>
    <row r="994" ht="14.25" customHeight="1" s="335"/>
    <row r="995" ht="14.25" customHeight="1" s="335"/>
    <row r="996" ht="14.25" customHeight="1" s="335"/>
    <row r="997" ht="14.25" customHeight="1" s="335"/>
    <row r="998" ht="14.25" customHeight="1" s="335"/>
    <row r="999" ht="14.25" customHeight="1" s="335"/>
    <row r="1000" ht="14.25" customHeight="1" s="335"/>
  </sheetData>
  <autoFilter ref="B1:B1000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3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36" customWidth="1" style="334" min="1" max="1"/>
    <col width="18" customWidth="1" style="334" min="2" max="2"/>
    <col width="32" customWidth="1" style="334" min="3" max="3"/>
    <col width="28" customWidth="1" style="334" min="4" max="5"/>
    <col width="8" customWidth="1" style="334" min="6" max="6"/>
    <col width="34" customWidth="1" style="334" min="7" max="7"/>
    <col width="30" customWidth="1" style="334" min="8" max="8"/>
    <col width="42" customWidth="1" style="334" min="9" max="9"/>
    <col width="14" customWidth="1" style="334" min="10" max="26"/>
  </cols>
  <sheetData>
    <row r="1" ht="14.25" customHeight="1" s="335">
      <c r="A1" s="384" t="inlineStr">
        <is>
          <t>Key_Lookup</t>
        </is>
      </c>
      <c r="B1" s="384" t="inlineStr">
        <is>
          <t>Source (Schema Nguồn)</t>
        </is>
      </c>
      <c r="C1" s="384" t="inlineStr">
        <is>
          <t>Tables (Bảng Nguồn)</t>
        </is>
      </c>
      <c r="D1" s="384" t="inlineStr">
        <is>
          <t>Column (Cột Nguồn)</t>
        </is>
      </c>
      <c r="E1" s="384" t="inlineStr">
        <is>
          <t>DESCRIPTION</t>
        </is>
      </c>
      <c r="F1" s="384" t="inlineStr">
        <is>
          <t>USED</t>
        </is>
      </c>
      <c r="G1" s="384" t="inlineStr">
        <is>
          <t>ENTITY</t>
        </is>
      </c>
      <c r="H1" s="384" t="inlineStr">
        <is>
          <t>ATTRIBUTE</t>
        </is>
      </c>
      <c r="I1" s="384" t="inlineStr">
        <is>
          <t>Note</t>
        </is>
      </c>
      <c r="J1" s="384" t="inlineStr">
        <is>
          <t>Update Date</t>
        </is>
      </c>
      <c r="K1" s="413" t="inlineStr">
        <is>
          <t>Transform (SRC -&gt; Bronze)</t>
        </is>
      </c>
      <c r="L1" s="413" t="inlineStr">
        <is>
          <t>Schema Đích Bronze</t>
        </is>
      </c>
      <c r="M1" s="413" t="inlineStr">
        <is>
          <t>Bảng Đích Bronze</t>
        </is>
      </c>
      <c r="N1" s="413" t="inlineStr">
        <is>
          <t>Cột Đích Bronze</t>
        </is>
      </c>
      <c r="O1" s="413" t="inlineStr">
        <is>
          <t>Kiểu Dữ Liệu Bronze</t>
        </is>
      </c>
      <c r="P1" s="413" t="inlineStr">
        <is>
          <t>Độ Dài</t>
        </is>
      </c>
      <c r="Q1" s="413" t="inlineStr">
        <is>
          <t>DDL Comment Bronze</t>
        </is>
      </c>
      <c r="R1" s="413" t="inlineStr">
        <is>
          <t>Ghi Chú Mapping 1:1 Bronze</t>
        </is>
      </c>
    </row>
    <row r="2" ht="14.25" customHeight="1" s="335">
      <c r="A2" s="412">
        <f>B2&amp;C2&amp;D2</f>
        <v/>
      </c>
      <c r="B2" s="412" t="inlineStr">
        <is>
          <t>EBANKING</t>
        </is>
      </c>
      <c r="C2" s="412" t="inlineStr">
        <is>
          <t>COL_UDF_VALUE@PGDB</t>
        </is>
      </c>
      <c r="D2" s="412" t="inlineStr">
        <is>
          <t>COL_REF</t>
        </is>
      </c>
      <c r="E2" s="412" t="inlineStr">
        <is>
          <t>Cột Tham chiếu</t>
        </is>
      </c>
      <c r="F2" s="410" t="inlineStr">
        <is>
          <t>X</t>
        </is>
      </c>
      <c r="G2" s="412" t="inlineStr">
        <is>
          <t>Loan Arrangement Profile / CUST_INFO_DAILY</t>
        </is>
      </c>
      <c r="H2" s="412" t="inlineStr">
        <is>
          <t>Arrangement Code/ Arrangement ID</t>
        </is>
      </c>
      <c r="I2" s="412" t="inlineStr">
        <is>
          <t>FUNCTION_CODE = 'CONTRACT_INFOR' thì join qua LD_ để lấy RECID, FUNCTION_CODE = 'LIMIT_INFOR' thì join qua LIMIT lấy RECID, bảng chỉ lọc lấy UDF ID = 'NHANNO_BATBUOC'</t>
        </is>
      </c>
      <c r="J2" s="419" t="inlineStr">
        <is>
          <t>2025-11-26</t>
        </is>
      </c>
      <c r="K2" s="385" t="inlineStr">
        <is>
          <t>1:1</t>
        </is>
      </c>
      <c r="L2" s="385" t="inlineStr">
        <is>
          <t>PG_BRONZE</t>
        </is>
      </c>
      <c r="M2" s="386" t="inlineStr">
        <is>
          <t>EBANKING_COL_UDF_VALUE</t>
        </is>
      </c>
      <c r="N2" s="386" t="inlineStr">
        <is>
          <t>COL_REF</t>
        </is>
      </c>
      <c r="O2" s="385" t="inlineStr">
        <is>
          <t>VARCHAR2</t>
        </is>
      </c>
      <c r="P2" s="420" t="n">
        <v>100</v>
      </c>
      <c r="Q2" s="386">
        <f>"COMMENT ON COLUMN "&amp;L2&amp;"."&amp;M2&amp;"."&amp;N2&amp;" IS '"&amp;E2&amp;"';"</f>
        <v/>
      </c>
      <c r="R2" s="414" t="inlineStr">
        <is>
          <t>Map 1:1 nguyên bản từ EBANKING.COL_UDF_VALUE@PGDB.COL_REF -&gt; PG_BRONZE.EBANKING_COL_UDF_VALUE.COL_REF</t>
        </is>
      </c>
    </row>
    <row r="3" ht="14.25" customHeight="1" s="335">
      <c r="A3" s="412">
        <f>B3&amp;C3&amp;D3</f>
        <v/>
      </c>
      <c r="B3" s="412" t="inlineStr">
        <is>
          <t>EBANKING</t>
        </is>
      </c>
      <c r="C3" s="412" t="inlineStr">
        <is>
          <t>COL_UDF_VALUE@PGDB</t>
        </is>
      </c>
      <c r="D3" s="412" t="inlineStr">
        <is>
          <t>FUNCTION_CODE</t>
        </is>
      </c>
      <c r="E3" s="412" t="inlineStr">
        <is>
          <t>Mã chức năng</t>
        </is>
      </c>
      <c r="F3" s="410" t="inlineStr">
        <is>
          <t>X</t>
        </is>
      </c>
      <c r="G3" s="412" t="inlineStr">
        <is>
          <t>Loan Arrangement Profile / CUST_INFO_DAILY</t>
        </is>
      </c>
      <c r="H3" s="412" t="inlineStr">
        <is>
          <t>Function Code</t>
        </is>
      </c>
      <c r="I3" s="412" t="inlineStr">
        <is>
          <t>Map 1:1 từ EBANKING.COL_UDF_VALUE@PGDB.FUNCTION_CODE sang PG_BRONZE.EBANKING_COL_UDF_VALUE.FUNCTION_CODE</t>
        </is>
      </c>
      <c r="J3" s="410" t="inlineStr">
        <is>
          <t>2025-11-26</t>
        </is>
      </c>
      <c r="K3" s="385" t="inlineStr">
        <is>
          <t>1:1</t>
        </is>
      </c>
      <c r="L3" s="385" t="inlineStr">
        <is>
          <t>PG_BRONZE</t>
        </is>
      </c>
      <c r="M3" s="386" t="inlineStr">
        <is>
          <t>EBANKING_COL_UDF_VALUE</t>
        </is>
      </c>
      <c r="N3" s="386" t="inlineStr">
        <is>
          <t>FUNCTION_CODE</t>
        </is>
      </c>
      <c r="O3" s="385" t="inlineStr">
        <is>
          <t>VARCHAR2</t>
        </is>
      </c>
      <c r="P3" s="420" t="n">
        <v>100</v>
      </c>
      <c r="Q3" s="386">
        <f>"COMMENT ON COLUMN "&amp;L3&amp;"."&amp;M3&amp;"."&amp;N3&amp;" IS '"&amp;E3&amp;"';"</f>
        <v/>
      </c>
      <c r="R3" s="414" t="inlineStr">
        <is>
          <t>Map 1:1 nguyên bản từ EBANKING.COL_UDF_VALUE@PGDB.FUNCTION_CODE -&gt; PG_BRONZE.EBANKING_COL_UDF_VALUE.FUNCTION_CODE</t>
        </is>
      </c>
    </row>
    <row r="4" ht="14.25" customHeight="1" s="335">
      <c r="A4" s="412">
        <f>B4&amp;C4&amp;D4</f>
        <v/>
      </c>
      <c r="B4" s="412" t="inlineStr">
        <is>
          <t>EBANKING</t>
        </is>
      </c>
      <c r="C4" s="412" t="inlineStr">
        <is>
          <t>COL_UDF_VALUE@PGDB</t>
        </is>
      </c>
      <c r="D4" s="412" t="inlineStr">
        <is>
          <t>UDF_VALUE</t>
        </is>
      </c>
      <c r="E4" s="412" t="inlineStr">
        <is>
          <t>Giá trị UDF</t>
        </is>
      </c>
      <c r="F4" s="410" t="inlineStr">
        <is>
          <t>X</t>
        </is>
      </c>
      <c r="G4" s="412" t="inlineStr">
        <is>
          <t>Loan Arrangement Profile / CUST_INFO_DAILY</t>
        </is>
      </c>
      <c r="H4" s="412" t="inlineStr">
        <is>
          <t>Mandatory Repayment</t>
        </is>
      </c>
      <c r="I4" s="412" t="inlineStr">
        <is>
          <t>Map 1:1 từ EBANKING.COL_UDF_VALUE@PGDB.UDF_VALUE sang PG_BRONZE.EBANKING_COL_UDF_VALUE.UDF_VALUE</t>
        </is>
      </c>
      <c r="J4" s="419" t="inlineStr">
        <is>
          <t>2025-11-26</t>
        </is>
      </c>
      <c r="K4" s="385" t="inlineStr">
        <is>
          <t>1:1</t>
        </is>
      </c>
      <c r="L4" s="385" t="inlineStr">
        <is>
          <t>PG_BRONZE</t>
        </is>
      </c>
      <c r="M4" s="386" t="inlineStr">
        <is>
          <t>EBANKING_COL_UDF_VALUE</t>
        </is>
      </c>
      <c r="N4" s="386" t="inlineStr">
        <is>
          <t>UDF_VALUE</t>
        </is>
      </c>
      <c r="O4" s="385" t="inlineStr">
        <is>
          <t>VARCHAR2</t>
        </is>
      </c>
      <c r="P4" s="420" t="n">
        <v>100</v>
      </c>
      <c r="Q4" s="386">
        <f>"COMMENT ON COLUMN "&amp;L4&amp;"."&amp;M4&amp;"."&amp;N4&amp;" IS '"&amp;E4&amp;"';"</f>
        <v/>
      </c>
      <c r="R4" s="414" t="inlineStr">
        <is>
          <t>Map 1:1 nguyên bản từ EBANKING.COL_UDF_VALUE@PGDB.UDF_VALUE -&gt; PG_BRONZE.EBANKING_COL_UDF_VALUE.UDF_VALUE</t>
        </is>
      </c>
    </row>
    <row r="5" ht="14.25" customHeight="1" s="335">
      <c r="A5" s="412">
        <f>B5&amp;C5&amp;D5</f>
        <v/>
      </c>
      <c r="B5" s="412" t="inlineStr">
        <is>
          <t>EBANKING</t>
        </is>
      </c>
      <c r="C5" s="412" t="inlineStr">
        <is>
          <t>COL_UDF_VALUE@PGDB</t>
        </is>
      </c>
      <c r="D5" s="412" t="inlineStr">
        <is>
          <t>UDF_ID</t>
        </is>
      </c>
      <c r="E5" s="412" t="inlineStr">
        <is>
          <t>Mã UDF</t>
        </is>
      </c>
      <c r="F5" s="410" t="inlineStr">
        <is>
          <t>X</t>
        </is>
      </c>
      <c r="G5" s="412" t="inlineStr">
        <is>
          <t>Loan Arrangement Profile</t>
        </is>
      </c>
      <c r="H5" s="412" t="inlineStr">
        <is>
          <t>Udf Id</t>
        </is>
      </c>
      <c r="I5" s="412" t="inlineStr">
        <is>
          <t>Map 1:1 từ EBANKING.COL_UDF_VALUE@PGDB.UDF_ID sang PG_BRONZE.EBANKING_COL_UDF_VALUE.UDF_ID</t>
        </is>
      </c>
      <c r="J5" s="410" t="inlineStr">
        <is>
          <t>2025-11-26</t>
        </is>
      </c>
      <c r="K5" s="385" t="inlineStr">
        <is>
          <t>1:1</t>
        </is>
      </c>
      <c r="L5" s="385" t="inlineStr">
        <is>
          <t>PG_BRONZE</t>
        </is>
      </c>
      <c r="M5" s="386" t="inlineStr">
        <is>
          <t>EBANKING_COL_UDF_VALUE</t>
        </is>
      </c>
      <c r="N5" s="386" t="inlineStr">
        <is>
          <t>UDF_ID</t>
        </is>
      </c>
      <c r="O5" s="385" t="inlineStr">
        <is>
          <t>VARCHAR2</t>
        </is>
      </c>
      <c r="P5" s="420" t="n">
        <v>100</v>
      </c>
      <c r="Q5" s="386">
        <f>"COMMENT ON COLUMN "&amp;L5&amp;"."&amp;M5&amp;"."&amp;N5&amp;" IS '"&amp;E5&amp;"';"</f>
        <v/>
      </c>
      <c r="R5" s="414" t="inlineStr">
        <is>
          <t>Map 1:1 nguyên bản từ EBANKING.COL_UDF_VALUE@PGDB.UDF_ID -&gt; PG_BRONZE.EBANKING_COL_UDF_VALUE.UDF_ID</t>
        </is>
      </c>
    </row>
    <row r="6" ht="14.25" customHeight="1" s="335">
      <c r="A6" s="412">
        <f>B6&amp;C6&amp;D6</f>
        <v/>
      </c>
      <c r="B6" s="412" t="inlineStr">
        <is>
          <t>FLEXBO</t>
        </is>
      </c>
      <c r="C6" s="412" t="inlineStr">
        <is>
          <t>PGB_CONTRACT_UDF_MAP</t>
        </is>
      </c>
      <c r="D6" s="412" t="inlineStr">
        <is>
          <t>CONTRACT_REF_NO</t>
        </is>
      </c>
      <c r="E6" s="412" t="inlineStr">
        <is>
          <t>Mã HĐ tham chiếu</t>
        </is>
      </c>
      <c r="F6" s="410" t="inlineStr">
        <is>
          <t>X</t>
        </is>
      </c>
      <c r="G6" s="412" t="inlineStr">
        <is>
          <t>Loan Arrangement Profile / CUST_INFO_DAILY</t>
        </is>
      </c>
      <c r="H6" s="412" t="inlineStr">
        <is>
          <t>Arrangement Code/ Arrangement ID</t>
        </is>
      </c>
      <c r="I6" s="412" t="inlineStr">
        <is>
          <t>Map 1:1 từ FLEXBO.PGB_CONTRACT_UDF_MAP.CONTRACT_REF_NO sang PG_BRONZE.FLEXBO_PGB_CONTRACT_UDF_MAP.CONTRACT_REF_NO</t>
        </is>
      </c>
      <c r="J6" s="419" t="inlineStr">
        <is>
          <t>2025-11-26</t>
        </is>
      </c>
      <c r="K6" s="385" t="inlineStr">
        <is>
          <t>1:1</t>
        </is>
      </c>
      <c r="L6" s="385" t="inlineStr">
        <is>
          <t>PG_BRONZE</t>
        </is>
      </c>
      <c r="M6" s="386" t="inlineStr">
        <is>
          <t>FLEXBO_PGB_CONTRACT_UDF_MAP</t>
        </is>
      </c>
      <c r="N6" s="386" t="inlineStr">
        <is>
          <t>CONTRACT_REF_NO</t>
        </is>
      </c>
      <c r="O6" s="385" t="inlineStr">
        <is>
          <t>VARCHAR2</t>
        </is>
      </c>
      <c r="P6" s="420" t="n">
        <v>100</v>
      </c>
      <c r="Q6" s="386">
        <f>"COMMENT ON COLUMN "&amp;L6&amp;"."&amp;M6&amp;"."&amp;N6&amp;" IS '"&amp;E6&amp;"';"</f>
        <v/>
      </c>
      <c r="R6" s="414" t="inlineStr">
        <is>
          <t>Map 1:1 nguyên bản từ FLEXBO.PGB_CONTRACT_UDF_MAP.CONTRACT_REF_NO -&gt; PG_BRONZE.FLEXBO_PGB_CONTRACT_UDF_MAP.CONTRACT_REF_NO</t>
        </is>
      </c>
    </row>
    <row r="7" ht="14.25" customHeight="1" s="335">
      <c r="A7" s="412">
        <f>B7&amp;C7&amp;D7</f>
        <v/>
      </c>
      <c r="B7" s="412" t="inlineStr">
        <is>
          <t>FLEXBO</t>
        </is>
      </c>
      <c r="C7" s="412" t="inlineStr">
        <is>
          <t>PGB_CONTRACT_UDF_MAP</t>
        </is>
      </c>
      <c r="D7" s="412" t="inlineStr">
        <is>
          <t>FIELD_NAME</t>
        </is>
      </c>
      <c r="E7" s="412" t="inlineStr">
        <is>
          <t>Tên trường</t>
        </is>
      </c>
      <c r="F7" s="410" t="inlineStr">
        <is>
          <t>X</t>
        </is>
      </c>
      <c r="G7" s="412" t="inlineStr">
        <is>
          <t>Loan Arrangement Profile / CUST_INFO_DAILY</t>
        </is>
      </c>
      <c r="H7" s="412" t="inlineStr">
        <is>
          <t>Field Name</t>
        </is>
      </c>
      <c r="I7" s="412" t="inlineStr">
        <is>
          <t>Map 1:1 từ FLEXBO.PGB_CONTRACT_UDF_MAP.FIELD_NAME sang PG_BRONZE.FLEXBO_PGB_CONTRACT_UDF_MAP.FIELD_NAME</t>
        </is>
      </c>
      <c r="J7" s="410" t="inlineStr">
        <is>
          <t>2025-11-26</t>
        </is>
      </c>
      <c r="K7" s="385" t="inlineStr">
        <is>
          <t>1:1</t>
        </is>
      </c>
      <c r="L7" s="385" t="inlineStr">
        <is>
          <t>PG_BRONZE</t>
        </is>
      </c>
      <c r="M7" s="386" t="inlineStr">
        <is>
          <t>FLEXBO_PGB_CONTRACT_UDF_MAP</t>
        </is>
      </c>
      <c r="N7" s="386" t="inlineStr">
        <is>
          <t>FIELD_NAME</t>
        </is>
      </c>
      <c r="O7" s="385" t="inlineStr">
        <is>
          <t>VARCHAR2</t>
        </is>
      </c>
      <c r="P7" s="420" t="n">
        <v>255</v>
      </c>
      <c r="Q7" s="386">
        <f>"COMMENT ON COLUMN "&amp;L7&amp;"."&amp;M7&amp;"."&amp;N7&amp;" IS '"&amp;E7&amp;"';"</f>
        <v/>
      </c>
      <c r="R7" s="414" t="inlineStr">
        <is>
          <t>Map 1:1 nguyên bản từ FLEXBO.PGB_CONTRACT_UDF_MAP.FIELD_NAME -&gt; PG_BRONZE.FLEXBO_PGB_CONTRACT_UDF_MAP.FIELD_NAME</t>
        </is>
      </c>
    </row>
    <row r="8" ht="14.25" customHeight="1" s="335">
      <c r="A8" s="412">
        <f>B8&amp;C8&amp;D8</f>
        <v/>
      </c>
      <c r="B8" s="412" t="inlineStr">
        <is>
          <t>FLEXBO</t>
        </is>
      </c>
      <c r="C8" s="412" t="inlineStr">
        <is>
          <t>PGB_CONTRACT_UDF_MAP</t>
        </is>
      </c>
      <c r="D8" s="412" t="inlineStr">
        <is>
          <t>FIELD_VAL</t>
        </is>
      </c>
      <c r="E8" s="412" t="inlineStr">
        <is>
          <t>Giá trị tương ứng với từng trường</t>
        </is>
      </c>
      <c r="F8" s="410" t="inlineStr">
        <is>
          <t>X</t>
        </is>
      </c>
      <c r="G8" s="412" t="inlineStr">
        <is>
          <t>Loan Arrangement Profile / CUST_INFO_DAILY</t>
        </is>
      </c>
      <c r="H8" s="412" t="inlineStr">
        <is>
          <t>Number of debt restructurings</t>
        </is>
      </c>
      <c r="I8" s="412" t="inlineStr">
        <is>
          <t>Map 1:1 từ FLEXBO.PGB_CONTRACT_UDF_MAP.FIELD_VAL sang PG_BRONZE.FLEXBO_PGB_CONTRACT_UDF_MAP.FIELD_VAL</t>
        </is>
      </c>
      <c r="J8" s="419" t="inlineStr">
        <is>
          <t>2025-11-26</t>
        </is>
      </c>
      <c r="K8" s="385" t="inlineStr">
        <is>
          <t>1:1</t>
        </is>
      </c>
      <c r="L8" s="385" t="inlineStr">
        <is>
          <t>PG_BRONZE</t>
        </is>
      </c>
      <c r="M8" s="386" t="inlineStr">
        <is>
          <t>FLEXBO_PGB_CONTRACT_UDF_MAP</t>
        </is>
      </c>
      <c r="N8" s="386" t="inlineStr">
        <is>
          <t>FIELD_VAL</t>
        </is>
      </c>
      <c r="O8" s="385" t="inlineStr">
        <is>
          <t>VARCHAR2</t>
        </is>
      </c>
      <c r="P8" s="420" t="n">
        <v>100</v>
      </c>
      <c r="Q8" s="386">
        <f>"COMMENT ON COLUMN "&amp;L8&amp;"."&amp;M8&amp;"."&amp;N8&amp;" IS '"&amp;E8&amp;"';"</f>
        <v/>
      </c>
      <c r="R8" s="414" t="inlineStr">
        <is>
          <t>Map 1:1 nguyên bản từ FLEXBO.PGB_CONTRACT_UDF_MAP.FIELD_VAL -&gt; PG_BRONZE.FLEXBO_PGB_CONTRACT_UDF_MAP.FIELD_VAL</t>
        </is>
      </c>
    </row>
    <row r="9" ht="14.25" customHeight="1" s="335">
      <c r="A9" s="412">
        <f>B9&amp;C9&amp;D9</f>
        <v/>
      </c>
      <c r="B9" s="412" t="inlineStr">
        <is>
          <t>FLEXBO</t>
        </is>
      </c>
      <c r="C9" s="412" t="inlineStr">
        <is>
          <t>PGB_LDTB_CONTRACT_MASTER</t>
        </is>
      </c>
      <c r="D9" s="412" t="inlineStr">
        <is>
          <t>BOOKING_DATE</t>
        </is>
      </c>
      <c r="E9" s="412" t="inlineStr">
        <is>
          <t>Ngày ghi nhận</t>
        </is>
      </c>
      <c r="F9" s="410" t="inlineStr">
        <is>
          <t>X</t>
        </is>
      </c>
      <c r="G9" s="412" t="inlineStr">
        <is>
          <t>Loan Arrangement / CUST_INFO_DAILY</t>
        </is>
      </c>
      <c r="H9" s="412" t="inlineStr">
        <is>
          <t>FCC Value Date</t>
        </is>
      </c>
      <c r="I9" s="412" t="inlineStr">
        <is>
          <t>Map 1:1 từ FLEXBO.PGB_LDTB_CONTRACT_MASTER.BOOKING_DATE sang PG_BRONZE.FLEXBO_PGB_LDTB_CONTRACT_MASTER.BOOKING_DATE</t>
        </is>
      </c>
      <c r="J9" s="419" t="inlineStr">
        <is>
          <t>2025-11-26</t>
        </is>
      </c>
      <c r="K9" s="385" t="inlineStr">
        <is>
          <t>1:1</t>
        </is>
      </c>
      <c r="L9" s="385" t="inlineStr">
        <is>
          <t>PG_BRONZE</t>
        </is>
      </c>
      <c r="M9" s="386" t="inlineStr">
        <is>
          <t>FLEXBO_PGB_LDTB_CONTRACT_MASTER</t>
        </is>
      </c>
      <c r="N9" s="386" t="inlineStr">
        <is>
          <t>BOOKING_DATE</t>
        </is>
      </c>
      <c r="O9" s="385" t="inlineStr">
        <is>
          <t>DATE</t>
        </is>
      </c>
      <c r="P9" s="420" t="n">
        <v>8</v>
      </c>
      <c r="Q9" s="386">
        <f>"COMMENT ON COLUMN "&amp;L9&amp;"."&amp;M9&amp;"."&amp;N9&amp;" IS '"&amp;E9&amp;"';"</f>
        <v/>
      </c>
      <c r="R9" s="414" t="inlineStr">
        <is>
          <t>Map 1:1 nguyên bản từ FLEXBO.PGB_LDTB_CONTRACT_MASTER.BOOKING_DATE -&gt; PG_BRONZE.FLEXBO_PGB_LDTB_CONTRACT_MASTER.BOOKING_DATE</t>
        </is>
      </c>
    </row>
    <row r="10" ht="14.25" customHeight="1" s="335">
      <c r="A10" s="412">
        <f>B10&amp;C10&amp;D10</f>
        <v/>
      </c>
      <c r="B10" s="412" t="inlineStr">
        <is>
          <t>FLEXBO</t>
        </is>
      </c>
      <c r="C10" s="412" t="inlineStr">
        <is>
          <t>PGB_LDTB_CONTRACT_MASTER</t>
        </is>
      </c>
      <c r="D10" s="412" t="inlineStr">
        <is>
          <t>CONTRACT_REF_NO</t>
        </is>
      </c>
      <c r="E10" s="412" t="inlineStr">
        <is>
          <t>Mã Hợp đồng</t>
        </is>
      </c>
      <c r="F10" s="410" t="inlineStr">
        <is>
          <t>X</t>
        </is>
      </c>
      <c r="G10" s="412" t="inlineStr">
        <is>
          <t>Loan Arrangement / CUST_INFO_DAILY</t>
        </is>
      </c>
      <c r="H10" s="412" t="inlineStr">
        <is>
          <t>Arrangement Code/ Arrangement ID</t>
        </is>
      </c>
      <c r="I10" s="412" t="inlineStr">
        <is>
          <t>Map 1:1 từ FLEXBO.PGB_LDTB_CONTRACT_MASTER.CONTRACT_REF_NO sang PG_BRONZE.FLEXBO_PGB_LDTB_CONTRACT_MASTER.CONTRACT_REF_NO</t>
        </is>
      </c>
      <c r="J10" s="419" t="inlineStr">
        <is>
          <t>2025-11-26</t>
        </is>
      </c>
      <c r="K10" s="385" t="inlineStr">
        <is>
          <t>1:1</t>
        </is>
      </c>
      <c r="L10" s="385" t="inlineStr">
        <is>
          <t>PG_BRONZE</t>
        </is>
      </c>
      <c r="M10" s="386" t="inlineStr">
        <is>
          <t>FLEXBO_PGB_LDTB_CONTRACT_MASTER</t>
        </is>
      </c>
      <c r="N10" s="386" t="inlineStr">
        <is>
          <t>CONTRACT_REF_NO</t>
        </is>
      </c>
      <c r="O10" s="385" t="inlineStr">
        <is>
          <t>VARCHAR2</t>
        </is>
      </c>
      <c r="P10" s="420" t="n">
        <v>100</v>
      </c>
      <c r="Q10" s="386">
        <f>"COMMENT ON COLUMN "&amp;L10&amp;"."&amp;M10&amp;"."&amp;N10&amp;" IS '"&amp;E10&amp;"';"</f>
        <v/>
      </c>
      <c r="R10" s="414" t="inlineStr">
        <is>
          <t>Map 1:1 nguyên bản từ FLEXBO.PGB_LDTB_CONTRACT_MASTER.CONTRACT_REF_NO -&gt; PG_BRONZE.FLEXBO_PGB_LDTB_CONTRACT_MASTER.CONTRACT_REF_NO</t>
        </is>
      </c>
    </row>
    <row r="11" ht="14.25" customHeight="1" s="335">
      <c r="A11" s="412">
        <f>B11&amp;C11&amp;D11</f>
        <v/>
      </c>
      <c r="B11" s="412" t="inlineStr">
        <is>
          <t>FLEXBO</t>
        </is>
      </c>
      <c r="C11" s="412" t="inlineStr">
        <is>
          <t>PGB_LDTB_CONTRACT_MASTER</t>
        </is>
      </c>
      <c r="D11" s="412" t="inlineStr">
        <is>
          <t>VERSION_NO</t>
        </is>
      </c>
      <c r="E11" s="412" t="inlineStr">
        <is>
          <t>Version của bản ghi</t>
        </is>
      </c>
      <c r="F11" s="410" t="inlineStr">
        <is>
          <t>X</t>
        </is>
      </c>
      <c r="G11" s="412" t="inlineStr">
        <is>
          <t>Loan Arrangement / CUST_INFO_DAILY</t>
        </is>
      </c>
      <c r="H11" s="412" t="inlineStr">
        <is>
          <t>Version No</t>
        </is>
      </c>
      <c r="I11" s="412" t="inlineStr">
        <is>
          <t>Map 1:1 từ FLEXBO.PGB_LDTB_CONTRACT_MASTER.VERSION_NO sang PG_BRONZE.FLEXBO_PGB_LDTB_CONTRACT_MASTER.VERSION_NO</t>
        </is>
      </c>
      <c r="J11" s="419" t="inlineStr">
        <is>
          <t>2025-11-26</t>
        </is>
      </c>
      <c r="K11" s="385" t="inlineStr">
        <is>
          <t>1:1</t>
        </is>
      </c>
      <c r="L11" s="385" t="inlineStr">
        <is>
          <t>PG_BRONZE</t>
        </is>
      </c>
      <c r="M11" s="386" t="inlineStr">
        <is>
          <t>FLEXBO_PGB_LDTB_CONTRACT_MASTER</t>
        </is>
      </c>
      <c r="N11" s="386" t="inlineStr">
        <is>
          <t>VERSION_NO</t>
        </is>
      </c>
      <c r="O11" s="385" t="inlineStr">
        <is>
          <t>NUMBER</t>
        </is>
      </c>
      <c r="P11" s="420" t="n">
        <v>10</v>
      </c>
      <c r="Q11" s="386">
        <f>"COMMENT ON COLUMN "&amp;L11&amp;"."&amp;M11&amp;"."&amp;N11&amp;" IS '"&amp;E11&amp;"';"</f>
        <v/>
      </c>
      <c r="R11" s="414" t="inlineStr">
        <is>
          <t>Map 1:1 nguyên bản từ FLEXBO.PGB_LDTB_CONTRACT_MASTER.VERSION_NO -&gt; PG_BRONZE.FLEXBO_PGB_LDTB_CONTRACT_MASTER.VERSION_NO</t>
        </is>
      </c>
    </row>
    <row r="12" ht="14.25" customHeight="1" s="335">
      <c r="A12" s="412">
        <f>B12&amp;C12&amp;D12</f>
        <v/>
      </c>
      <c r="B12" s="412" t="inlineStr">
        <is>
          <t>FLEXBO</t>
        </is>
      </c>
      <c r="C12" s="412" t="inlineStr">
        <is>
          <t>PGB_LOS_CONTRACT_FIELDS_TDATE</t>
        </is>
      </c>
      <c r="D12" s="412" t="inlineStr">
        <is>
          <t>CAN_BO_DE_XUAT_GN</t>
        </is>
      </c>
      <c r="E12" s="412" t="inlineStr">
        <is>
          <t>Cán bộ đề xuất giải ngân</t>
        </is>
      </c>
      <c r="F12" s="410" t="inlineStr">
        <is>
          <t>X</t>
        </is>
      </c>
      <c r="G12" s="412" t="inlineStr">
        <is>
          <t>Arrangement x Involved Party Relationship</t>
        </is>
      </c>
      <c r="H12" s="412" t="inlineStr">
        <is>
          <t>Disbursement proposal officer</t>
        </is>
      </c>
      <c r="I12" s="412" t="inlineStr">
        <is>
          <t>Map 1:1 từ FLEXBO.PGB_LOS_CONTRACT_FIELDS_TDATE.CAN_BO_DE_XUAT_GN sang PG_BRONZE.FLEXBO_PGB_LOS_CONTRACT_FIELDS_TDATE.CAN_BO_DE_XUAT_GN</t>
        </is>
      </c>
      <c r="J12" s="410" t="inlineStr">
        <is>
          <t>2025-11-26</t>
        </is>
      </c>
      <c r="K12" s="385" t="inlineStr">
        <is>
          <t>1:1</t>
        </is>
      </c>
      <c r="L12" s="385" t="inlineStr">
        <is>
          <t>PG_BRONZE</t>
        </is>
      </c>
      <c r="M12" s="386" t="inlineStr">
        <is>
          <t>FLEXBO_PGB_LOS_CONTRACT_FIELDS_TDATE</t>
        </is>
      </c>
      <c r="N12" s="386" t="inlineStr">
        <is>
          <t>CAN_BO_DE_XUAT_GN</t>
        </is>
      </c>
      <c r="O12" s="385" t="inlineStr">
        <is>
          <t>VARCHAR2</t>
        </is>
      </c>
      <c r="P12" s="420" t="n">
        <v>100</v>
      </c>
      <c r="Q12" s="386">
        <f>"COMMENT ON COLUMN "&amp;L12&amp;"."&amp;M12&amp;"."&amp;N12&amp;" IS '"&amp;E12&amp;"';"</f>
        <v/>
      </c>
      <c r="R12" s="414" t="inlineStr">
        <is>
          <t>Map 1:1 nguyên bản từ FLEXBO.PGB_LOS_CONTRACT_FIELDS_TDATE.CAN_BO_DE_XUAT_GN -&gt; PG_BRONZE.FLEXBO_PGB_LOS_CONTRACT_FIELDS_TDATE.CAN_BO_DE_XUAT_GN</t>
        </is>
      </c>
    </row>
    <row r="13" ht="14.25" customHeight="1" s="335">
      <c r="A13" s="412">
        <f>B13&amp;C13&amp;D13</f>
        <v/>
      </c>
      <c r="B13" s="412" t="inlineStr">
        <is>
          <t>FLEXBO</t>
        </is>
      </c>
      <c r="C13" s="412" t="inlineStr">
        <is>
          <t>PGB_LOS_CONTRACT_FIELDS_TDATE</t>
        </is>
      </c>
      <c r="D13" s="412" t="inlineStr">
        <is>
          <t>CAR_APPLICATION_CODE</t>
        </is>
      </c>
      <c r="E13" s="412" t="inlineStr">
        <is>
          <t>Mã hồ sơ đăng kí vay vốn</t>
        </is>
      </c>
      <c r="F13" s="410" t="inlineStr">
        <is>
          <t>X</t>
        </is>
      </c>
      <c r="G13" s="412" t="inlineStr">
        <is>
          <t>Loan Arrangement Profile / CUST_INFO_DAILY</t>
        </is>
      </c>
      <c r="H13" s="412" t="inlineStr">
        <is>
          <t>LOS Application Code</t>
        </is>
      </c>
      <c r="I13" s="412" t="inlineStr">
        <is>
          <t>Map 1:1 từ FLEXBO.PGB_LOS_CONTRACT_FIELDS_TDATE.CAR_APPLICATION_CODE sang PG_BRONZE.FLEXBO_PGB_LOS_CONTRACT_FIELDS_TDATE.CAR_APPLICATION_CODE</t>
        </is>
      </c>
      <c r="J13" s="419" t="inlineStr">
        <is>
          <t>2025-11-26</t>
        </is>
      </c>
      <c r="K13" s="385" t="inlineStr">
        <is>
          <t>1:1</t>
        </is>
      </c>
      <c r="L13" s="385" t="inlineStr">
        <is>
          <t>PG_BRONZE</t>
        </is>
      </c>
      <c r="M13" s="386" t="inlineStr">
        <is>
          <t>FLEXBO_PGB_LOS_CONTRACT_FIELDS_TDATE</t>
        </is>
      </c>
      <c r="N13" s="386" t="inlineStr">
        <is>
          <t>CAR_APPLICATION_CODE</t>
        </is>
      </c>
      <c r="O13" s="385" t="inlineStr">
        <is>
          <t>VARCHAR2</t>
        </is>
      </c>
      <c r="P13" s="420" t="n">
        <v>100</v>
      </c>
      <c r="Q13" s="386">
        <f>"COMMENT ON COLUMN "&amp;L13&amp;"."&amp;M13&amp;"."&amp;N13&amp;" IS '"&amp;E13&amp;"';"</f>
        <v/>
      </c>
      <c r="R13" s="414" t="inlineStr">
        <is>
          <t>Map 1:1 nguyên bản từ FLEXBO.PGB_LOS_CONTRACT_FIELDS_TDATE.CAR_APPLICATION_CODE -&gt; PG_BRONZE.FLEXBO_PGB_LOS_CONTRACT_FIELDS_TDATE.CAR_APPLICATION_CODE</t>
        </is>
      </c>
    </row>
    <row r="14" ht="14.25" customHeight="1" s="335">
      <c r="A14" s="412">
        <f>B14&amp;C14&amp;D14</f>
        <v/>
      </c>
      <c r="B14" s="412" t="inlineStr">
        <is>
          <t>FLEXBO</t>
        </is>
      </c>
      <c r="C14" s="412" t="inlineStr">
        <is>
          <t>PGB_LOS_CONTRACT_FIELDS_TDATE</t>
        </is>
      </c>
      <c r="D14" s="412" t="inlineStr">
        <is>
          <t>CONTRACT_REF_NO</t>
        </is>
      </c>
      <c r="E14" s="412" t="inlineStr">
        <is>
          <t>Mã hợp đồng giải ngân</t>
        </is>
      </c>
      <c r="F14" s="410" t="inlineStr">
        <is>
          <t>X</t>
        </is>
      </c>
      <c r="G14" s="412" t="inlineStr">
        <is>
          <t>Loan Arrangement Profile / CUST_INFO_DAILY</t>
        </is>
      </c>
      <c r="H14" s="412" t="inlineStr">
        <is>
          <t>Arrangement Code/ Arrangement ID</t>
        </is>
      </c>
      <c r="I14" s="412" t="inlineStr">
        <is>
          <t>Map 1:1 từ FLEXBO.PGB_LOS_CONTRACT_FIELDS_TDATE.CONTRACT_REF_NO sang PG_BRONZE.FLEXBO_PGB_LOS_CONTRACT_FIELDS_TDATE.CONTRACT_REF_NO</t>
        </is>
      </c>
      <c r="J14" s="419" t="inlineStr">
        <is>
          <t>2025-11-26</t>
        </is>
      </c>
      <c r="K14" s="385" t="inlineStr">
        <is>
          <t>1:1</t>
        </is>
      </c>
      <c r="L14" s="385" t="inlineStr">
        <is>
          <t>PG_BRONZE</t>
        </is>
      </c>
      <c r="M14" s="386" t="inlineStr">
        <is>
          <t>FLEXBO_PGB_LOS_CONTRACT_FIELDS_TDATE</t>
        </is>
      </c>
      <c r="N14" s="386" t="inlineStr">
        <is>
          <t>CONTRACT_REF_NO</t>
        </is>
      </c>
      <c r="O14" s="385" t="inlineStr">
        <is>
          <t>VARCHAR2</t>
        </is>
      </c>
      <c r="P14" s="420" t="n">
        <v>100</v>
      </c>
      <c r="Q14" s="386">
        <f>"COMMENT ON COLUMN "&amp;L14&amp;"."&amp;M14&amp;"."&amp;N14&amp;" IS '"&amp;E14&amp;"';"</f>
        <v/>
      </c>
      <c r="R14" s="414" t="inlineStr">
        <is>
          <t>Map 1:1 nguyên bản từ FLEXBO.PGB_LOS_CONTRACT_FIELDS_TDATE.CONTRACT_REF_NO -&gt; PG_BRONZE.FLEXBO_PGB_LOS_CONTRACT_FIELDS_TDATE.CONTRACT_REF_NO</t>
        </is>
      </c>
    </row>
    <row r="15" ht="14.25" customHeight="1" s="335">
      <c r="A15" s="412">
        <f>B15&amp;C15&amp;D15</f>
        <v/>
      </c>
      <c r="B15" s="412" t="inlineStr">
        <is>
          <t>FLEXBO</t>
        </is>
      </c>
      <c r="C15" s="412" t="inlineStr">
        <is>
          <t>PGB_LOS_CONTRACT_FIELDS_TDATE</t>
        </is>
      </c>
      <c r="D15" s="412" t="inlineStr">
        <is>
          <t>LOS_CONTRACT_CODE</t>
        </is>
      </c>
      <c r="E15" s="412" t="inlineStr">
        <is>
          <t>mã hợp đồng vay</t>
        </is>
      </c>
      <c r="F15" s="410" t="inlineStr">
        <is>
          <t>X</t>
        </is>
      </c>
      <c r="G15" s="412" t="inlineStr">
        <is>
          <t>Loan Arrangement Profile / CUST_INFO_DAILY</t>
        </is>
      </c>
      <c r="H15" s="412" t="inlineStr">
        <is>
          <t>LOS Contract Code</t>
        </is>
      </c>
      <c r="I15" s="412" t="inlineStr">
        <is>
          <t>Map 1:1 từ FLEXBO.PGB_LOS_CONTRACT_FIELDS_TDATE.LOS_CONTRACT_CODE sang PG_BRONZE.FLEXBO_PGB_LOS_CONTRACT_FIELDS_TDATE.LOS_CONTRACT_CODE</t>
        </is>
      </c>
      <c r="J15" s="419" t="inlineStr">
        <is>
          <t>2025-11-26</t>
        </is>
      </c>
      <c r="K15" s="385" t="inlineStr">
        <is>
          <t>1:1</t>
        </is>
      </c>
      <c r="L15" s="385" t="inlineStr">
        <is>
          <t>PG_BRONZE</t>
        </is>
      </c>
      <c r="M15" s="386" t="inlineStr">
        <is>
          <t>FLEXBO_PGB_LOS_CONTRACT_FIELDS_TDATE</t>
        </is>
      </c>
      <c r="N15" s="386" t="inlineStr">
        <is>
          <t>LOS_CONTRACT_CODE</t>
        </is>
      </c>
      <c r="O15" s="385" t="inlineStr">
        <is>
          <t>VARCHAR2</t>
        </is>
      </c>
      <c r="P15" s="420" t="n">
        <v>100</v>
      </c>
      <c r="Q15" s="386">
        <f>"COMMENT ON COLUMN "&amp;L15&amp;"."&amp;M15&amp;"."&amp;N15&amp;" IS '"&amp;E15&amp;"';"</f>
        <v/>
      </c>
      <c r="R15" s="414" t="inlineStr">
        <is>
          <t>Map 1:1 nguyên bản từ FLEXBO.PGB_LOS_CONTRACT_FIELDS_TDATE.LOS_CONTRACT_CODE -&gt; PG_BRONZE.FLEXBO_PGB_LOS_CONTRACT_FIELDS_TDATE.LOS_CONTRACT_CODE</t>
        </is>
      </c>
    </row>
    <row r="16" ht="14.25" customHeight="1" s="335">
      <c r="A16" s="412">
        <f>B16&amp;C16&amp;D16</f>
        <v/>
      </c>
      <c r="B16" s="412" t="inlineStr">
        <is>
          <t>FLEXBO</t>
        </is>
      </c>
      <c r="C16" s="412" t="inlineStr">
        <is>
          <t>PGB_LOS_CONTRACT_FIELDS_TDATE</t>
        </is>
      </c>
      <c r="D16" s="412" t="inlineStr">
        <is>
          <t>LOS_CONTRACT_ID</t>
        </is>
      </c>
      <c r="E16" s="412" t="inlineStr">
        <is>
          <t>mã hồ sơ trên LOS</t>
        </is>
      </c>
      <c r="F16" s="410" t="inlineStr">
        <is>
          <t>X</t>
        </is>
      </c>
      <c r="G16" s="412" t="inlineStr">
        <is>
          <t>Loan Arrangement Profile</t>
        </is>
      </c>
      <c r="H16" s="412" t="inlineStr">
        <is>
          <t>LOS Contract ID</t>
        </is>
      </c>
      <c r="I16" s="412" t="inlineStr">
        <is>
          <t>Map 1:1 từ FLEXBO.PGB_LOS_CONTRACT_FIELDS_TDATE.LOS_CONTRACT_ID sang PG_BRONZE.FLEXBO_PGB_LOS_CONTRACT_FIELDS_TDATE.LOS_CONTRACT_ID</t>
        </is>
      </c>
      <c r="J16" s="419" t="inlineStr">
        <is>
          <t>2025-11-26</t>
        </is>
      </c>
      <c r="K16" s="385" t="inlineStr">
        <is>
          <t>1:1</t>
        </is>
      </c>
      <c r="L16" s="385" t="inlineStr">
        <is>
          <t>PG_BRONZE</t>
        </is>
      </c>
      <c r="M16" s="386" t="inlineStr">
        <is>
          <t>FLEXBO_PGB_LOS_CONTRACT_FIELDS_TDATE</t>
        </is>
      </c>
      <c r="N16" s="386" t="inlineStr">
        <is>
          <t>LOS_CONTRACT_ID</t>
        </is>
      </c>
      <c r="O16" s="385" t="inlineStr">
        <is>
          <t>VARCHAR2</t>
        </is>
      </c>
      <c r="P16" s="420" t="n">
        <v>100</v>
      </c>
      <c r="Q16" s="386">
        <f>"COMMENT ON COLUMN "&amp;L16&amp;"."&amp;M16&amp;"."&amp;N16&amp;" IS '"&amp;E16&amp;"';"</f>
        <v/>
      </c>
      <c r="R16" s="414" t="inlineStr">
        <is>
          <t>Map 1:1 nguyên bản từ FLEXBO.PGB_LOS_CONTRACT_FIELDS_TDATE.LOS_CONTRACT_ID -&gt; PG_BRONZE.FLEXBO_PGB_LOS_CONTRACT_FIELDS_TDATE.LOS_CONTRACT_ID</t>
        </is>
      </c>
    </row>
    <row r="17" ht="14.25" customHeight="1" s="335">
      <c r="A17" s="412">
        <f>B17&amp;C17&amp;D17</f>
        <v/>
      </c>
      <c r="B17" s="412" t="inlineStr">
        <is>
          <t>FLEXBO</t>
        </is>
      </c>
      <c r="C17" s="412" t="inlineStr">
        <is>
          <t>PGB_LOS_CONTRACT_FIELDS_TDATE</t>
        </is>
      </c>
      <c r="D17" s="412" t="inlineStr">
        <is>
          <t>MDVAY_NKT</t>
        </is>
      </c>
      <c r="E17" s="412" t="inlineStr">
        <is>
          <t>Mục đích vay theo ngành kinh tế</t>
        </is>
      </c>
      <c r="F17" s="410" t="inlineStr">
        <is>
          <t>X</t>
        </is>
      </c>
      <c r="G17" s="412" t="inlineStr">
        <is>
          <t>Loan Arrangement Profile / CUST_INFO_DAILY</t>
        </is>
      </c>
      <c r="H17" s="412" t="inlineStr">
        <is>
          <t>Arrangement purpose by industry</t>
        </is>
      </c>
      <c r="I17" s="412" t="inlineStr">
        <is>
          <t>Map 1:1 từ FLEXBO.PGB_LOS_CONTRACT_FIELDS_TDATE.MDVAY_NKT sang PG_BRONZE.FLEXBO_PGB_LOS_CONTRACT_FIELDS_TDATE.MDVAY_NKT</t>
        </is>
      </c>
      <c r="J17" s="419" t="inlineStr">
        <is>
          <t>2025-11-26</t>
        </is>
      </c>
      <c r="K17" s="385" t="inlineStr">
        <is>
          <t>1:1</t>
        </is>
      </c>
      <c r="L17" s="385" t="inlineStr">
        <is>
          <t>PG_BRONZE</t>
        </is>
      </c>
      <c r="M17" s="386" t="inlineStr">
        <is>
          <t>FLEXBO_PGB_LOS_CONTRACT_FIELDS_TDATE</t>
        </is>
      </c>
      <c r="N17" s="386" t="inlineStr">
        <is>
          <t>MDVAY_NKT</t>
        </is>
      </c>
      <c r="O17" s="385" t="inlineStr">
        <is>
          <t>VARCHAR2</t>
        </is>
      </c>
      <c r="P17" s="420" t="n">
        <v>100</v>
      </c>
      <c r="Q17" s="386">
        <f>"COMMENT ON COLUMN "&amp;L17&amp;"."&amp;M17&amp;"."&amp;N17&amp;" IS '"&amp;E17&amp;"';"</f>
        <v/>
      </c>
      <c r="R17" s="414" t="inlineStr">
        <is>
          <t>Map 1:1 nguyên bản từ FLEXBO.PGB_LOS_CONTRACT_FIELDS_TDATE.MDVAY_NKT -&gt; PG_BRONZE.FLEXBO_PGB_LOS_CONTRACT_FIELDS_TDATE.MDVAY_NKT</t>
        </is>
      </c>
    </row>
    <row r="18" ht="14.25" customHeight="1" s="335">
      <c r="A18" s="412">
        <f>B18&amp;C18&amp;D18</f>
        <v/>
      </c>
      <c r="B18" s="412" t="inlineStr">
        <is>
          <t>FLEXBO</t>
        </is>
      </c>
      <c r="C18" s="412" t="inlineStr">
        <is>
          <t>PGB_LOS_CONTRACT_FIELDS_TDATE</t>
        </is>
      </c>
      <c r="D18" s="412" t="inlineStr">
        <is>
          <t>MDVAY_SP</t>
        </is>
      </c>
      <c r="E18" s="412" t="inlineStr">
        <is>
          <t>Mục đích vay theo sản phẩm</t>
        </is>
      </c>
      <c r="F18" s="410" t="inlineStr">
        <is>
          <t>X</t>
        </is>
      </c>
      <c r="G18" s="412" t="inlineStr">
        <is>
          <t>Loan Arrangement</t>
        </is>
      </c>
      <c r="H18" s="421" t="inlineStr">
        <is>
          <t>Arrangement Purpose Type Code</t>
        </is>
      </c>
      <c r="I18" s="412" t="inlineStr">
        <is>
          <t>nvl(tdate, LD)</t>
        </is>
      </c>
      <c r="J18" s="419" t="inlineStr">
        <is>
          <t>2025-11-26</t>
        </is>
      </c>
      <c r="K18" s="385" t="inlineStr">
        <is>
          <t>1:1</t>
        </is>
      </c>
      <c r="L18" s="385" t="inlineStr">
        <is>
          <t>PG_BRONZE</t>
        </is>
      </c>
      <c r="M18" s="386" t="inlineStr">
        <is>
          <t>FLEXBO_PGB_LOS_CONTRACT_FIELDS_TDATE</t>
        </is>
      </c>
      <c r="N18" s="386" t="inlineStr">
        <is>
          <t>MDVAY_SP</t>
        </is>
      </c>
      <c r="O18" s="385" t="inlineStr">
        <is>
          <t>VARCHAR2</t>
        </is>
      </c>
      <c r="P18" s="420" t="n">
        <v>100</v>
      </c>
      <c r="Q18" s="386">
        <f>"COMMENT ON COLUMN "&amp;L18&amp;"."&amp;M18&amp;"."&amp;N18&amp;" IS '"&amp;E18&amp;"';"</f>
        <v/>
      </c>
      <c r="R18" s="414" t="inlineStr">
        <is>
          <t>Map 1:1 nguyên bản từ FLEXBO.PGB_LOS_CONTRACT_FIELDS_TDATE.MDVAY_SP -&gt; PG_BRONZE.FLEXBO_PGB_LOS_CONTRACT_FIELDS_TDATE.MDVAY_SP</t>
        </is>
      </c>
    </row>
    <row r="19" ht="14.25" customHeight="1" s="335">
      <c r="A19" s="412">
        <f>B19&amp;C19&amp;D19</f>
        <v/>
      </c>
      <c r="B19" s="421" t="inlineStr">
        <is>
          <t>FLEXBO</t>
        </is>
      </c>
      <c r="C19" s="421" t="inlineStr">
        <is>
          <t>PGB_LOS_CONTRACT_FIELDS_TDATE</t>
        </is>
      </c>
      <c r="D19" s="421" t="inlineStr">
        <is>
          <t>MOV_DATE</t>
        </is>
      </c>
      <c r="E19" s="412" t="inlineStr">
        <is>
          <t>Ngày dữ liệu</t>
        </is>
      </c>
      <c r="F19" s="410" t="inlineStr">
        <is>
          <t>X</t>
        </is>
      </c>
      <c r="G19" s="412" t="inlineStr">
        <is>
          <t>Loan Arrangement Profile / CUST_INFO_DAILY</t>
        </is>
      </c>
      <c r="H19" s="412" t="inlineStr">
        <is>
          <t>Mov Date</t>
        </is>
      </c>
      <c r="I19" s="412" t="inlineStr">
        <is>
          <t>Map 1:1 từ FLEXBO.PGB_LOS_CONTRACT_FIELDS_TDATE.MOV_DATE sang PG_BRONZE.FLEXBO_PGB_LOS_CONTRACT_FIELDS_TDATE.MOV_DATE</t>
        </is>
      </c>
      <c r="J19" s="419" t="inlineStr">
        <is>
          <t>2025-11-26</t>
        </is>
      </c>
      <c r="K19" s="385" t="inlineStr">
        <is>
          <t>1:1</t>
        </is>
      </c>
      <c r="L19" s="385" t="inlineStr">
        <is>
          <t>PG_BRONZE</t>
        </is>
      </c>
      <c r="M19" s="386" t="inlineStr">
        <is>
          <t>FLEXBO_PGB_LOS_CONTRACT_FIELDS_TDATE</t>
        </is>
      </c>
      <c r="N19" s="386" t="inlineStr">
        <is>
          <t>MOV_DATE</t>
        </is>
      </c>
      <c r="O19" s="385" t="inlineStr">
        <is>
          <t>DATE</t>
        </is>
      </c>
      <c r="P19" s="420" t="n">
        <v>8</v>
      </c>
      <c r="Q19" s="386">
        <f>"COMMENT ON COLUMN "&amp;L19&amp;"."&amp;M19&amp;"."&amp;N19&amp;" IS '"&amp;E19&amp;"';"</f>
        <v/>
      </c>
      <c r="R19" s="414" t="inlineStr">
        <is>
          <t>Map 1:1 nguyên bản từ FLEXBO.PGB_LOS_CONTRACT_FIELDS_TDATE.MOV_DATE -&gt; PG_BRONZE.FLEXBO_PGB_LOS_CONTRACT_FIELDS_TDATE.MOV_DATE</t>
        </is>
      </c>
    </row>
    <row r="20" ht="14.25" customHeight="1" s="335">
      <c r="A20" s="412">
        <f>B20&amp;C20&amp;D20</f>
        <v/>
      </c>
      <c r="B20" s="412" t="inlineStr">
        <is>
          <t>FLEXBO</t>
        </is>
      </c>
      <c r="C20" s="412" t="inlineStr">
        <is>
          <t>PGB_LOS_CONTRACT_FIELDS_TDATE</t>
        </is>
      </c>
      <c r="D20" s="412" t="inlineStr">
        <is>
          <t>TT_PP_DE_XUAT_GN</t>
        </is>
      </c>
      <c r="E20" s="412" t="inlineStr">
        <is>
          <t>Người đề xuất giải ngân</t>
        </is>
      </c>
      <c r="F20" s="410" t="inlineStr">
        <is>
          <t>X</t>
        </is>
      </c>
      <c r="G20" s="412" t="inlineStr">
        <is>
          <t>Arrangement x Involved Party Relationship</t>
        </is>
      </c>
      <c r="H20" s="412" t="inlineStr">
        <is>
          <t>Disbursement Proposal Manager</t>
        </is>
      </c>
      <c r="I20" s="412" t="inlineStr">
        <is>
          <t>Map 1:1 từ FLEXBO.PGB_LOS_CONTRACT_FIELDS_TDATE.TT_PP_DE_XUAT_GN sang PG_BRONZE.FLEXBO_PGB_LOS_CONTRACT_FIELDS_TDATE.TT_PP_DE_XUAT_GN</t>
        </is>
      </c>
      <c r="J20" s="419" t="inlineStr">
        <is>
          <t>2025-11-26</t>
        </is>
      </c>
      <c r="K20" s="385" t="inlineStr">
        <is>
          <t>1:1</t>
        </is>
      </c>
      <c r="L20" s="385" t="inlineStr">
        <is>
          <t>PG_BRONZE</t>
        </is>
      </c>
      <c r="M20" s="386" t="inlineStr">
        <is>
          <t>FLEXBO_PGB_LOS_CONTRACT_FIELDS_TDATE</t>
        </is>
      </c>
      <c r="N20" s="386" t="inlineStr">
        <is>
          <t>TT_PP_DE_XUAT_GN</t>
        </is>
      </c>
      <c r="O20" s="385" t="inlineStr">
        <is>
          <t>VARCHAR2</t>
        </is>
      </c>
      <c r="P20" s="420" t="n">
        <v>100</v>
      </c>
      <c r="Q20" s="386">
        <f>"COMMENT ON COLUMN "&amp;L20&amp;"."&amp;M20&amp;"."&amp;N20&amp;" IS '"&amp;E20&amp;"';"</f>
        <v/>
      </c>
      <c r="R20" s="414" t="inlineStr">
        <is>
          <t>Map 1:1 nguyên bản từ FLEXBO.PGB_LOS_CONTRACT_FIELDS_TDATE.TT_PP_DE_XUAT_GN -&gt; PG_BRONZE.FLEXBO_PGB_LOS_CONTRACT_FIELDS_TDATE.TT_PP_DE_XUAT_GN</t>
        </is>
      </c>
    </row>
    <row r="21" ht="14.25" customHeight="1" s="335">
      <c r="A21" s="412">
        <f>B21&amp;C21&amp;D21</f>
        <v/>
      </c>
      <c r="B21" s="412" t="inlineStr">
        <is>
          <t>FLEXBO</t>
        </is>
      </c>
      <c r="C21" s="412" t="inlineStr">
        <is>
          <t>PGB_LOS_CONTRACT_FIELDS_TDATE</t>
        </is>
      </c>
      <c r="D21" s="412" t="inlineStr">
        <is>
          <t>BDS_TT11</t>
        </is>
      </c>
      <c r="E21" s="412" t="inlineStr">
        <is>
          <t>Phân loại theo thông tư 11</t>
        </is>
      </c>
      <c r="F21" s="410" t="inlineStr">
        <is>
          <t>X</t>
        </is>
      </c>
      <c r="G21" s="412" t="inlineStr">
        <is>
          <t>Loan Arrangement Profile</t>
        </is>
      </c>
      <c r="H21" s="412" t="inlineStr">
        <is>
          <t>Bds Tt11</t>
        </is>
      </c>
      <c r="I21" s="412" t="inlineStr">
        <is>
          <t>Map 1:1 từ FLEXBO.PGB_LOS_CONTRACT_FIELDS_TDATE.BDS_TT11 sang PG_BRONZE.FLEXBO_PGB_LOS_CONTRACT_FIELDS_TDATE.BDS_TT11</t>
        </is>
      </c>
      <c r="J21" s="419" t="inlineStr">
        <is>
          <t>2025-11-26</t>
        </is>
      </c>
      <c r="K21" s="385" t="inlineStr">
        <is>
          <t>1:1</t>
        </is>
      </c>
      <c r="L21" s="385" t="inlineStr">
        <is>
          <t>PG_BRONZE</t>
        </is>
      </c>
      <c r="M21" s="386" t="inlineStr">
        <is>
          <t>FLEXBO_PGB_LOS_CONTRACT_FIELDS_TDATE</t>
        </is>
      </c>
      <c r="N21" s="386" t="inlineStr">
        <is>
          <t>BDS_TT11</t>
        </is>
      </c>
      <c r="O21" s="385" t="inlineStr">
        <is>
          <t>VARCHAR2</t>
        </is>
      </c>
      <c r="P21" s="420" t="n">
        <v>100</v>
      </c>
      <c r="Q21" s="386">
        <f>"COMMENT ON COLUMN "&amp;L21&amp;"."&amp;M21&amp;"."&amp;N21&amp;" IS '"&amp;E21&amp;"';"</f>
        <v/>
      </c>
      <c r="R21" s="414" t="inlineStr">
        <is>
          <t>Map 1:1 nguyên bản từ FLEXBO.PGB_LOS_CONTRACT_FIELDS_TDATE.BDS_TT11 -&gt; PG_BRONZE.FLEXBO_PGB_LOS_CONTRACT_FIELDS_TDATE.BDS_TT11</t>
        </is>
      </c>
    </row>
    <row r="22" ht="14.25" customHeight="1" s="335">
      <c r="A22" s="412">
        <f>B22&amp;C22&amp;D22</f>
        <v/>
      </c>
      <c r="B22" s="412" t="inlineStr">
        <is>
          <t>FLEXBO</t>
        </is>
      </c>
      <c r="C22" s="412" t="inlineStr">
        <is>
          <t>PGB_LOS_CONTRACT_FIELDS_TDATE</t>
        </is>
      </c>
      <c r="D22" s="412" t="inlineStr">
        <is>
          <t>SAN_PHAM_CHO_VAY_KHCN</t>
        </is>
      </c>
      <c r="E22" s="412" t="inlineStr">
        <is>
          <t>Sản phẩm vay KHCN</t>
        </is>
      </c>
      <c r="F22" s="410" t="inlineStr">
        <is>
          <t>X</t>
        </is>
      </c>
      <c r="G22" s="412" t="inlineStr">
        <is>
          <t>Loan Arrangement</t>
        </is>
      </c>
      <c r="H22" s="412" t="inlineStr">
        <is>
          <t>Product Code</t>
        </is>
      </c>
      <c r="I22" s="412" t="inlineStr">
        <is>
          <t>acc_fcc not null và là khcn thì ưu tiên cái này, sau đó mới đến los, ld</t>
        </is>
      </c>
      <c r="J22" s="419" t="inlineStr">
        <is>
          <t>2025-11-26</t>
        </is>
      </c>
      <c r="K22" s="385" t="inlineStr">
        <is>
          <t>1:1</t>
        </is>
      </c>
      <c r="L22" s="385" t="inlineStr">
        <is>
          <t>PG_BRONZE</t>
        </is>
      </c>
      <c r="M22" s="386" t="inlineStr">
        <is>
          <t>FLEXBO_PGB_LOS_CONTRACT_FIELDS_TDATE</t>
        </is>
      </c>
      <c r="N22" s="386" t="inlineStr">
        <is>
          <t>SAN_PHAM_CHO_VAY_KHCN</t>
        </is>
      </c>
      <c r="O22" s="385" t="inlineStr">
        <is>
          <t>VARCHAR2</t>
        </is>
      </c>
      <c r="P22" s="420" t="n">
        <v>100</v>
      </c>
      <c r="Q22" s="386">
        <f>"COMMENT ON COLUMN "&amp;L22&amp;"."&amp;M22&amp;"."&amp;N22&amp;" IS '"&amp;E22&amp;"';"</f>
        <v/>
      </c>
      <c r="R22" s="414" t="inlineStr">
        <is>
          <t>Map 1:1 nguyên bản từ FLEXBO.PGB_LOS_CONTRACT_FIELDS_TDATE.SAN_PHAM_CHO_VAY_KHCN -&gt; PG_BRONZE.FLEXBO_PGB_LOS_CONTRACT_FIELDS_TDATE.SAN_PHAM_CHO_VAY_KHCN</t>
        </is>
      </c>
    </row>
    <row r="23" ht="14.25" customHeight="1" s="335">
      <c r="A23" s="412">
        <f>B23&amp;C23&amp;D23</f>
        <v/>
      </c>
      <c r="B23" s="412" t="inlineStr">
        <is>
          <t>FLEXBO</t>
        </is>
      </c>
      <c r="C23" s="412" t="inlineStr">
        <is>
          <t>PGB_LOS_CONTRACT_FIELDS_TDATE</t>
        </is>
      </c>
      <c r="D23" s="412" t="inlineStr">
        <is>
          <t>BIEN_DO_THAY_DOI_LS_THEO_HDTD</t>
        </is>
      </c>
      <c r="E23" s="412" t="inlineStr">
        <is>
          <t>Biên độ thay đổi lãi suất</t>
        </is>
      </c>
      <c r="F23" s="410" t="inlineStr">
        <is>
          <t>X</t>
        </is>
      </c>
      <c r="G23" s="412" t="inlineStr">
        <is>
          <t>Arrangement Rate History</t>
        </is>
      </c>
      <c r="H23" s="412" t="inlineStr">
        <is>
          <t>Margin Rate</t>
        </is>
      </c>
      <c r="I23" s="412" t="inlineStr">
        <is>
          <t>Map 1:1 từ FLEXBO.PGB_LOS_CONTRACT_FIELDS_TDATE.BIEN_DO_THAY_DOI_LS_THEO_HDTD sang PG_BRONZE.FLEXBO_PGB_LOS_CONTRACT_FIELDS_TDATE.BIEN_DO_THAY_DOI_LS_THEO_HDTD</t>
        </is>
      </c>
      <c r="J23" s="419" t="inlineStr">
        <is>
          <t>2025-11-26</t>
        </is>
      </c>
      <c r="K23" s="385" t="inlineStr">
        <is>
          <t>1:1</t>
        </is>
      </c>
      <c r="L23" s="385" t="inlineStr">
        <is>
          <t>PG_BRONZE</t>
        </is>
      </c>
      <c r="M23" s="386" t="inlineStr">
        <is>
          <t>FLEXBO_PGB_LOS_CONTRACT_FIELDS_TDATE</t>
        </is>
      </c>
      <c r="N23" s="386" t="inlineStr">
        <is>
          <t>BIEN_DO_THAY_DOI_LS_THEO_HDTD</t>
        </is>
      </c>
      <c r="O23" s="385" t="inlineStr">
        <is>
          <t>NUMBER</t>
        </is>
      </c>
      <c r="P23" s="420" t="n">
        <v>10.5</v>
      </c>
      <c r="Q23" s="386">
        <f>"COMMENT ON COLUMN "&amp;L23&amp;"."&amp;M23&amp;"."&amp;N23&amp;" IS '"&amp;E23&amp;"';"</f>
        <v/>
      </c>
      <c r="R23" s="414" t="inlineStr">
        <is>
          <t>Map 1:1 nguyên bản từ FLEXBO.PGB_LOS_CONTRACT_FIELDS_TDATE.BIEN_DO_THAY_DOI_LS_THEO_HDTD -&gt; PG_BRONZE.FLEXBO_PGB_LOS_CONTRACT_FIELDS_TDATE.BIEN_DO_THAY_DOI_LS_THEO_HDTD</t>
        </is>
      </c>
    </row>
    <row r="24" ht="14.25" customHeight="1" s="335">
      <c r="A24" s="412">
        <f>B24&amp;C24&amp;D24</f>
        <v/>
      </c>
      <c r="B24" s="421" t="inlineStr">
        <is>
          <t>FLEXBO</t>
        </is>
      </c>
      <c r="C24" s="421" t="inlineStr">
        <is>
          <t>PGB_LOS_CONTRACT_FIELDS_TDATE</t>
        </is>
      </c>
      <c r="D24" s="421" t="inlineStr">
        <is>
          <t>SAN_PHAM_CHO_VAY_KHDN</t>
        </is>
      </c>
      <c r="E24" s="412" t="inlineStr">
        <is>
          <t>Sản phẩm vay KHdn</t>
        </is>
      </c>
      <c r="F24" s="410" t="inlineStr">
        <is>
          <t>X</t>
        </is>
      </c>
      <c r="G24" s="412" t="inlineStr">
        <is>
          <t>Loan Arrangement</t>
        </is>
      </c>
      <c r="H24" s="412" t="inlineStr">
        <is>
          <t>Product Code</t>
        </is>
      </c>
      <c r="I24" s="412" t="inlineStr">
        <is>
          <t>acc_fcc not null và khác khcn thì ưu tiên cái này, sau đó mới đến los, ld</t>
        </is>
      </c>
      <c r="J24" s="419" t="inlineStr">
        <is>
          <t>2025-11-26</t>
        </is>
      </c>
      <c r="K24" s="385" t="inlineStr">
        <is>
          <t>1:1</t>
        </is>
      </c>
      <c r="L24" s="385" t="inlineStr">
        <is>
          <t>PG_BRONZE</t>
        </is>
      </c>
      <c r="M24" s="386" t="inlineStr">
        <is>
          <t>FLEXBO_PGB_LOS_CONTRACT_FIELDS_TDATE</t>
        </is>
      </c>
      <c r="N24" s="386" t="inlineStr">
        <is>
          <t>SAN_PHAM_CHO_VAY_KHDN</t>
        </is>
      </c>
      <c r="O24" s="385" t="inlineStr">
        <is>
          <t>VARCHAR2</t>
        </is>
      </c>
      <c r="P24" s="420" t="n">
        <v>100</v>
      </c>
      <c r="Q24" s="386">
        <f>"COMMENT ON COLUMN "&amp;L24&amp;"."&amp;M24&amp;"."&amp;N24&amp;" IS '"&amp;E24&amp;"';"</f>
        <v/>
      </c>
      <c r="R24" s="414" t="inlineStr">
        <is>
          <t>Map 1:1 nguyên bản từ FLEXBO.PGB_LOS_CONTRACT_FIELDS_TDATE.SAN_PHAM_CHO_VAY_KHDN -&gt; PG_BRONZE.FLEXBO_PGB_LOS_CONTRACT_FIELDS_TDATE.SAN_PHAM_CHO_VAY_KHDN</t>
        </is>
      </c>
    </row>
    <row r="25" ht="14.25" customHeight="1" s="335">
      <c r="A25" s="412">
        <f>B25&amp;C25&amp;D25</f>
        <v/>
      </c>
      <c r="B25" s="421" t="inlineStr">
        <is>
          <t>FLEXBO</t>
        </is>
      </c>
      <c r="C25" s="421" t="inlineStr">
        <is>
          <t>PGB_LOS_CONTRACT_FIELDS_TDATE</t>
        </is>
      </c>
      <c r="D25" s="421" t="inlineStr">
        <is>
          <t>CBTD_QL_KHOAN_VAY</t>
        </is>
      </c>
      <c r="E25" s="412" t="inlineStr">
        <is>
          <t>Mã cán bộ tín dụng quản lý khoản vay</t>
        </is>
      </c>
      <c r="F25" s="410" t="inlineStr">
        <is>
          <t>X</t>
        </is>
      </c>
      <c r="G25" s="412" t="inlineStr">
        <is>
          <t>Arrangement x Involved Party Relationship</t>
        </is>
      </c>
      <c r="H25" s="412" t="inlineStr">
        <is>
          <t>Management Officer</t>
        </is>
      </c>
      <c r="I25" s="412" t="inlineStr">
        <is>
          <t>Map 1:1 từ FLEXBO.PGB_LOS_CONTRACT_FIELDS_TDATE.CBTD_QL_KHOAN_VAY sang PG_BRONZE.FLEXBO_PGB_LOS_CONTRACT_FIELDS_TDATE.CBTD_QL_KHOAN_VAY</t>
        </is>
      </c>
      <c r="J25" s="419" t="inlineStr">
        <is>
          <t>2025-11-26</t>
        </is>
      </c>
      <c r="K25" s="385" t="inlineStr">
        <is>
          <t>1:1</t>
        </is>
      </c>
      <c r="L25" s="385" t="inlineStr">
        <is>
          <t>PG_BRONZE</t>
        </is>
      </c>
      <c r="M25" s="386" t="inlineStr">
        <is>
          <t>FLEXBO_PGB_LOS_CONTRACT_FIELDS_TDATE</t>
        </is>
      </c>
      <c r="N25" s="386" t="inlineStr">
        <is>
          <t>CBTD_QL_KHOAN_VAY</t>
        </is>
      </c>
      <c r="O25" s="385" t="inlineStr">
        <is>
          <t>VARCHAR2</t>
        </is>
      </c>
      <c r="P25" s="420" t="n">
        <v>100</v>
      </c>
      <c r="Q25" s="386">
        <f>"COMMENT ON COLUMN "&amp;L25&amp;"."&amp;M25&amp;"."&amp;N25&amp;" IS '"&amp;E25&amp;"';"</f>
        <v/>
      </c>
      <c r="R25" s="414" t="inlineStr">
        <is>
          <t>Map 1:1 nguyên bản từ FLEXBO.PGB_LOS_CONTRACT_FIELDS_TDATE.CBTD_QL_KHOAN_VAY -&gt; PG_BRONZE.FLEXBO_PGB_LOS_CONTRACT_FIELDS_TDATE.CBTD_QL_KHOAN_VAY</t>
        </is>
      </c>
    </row>
    <row r="26" ht="14.25" customHeight="1" s="335">
      <c r="A26" s="412">
        <f>B26&amp;C26&amp;D26</f>
        <v/>
      </c>
      <c r="B26" s="421" t="inlineStr">
        <is>
          <t>FLEXBO</t>
        </is>
      </c>
      <c r="C26" s="421" t="inlineStr">
        <is>
          <t>PGB_LOS_CONTRACT_FIELDS_TDATE</t>
        </is>
      </c>
      <c r="D26" s="421" t="inlineStr">
        <is>
          <t>TP_PP_QL_KHOAN_VAY</t>
        </is>
      </c>
      <c r="E26" s="412" t="inlineStr">
        <is>
          <t>Mã Trưởng/Phó phòng quản lý khoản vay</t>
        </is>
      </c>
      <c r="F26" s="410" t="inlineStr">
        <is>
          <t>X</t>
        </is>
      </c>
      <c r="G26" s="412" t="inlineStr">
        <is>
          <t>Arrangement x Involved Party Relationship</t>
        </is>
      </c>
      <c r="H26" s="412" t="inlineStr">
        <is>
          <t>Management Manager</t>
        </is>
      </c>
      <c r="I26" s="412" t="inlineStr">
        <is>
          <t>Map 1:1 từ FLEXBO.PGB_LOS_CONTRACT_FIELDS_TDATE.TP_PP_QL_KHOAN_VAY sang PG_BRONZE.FLEXBO_PGB_LOS_CONTRACT_FIELDS_TDATE.TP_PP_QL_KHOAN_VAY</t>
        </is>
      </c>
      <c r="J26" s="419" t="inlineStr">
        <is>
          <t>2025-11-26</t>
        </is>
      </c>
      <c r="K26" s="385" t="inlineStr">
        <is>
          <t>1:1</t>
        </is>
      </c>
      <c r="L26" s="385" t="inlineStr">
        <is>
          <t>PG_BRONZE</t>
        </is>
      </c>
      <c r="M26" s="386" t="inlineStr">
        <is>
          <t>FLEXBO_PGB_LOS_CONTRACT_FIELDS_TDATE</t>
        </is>
      </c>
      <c r="N26" s="386" t="inlineStr">
        <is>
          <t>TP_PP_QL_KHOAN_VAY</t>
        </is>
      </c>
      <c r="O26" s="385" t="inlineStr">
        <is>
          <t>VARCHAR2</t>
        </is>
      </c>
      <c r="P26" s="420" t="n">
        <v>100</v>
      </c>
      <c r="Q26" s="386">
        <f>"COMMENT ON COLUMN "&amp;L26&amp;"."&amp;M26&amp;"."&amp;N26&amp;" IS '"&amp;E26&amp;"';"</f>
        <v/>
      </c>
      <c r="R26" s="414" t="inlineStr">
        <is>
          <t>Map 1:1 nguyên bản từ FLEXBO.PGB_LOS_CONTRACT_FIELDS_TDATE.TP_PP_QL_KHOAN_VAY -&gt; PG_BRONZE.FLEXBO_PGB_LOS_CONTRACT_FIELDS_TDATE.TP_PP_QL_KHOAN_VAY</t>
        </is>
      </c>
    </row>
    <row r="27" ht="14.25" customHeight="1" s="335">
      <c r="A27" s="412">
        <f>B27&amp;C27&amp;D27</f>
        <v/>
      </c>
      <c r="B27" s="421" t="inlineStr">
        <is>
          <t>FLEXBO</t>
        </is>
      </c>
      <c r="C27" s="421" t="inlineStr">
        <is>
          <t>PGB_LOS_CONTRACT_FIELDS_TDATE</t>
        </is>
      </c>
      <c r="D27" s="421" t="inlineStr">
        <is>
          <t>CAP_PHE_DUYET_GNTL</t>
        </is>
      </c>
      <c r="E27" s="412" t="inlineStr">
        <is>
          <t>Cấp phê duyệt giải ngân / trả lời tín dụng</t>
        </is>
      </c>
      <c r="F27" s="410" t="inlineStr">
        <is>
          <t>X</t>
        </is>
      </c>
      <c r="G27" s="412" t="inlineStr">
        <is>
          <t>Arrangement x Involved Party Relationship</t>
        </is>
      </c>
      <c r="H27" s="412" t="inlineStr">
        <is>
          <t>Approval Authority</t>
        </is>
      </c>
      <c r="I27" s="412" t="inlineStr">
        <is>
          <t>Map 1:1 từ FLEXBO.PGB_LOS_CONTRACT_FIELDS_TDATE.CAP_PHE_DUYET_GNTL sang PG_BRONZE.FLEXBO_PGB_LOS_CONTRACT_FIELDS_TDATE.CAP_PHE_DUYET_GNTL</t>
        </is>
      </c>
      <c r="J27" s="419" t="inlineStr">
        <is>
          <t>2025-11-26</t>
        </is>
      </c>
      <c r="K27" s="385" t="inlineStr">
        <is>
          <t>1:1</t>
        </is>
      </c>
      <c r="L27" s="385" t="inlineStr">
        <is>
          <t>PG_BRONZE</t>
        </is>
      </c>
      <c r="M27" s="386" t="inlineStr">
        <is>
          <t>FLEXBO_PGB_LOS_CONTRACT_FIELDS_TDATE</t>
        </is>
      </c>
      <c r="N27" s="386" t="inlineStr">
        <is>
          <t>CAP_PHE_DUYET_GNTL</t>
        </is>
      </c>
      <c r="O27" s="385" t="inlineStr">
        <is>
          <t>VARCHAR2</t>
        </is>
      </c>
      <c r="P27" s="420" t="n">
        <v>100</v>
      </c>
      <c r="Q27" s="386">
        <f>"COMMENT ON COLUMN "&amp;L27&amp;"."&amp;M27&amp;"."&amp;N27&amp;" IS '"&amp;E27&amp;"';"</f>
        <v/>
      </c>
      <c r="R27" s="414" t="inlineStr">
        <is>
          <t>Map 1:1 nguyên bản từ FLEXBO.PGB_LOS_CONTRACT_FIELDS_TDATE.CAP_PHE_DUYET_GNTL -&gt; PG_BRONZE.FLEXBO_PGB_LOS_CONTRACT_FIELDS_TDATE.CAP_PHE_DUYET_GNTL</t>
        </is>
      </c>
    </row>
    <row r="28" ht="14.25" customHeight="1" s="335">
      <c r="A28" s="412">
        <f>B28&amp;C28&amp;D28</f>
        <v/>
      </c>
      <c r="B28" s="421" t="inlineStr">
        <is>
          <t>FLEXBO</t>
        </is>
      </c>
      <c r="C28" s="421" t="inlineStr">
        <is>
          <t>PGB_LOS_CONTRACT_FIELDS_TDATE</t>
        </is>
      </c>
      <c r="D28" s="421" t="inlineStr">
        <is>
          <t>CO_CAU_NO_MIEN_GIAM_LAI</t>
        </is>
      </c>
      <c r="E28" s="412" t="inlineStr">
        <is>
          <t>Cờ đánh dấu cơ cấu nợ miễn giảm lãi</t>
        </is>
      </c>
      <c r="F28" s="410" t="inlineStr">
        <is>
          <t>X</t>
        </is>
      </c>
      <c r="G28" s="412" t="inlineStr">
        <is>
          <t>Loan Arrangement Profile</t>
        </is>
      </c>
      <c r="H28" s="412" t="inlineStr">
        <is>
          <t>Debt Waiver Flag</t>
        </is>
      </c>
      <c r="I28" s="412" t="inlineStr">
        <is>
          <t>Map 1:1 từ FLEXBO.PGB_LOS_CONTRACT_FIELDS_TDATE.CO_CAU_NO_MIEN_GIAM_LAI sang PG_BRONZE.FLEXBO_PGB_LOS_CONTRACT_FIELDS_TDATE.CO_CAU_NO_MIEN_GIAM_LAI</t>
        </is>
      </c>
      <c r="J28" s="419" t="inlineStr">
        <is>
          <t>2025-11-26</t>
        </is>
      </c>
      <c r="K28" s="385" t="inlineStr">
        <is>
          <t>1:1</t>
        </is>
      </c>
      <c r="L28" s="385" t="inlineStr">
        <is>
          <t>PG_BRONZE</t>
        </is>
      </c>
      <c r="M28" s="386" t="inlineStr">
        <is>
          <t>FLEXBO_PGB_LOS_CONTRACT_FIELDS_TDATE</t>
        </is>
      </c>
      <c r="N28" s="386" t="inlineStr">
        <is>
          <t>CO_CAU_NO_MIEN_GIAM_LAI</t>
        </is>
      </c>
      <c r="O28" s="385" t="inlineStr">
        <is>
          <t>VARCHAR2</t>
        </is>
      </c>
      <c r="P28" s="420" t="n">
        <v>100</v>
      </c>
      <c r="Q28" s="386">
        <f>"COMMENT ON COLUMN "&amp;L28&amp;"."&amp;M28&amp;"."&amp;N28&amp;" IS '"&amp;E28&amp;"';"</f>
        <v/>
      </c>
      <c r="R28" s="414" t="inlineStr">
        <is>
          <t>Map 1:1 nguyên bản từ FLEXBO.PGB_LOS_CONTRACT_FIELDS_TDATE.CO_CAU_NO_MIEN_GIAM_LAI -&gt; PG_BRONZE.FLEXBO_PGB_LOS_CONTRACT_FIELDS_TDATE.CO_CAU_NO_MIEN_GIAM_LAI</t>
        </is>
      </c>
    </row>
    <row r="29" ht="14.25" customHeight="1" s="335">
      <c r="A29" s="412">
        <f>B29&amp;C29&amp;D29</f>
        <v/>
      </c>
      <c r="B29" s="421" t="inlineStr">
        <is>
          <t>FLEXBO</t>
        </is>
      </c>
      <c r="C29" s="421" t="inlineStr">
        <is>
          <t>PGB_LOS_CONTRACT_FIELDS_TDATE</t>
        </is>
      </c>
      <c r="D29" s="421" t="inlineStr">
        <is>
          <t>SO_LAN_CO_CAU</t>
        </is>
      </c>
      <c r="E29" s="412" t="inlineStr">
        <is>
          <t>Số lần cơ cấu nợ</t>
        </is>
      </c>
      <c r="F29" s="410" t="inlineStr">
        <is>
          <t>X</t>
        </is>
      </c>
      <c r="G29" s="412" t="inlineStr">
        <is>
          <t>Loan Arrangement Profile</t>
        </is>
      </c>
      <c r="H29" s="412" t="inlineStr">
        <is>
          <t>Number of debt restructurings</t>
        </is>
      </c>
      <c r="I29" s="412" t="inlineStr">
        <is>
          <t>ưu tiên cái này trước UDF_MAP</t>
        </is>
      </c>
      <c r="J29" s="419" t="inlineStr">
        <is>
          <t>2025-11-26</t>
        </is>
      </c>
      <c r="K29" s="385" t="inlineStr">
        <is>
          <t>1:1</t>
        </is>
      </c>
      <c r="L29" s="385" t="inlineStr">
        <is>
          <t>PG_BRONZE</t>
        </is>
      </c>
      <c r="M29" s="386" t="inlineStr">
        <is>
          <t>FLEXBO_PGB_LOS_CONTRACT_FIELDS_TDATE</t>
        </is>
      </c>
      <c r="N29" s="386" t="inlineStr">
        <is>
          <t>SO_LAN_CO_CAU</t>
        </is>
      </c>
      <c r="O29" s="385" t="inlineStr">
        <is>
          <t>NUMBER</t>
        </is>
      </c>
      <c r="P29" s="420" t="n">
        <v>20</v>
      </c>
      <c r="Q29" s="386">
        <f>"COMMENT ON COLUMN "&amp;L29&amp;"."&amp;M29&amp;"."&amp;N29&amp;" IS '"&amp;E29&amp;"';"</f>
        <v/>
      </c>
      <c r="R29" s="414" t="inlineStr">
        <is>
          <t>Map 1:1 nguyên bản từ FLEXBO.PGB_LOS_CONTRACT_FIELDS_TDATE.SO_LAN_CO_CAU -&gt; PG_BRONZE.FLEXBO_PGB_LOS_CONTRACT_FIELDS_TDATE.SO_LAN_CO_CAU</t>
        </is>
      </c>
    </row>
    <row r="30" ht="14.25" customHeight="1" s="335">
      <c r="A30" s="412">
        <f>B30&amp;C30&amp;D30</f>
        <v/>
      </c>
      <c r="B30" s="421" t="inlineStr">
        <is>
          <t>FLEXBO</t>
        </is>
      </c>
      <c r="C30" s="421" t="inlineStr">
        <is>
          <t>PGBLD_CONTRACT_UDFIELD_HIST</t>
        </is>
      </c>
      <c r="D30" s="421" t="inlineStr">
        <is>
          <t>CONTRACT_REF_NO</t>
        </is>
      </c>
      <c r="E30" s="412" t="inlineStr">
        <is>
          <t>Mã hợp đồng</t>
        </is>
      </c>
      <c r="F30" s="410" t="inlineStr">
        <is>
          <t>X</t>
        </is>
      </c>
      <c r="G30" s="412" t="inlineStr">
        <is>
          <t>Loan Arrangement Profile / CUST_INFO_DAILY</t>
        </is>
      </c>
      <c r="H30" s="412" t="inlineStr">
        <is>
          <t>Arrangement Code/ Arrangement ID</t>
        </is>
      </c>
      <c r="I30" s="412" t="inlineStr">
        <is>
          <t>Map 1:1 từ FLEXBO.PGBLD_CONTRACT_UDFIELD_HIST.CONTRACT_REF_NO sang PG_BRONZE.FLEXBO_PGBLD_CONTRACT_UDFIELD_HIST.CONTRACT_REF_NO</t>
        </is>
      </c>
      <c r="J30" s="419" t="inlineStr">
        <is>
          <t>2025-11-26</t>
        </is>
      </c>
      <c r="K30" s="385" t="inlineStr">
        <is>
          <t>1:1</t>
        </is>
      </c>
      <c r="L30" s="385" t="inlineStr">
        <is>
          <t>PG_BRONZE</t>
        </is>
      </c>
      <c r="M30" s="386" t="inlineStr">
        <is>
          <t>FLEXBO_PGBLD_CONTRACT_UDFIELD_HIST</t>
        </is>
      </c>
      <c r="N30" s="386" t="inlineStr">
        <is>
          <t>CONTRACT_REF_NO</t>
        </is>
      </c>
      <c r="O30" s="385" t="inlineStr">
        <is>
          <t>VARCHAR2</t>
        </is>
      </c>
      <c r="P30" s="420" t="n">
        <v>100</v>
      </c>
      <c r="Q30" s="386">
        <f>"COMMENT ON COLUMN "&amp;L30&amp;"."&amp;M30&amp;"."&amp;N30&amp;" IS '"&amp;E30&amp;"';"</f>
        <v/>
      </c>
      <c r="R30" s="414" t="inlineStr">
        <is>
          <t>Map 1:1 nguyên bản từ FLEXBO.PGBLD_CONTRACT_UDFIELD_HIST.CONTRACT_REF_NO -&gt; PG_BRONZE.FLEXBO_PGBLD_CONTRACT_UDFIELD_HIST.CONTRACT_REF_NO</t>
        </is>
      </c>
    </row>
    <row r="31" ht="14.25" customHeight="1" s="335">
      <c r="A31" s="412">
        <f>B31&amp;C31&amp;D31</f>
        <v/>
      </c>
      <c r="B31" s="412" t="inlineStr">
        <is>
          <t>FLEXBO</t>
        </is>
      </c>
      <c r="C31" s="412" t="inlineStr">
        <is>
          <t>PGBLD_CONTRACT_UDFIELD_HIST</t>
        </is>
      </c>
      <c r="D31" s="412" t="inlineStr">
        <is>
          <t>CT_KHUYEN_MAI_CHO_VAY</t>
        </is>
      </c>
      <c r="E31" s="412" t="inlineStr">
        <is>
          <t>Mã chương trình KM cho vay</t>
        </is>
      </c>
      <c r="F31" s="410" t="inlineStr">
        <is>
          <t>X</t>
        </is>
      </c>
      <c r="G31" s="412" t="inlineStr">
        <is>
          <t>Loan Arrangement Profile / CUST_INFO_DAILY</t>
        </is>
      </c>
      <c r="H31" s="412" t="inlineStr">
        <is>
          <t>Promotion Program</t>
        </is>
      </c>
      <c r="I31" s="412" t="inlineStr">
        <is>
          <t>Map 1:1 từ FLEXBO.PGBLD_CONTRACT_UDFIELD_HIST.CT_KHUYEN_MAI_CHO_VAY sang PG_BRONZE.FLEXBO_PGBLD_CONTRACT_UDFIELD_HIST.CT_KHUYEN_MAI_CHO_VAY</t>
        </is>
      </c>
      <c r="J31" s="419" t="inlineStr">
        <is>
          <t>2025-11-26</t>
        </is>
      </c>
      <c r="K31" s="385" t="inlineStr">
        <is>
          <t>1:1</t>
        </is>
      </c>
      <c r="L31" s="385" t="inlineStr">
        <is>
          <t>PG_BRONZE</t>
        </is>
      </c>
      <c r="M31" s="386" t="inlineStr">
        <is>
          <t>FLEXBO_PGBLD_CONTRACT_UDFIELD_HIST</t>
        </is>
      </c>
      <c r="N31" s="386" t="inlineStr">
        <is>
          <t>CT_KHUYEN_MAI_CHO_VAY</t>
        </is>
      </c>
      <c r="O31" s="385" t="inlineStr">
        <is>
          <t>VARCHAR2</t>
        </is>
      </c>
      <c r="P31" s="420" t="n">
        <v>100</v>
      </c>
      <c r="Q31" s="386">
        <f>"COMMENT ON COLUMN "&amp;L31&amp;"."&amp;M31&amp;"."&amp;N31&amp;" IS '"&amp;E31&amp;"';"</f>
        <v/>
      </c>
      <c r="R31" s="414" t="inlineStr">
        <is>
          <t>Map 1:1 nguyên bản từ FLEXBO.PGBLD_CONTRACT_UDFIELD_HIST.CT_KHUYEN_MAI_CHO_VAY -&gt; PG_BRONZE.FLEXBO_PGBLD_CONTRACT_UDFIELD_HIST.CT_KHUYEN_MAI_CHO_VAY</t>
        </is>
      </c>
    </row>
    <row r="32" ht="14.25" customHeight="1" s="335">
      <c r="A32" s="412">
        <f>B32&amp;C32&amp;D32</f>
        <v/>
      </c>
      <c r="B32" s="412" t="inlineStr">
        <is>
          <t>FLEXBO</t>
        </is>
      </c>
      <c r="C32" s="412" t="inlineStr">
        <is>
          <t>PGBLD_CONTRACT_UDFIELD_HIST</t>
        </is>
      </c>
      <c r="D32" s="412" t="inlineStr">
        <is>
          <t>CTKM2</t>
        </is>
      </c>
      <c r="E32" s="412" t="inlineStr">
        <is>
          <t>Mã CTKM2</t>
        </is>
      </c>
      <c r="F32" s="410" t="inlineStr">
        <is>
          <t>X</t>
        </is>
      </c>
      <c r="G32" s="412" t="inlineStr">
        <is>
          <t>Loan Arrangement Profile / CUST_INFO_DAILY</t>
        </is>
      </c>
      <c r="H32" s="412" t="inlineStr">
        <is>
          <t>Promotion Program 2</t>
        </is>
      </c>
      <c r="I32" s="412" t="inlineStr">
        <is>
          <t>Map 1:1 từ FLEXBO.PGBLD_CONTRACT_UDFIELD_HIST.CTKM2 sang PG_BRONZE.FLEXBO_PGBLD_CONTRACT_UDFIELD_HIST.CTKM2</t>
        </is>
      </c>
      <c r="J32" s="419" t="inlineStr">
        <is>
          <t>2025-11-26</t>
        </is>
      </c>
      <c r="K32" s="385" t="inlineStr">
        <is>
          <t>1:1</t>
        </is>
      </c>
      <c r="L32" s="385" t="inlineStr">
        <is>
          <t>PG_BRONZE</t>
        </is>
      </c>
      <c r="M32" s="386" t="inlineStr">
        <is>
          <t>FLEXBO_PGBLD_CONTRACT_UDFIELD_HIST</t>
        </is>
      </c>
      <c r="N32" s="386" t="inlineStr">
        <is>
          <t>CTKM2</t>
        </is>
      </c>
      <c r="O32" s="385" t="inlineStr">
        <is>
          <t>VARCHAR2</t>
        </is>
      </c>
      <c r="P32" s="420" t="n">
        <v>100</v>
      </c>
      <c r="Q32" s="386">
        <f>"COMMENT ON COLUMN "&amp;L32&amp;"."&amp;M32&amp;"."&amp;N32&amp;" IS '"&amp;E32&amp;"';"</f>
        <v/>
      </c>
      <c r="R32" s="414" t="inlineStr">
        <is>
          <t>Map 1:1 nguyên bản từ FLEXBO.PGBLD_CONTRACT_UDFIELD_HIST.CTKM2 -&gt; PG_BRONZE.FLEXBO_PGBLD_CONTRACT_UDFIELD_HIST.CTKM2</t>
        </is>
      </c>
    </row>
    <row r="33" ht="14.25" customHeight="1" s="335">
      <c r="A33" s="412">
        <f>B33&amp;C33&amp;D33</f>
        <v/>
      </c>
      <c r="B33" s="412" t="inlineStr">
        <is>
          <t>FLEXBO</t>
        </is>
      </c>
      <c r="C33" s="412" t="inlineStr">
        <is>
          <t>PGBLD_CONTRACT_UDFIELD_HIST</t>
        </is>
      </c>
      <c r="D33" s="412" t="inlineStr">
        <is>
          <t>MOV_DATE</t>
        </is>
      </c>
      <c r="E33" s="412" t="inlineStr">
        <is>
          <t>Ngày phát sinh</t>
        </is>
      </c>
      <c r="F33" s="410" t="inlineStr">
        <is>
          <t>X</t>
        </is>
      </c>
      <c r="G33" s="412" t="inlineStr">
        <is>
          <t>Loan Arrangement Profile / CUST_INFO_DAILY</t>
        </is>
      </c>
      <c r="H33" s="412" t="inlineStr">
        <is>
          <t>Mov Date</t>
        </is>
      </c>
      <c r="I33" s="412" t="inlineStr">
        <is>
          <t>Map 1:1 từ FLEXBO.PGBLD_CONTRACT_UDFIELD_HIST.MOV_DATE sang PG_BRONZE.FLEXBO_PGBLD_CONTRACT_UDFIELD_HIST.MOV_DATE</t>
        </is>
      </c>
      <c r="J33" s="419" t="inlineStr">
        <is>
          <t>2025-11-26</t>
        </is>
      </c>
      <c r="K33" s="385" t="inlineStr">
        <is>
          <t>1:1</t>
        </is>
      </c>
      <c r="L33" s="385" t="inlineStr">
        <is>
          <t>PG_BRONZE</t>
        </is>
      </c>
      <c r="M33" s="386" t="inlineStr">
        <is>
          <t>FLEXBO_PGBLD_CONTRACT_UDFIELD_HIST</t>
        </is>
      </c>
      <c r="N33" s="386" t="inlineStr">
        <is>
          <t>MOV_DATE</t>
        </is>
      </c>
      <c r="O33" s="385" t="inlineStr">
        <is>
          <t>DATE</t>
        </is>
      </c>
      <c r="P33" s="420" t="n">
        <v>8</v>
      </c>
      <c r="Q33" s="386">
        <f>"COMMENT ON COLUMN "&amp;L33&amp;"."&amp;M33&amp;"."&amp;N33&amp;" IS '"&amp;E33&amp;"';"</f>
        <v/>
      </c>
      <c r="R33" s="414" t="inlineStr">
        <is>
          <t>Map 1:1 nguyên bản từ FLEXBO.PGBLD_CONTRACT_UDFIELD_HIST.MOV_DATE -&gt; PG_BRONZE.FLEXBO_PGBLD_CONTRACT_UDFIELD_HIST.MOV_DATE</t>
        </is>
      </c>
    </row>
    <row r="34" ht="14.25" customHeight="1" s="335">
      <c r="A34" s="412">
        <f>B34&amp;C34&amp;D34</f>
        <v/>
      </c>
      <c r="B34" s="412" t="inlineStr">
        <is>
          <t>T24CORE</t>
        </is>
      </c>
      <c r="C34" s="412" t="inlineStr">
        <is>
          <t>MB_MG_SAVING_MULTI</t>
        </is>
      </c>
      <c r="D34" s="412" t="inlineStr">
        <is>
          <t>LD_ID</t>
        </is>
      </c>
      <c r="E34" s="412" t="inlineStr">
        <is>
          <t>Mã Hợp đồng</t>
        </is>
      </c>
      <c r="F34" s="410" t="inlineStr">
        <is>
          <t>X</t>
        </is>
      </c>
      <c r="G34" s="412" t="inlineStr">
        <is>
          <t>Loan Arrangement</t>
        </is>
      </c>
      <c r="H34" s="412" t="inlineStr">
        <is>
          <t>Arrangement Code/ Arrangement ID</t>
        </is>
      </c>
      <c r="I34" s="412" t="inlineStr">
        <is>
          <t>Map 1:1 từ T24CORE.MB_MG_SAVING_MULTI.LD_ID sang PG_BRONZE.T24CORE_MB_MG_SAVING_MULTI.LD_ID</t>
        </is>
      </c>
      <c r="J34" s="419" t="inlineStr">
        <is>
          <t>2025-11-26</t>
        </is>
      </c>
      <c r="K34" s="385" t="inlineStr">
        <is>
          <t>1:1</t>
        </is>
      </c>
      <c r="L34" s="385" t="inlineStr">
        <is>
          <t>PG_BRONZE</t>
        </is>
      </c>
      <c r="M34" s="386" t="inlineStr">
        <is>
          <t>T24CORE_MB_MG_SAVING_MULTI</t>
        </is>
      </c>
      <c r="N34" s="386" t="inlineStr">
        <is>
          <t>LD_ID</t>
        </is>
      </c>
      <c r="O34" s="385" t="inlineStr">
        <is>
          <t>VARCHAR2</t>
        </is>
      </c>
      <c r="P34" s="420" t="n">
        <v>100</v>
      </c>
      <c r="Q34" s="386">
        <f>"COMMENT ON COLUMN "&amp;L34&amp;"."&amp;M34&amp;"."&amp;N34&amp;" IS '"&amp;E34&amp;"';"</f>
        <v/>
      </c>
      <c r="R34" s="414" t="inlineStr">
        <is>
          <t>Map 1:1 nguyên bản từ T24CORE.MB_MG_SAVING_MULTI.LD_ID -&gt; PG_BRONZE.T24CORE_MB_MG_SAVING_MULTI.LD_ID</t>
        </is>
      </c>
    </row>
    <row r="35" ht="14.25" customHeight="1" s="335">
      <c r="A35" s="412">
        <f>B35&amp;C35&amp;D35</f>
        <v/>
      </c>
      <c r="B35" s="421" t="inlineStr">
        <is>
          <t>T24CORE</t>
        </is>
      </c>
      <c r="C35" s="421" t="inlineStr">
        <is>
          <t>MB_MG_SAVING_MULTI</t>
        </is>
      </c>
      <c r="D35" s="412" t="inlineStr">
        <is>
          <t>PRODUCTGR_CODE</t>
        </is>
      </c>
      <c r="E35" s="412" t="inlineStr">
        <is>
          <t>Mã sản phẩm</t>
        </is>
      </c>
      <c r="F35" s="410" t="inlineStr">
        <is>
          <t>X</t>
        </is>
      </c>
      <c r="G35" s="412" t="inlineStr">
        <is>
          <t>Loan Arrangement Profile / sk_lich_tra_no</t>
        </is>
      </c>
      <c r="H35" s="412" t="inlineStr">
        <is>
          <t>Productgr Code</t>
        </is>
      </c>
      <c r="I35" s="412" t="inlineStr">
        <is>
          <t>Map 1:1 từ T24CORE.MB_MG_SAVING_MULTI.PRODUCTGR_CODE sang PG_BRONZE.T24CORE_MB_MG_SAVING_MULTI.PRODUCTGR_CODE</t>
        </is>
      </c>
      <c r="J35" s="419" t="inlineStr">
        <is>
          <t>2025-11-26</t>
        </is>
      </c>
      <c r="K35" s="385" t="inlineStr">
        <is>
          <t>1:1</t>
        </is>
      </c>
      <c r="L35" s="385" t="inlineStr">
        <is>
          <t>PG_BRONZE</t>
        </is>
      </c>
      <c r="M35" s="386" t="inlineStr">
        <is>
          <t>T24CORE_MB_MG_SAVING_MULTI</t>
        </is>
      </c>
      <c r="N35" s="386" t="inlineStr">
        <is>
          <t>PRODUCTGR_CODE</t>
        </is>
      </c>
      <c r="O35" s="385" t="inlineStr">
        <is>
          <t>VARCHAR2</t>
        </is>
      </c>
      <c r="P35" s="420" t="n">
        <v>100</v>
      </c>
      <c r="Q35" s="386">
        <f>"COMMENT ON COLUMN "&amp;L35&amp;"."&amp;M35&amp;"."&amp;N35&amp;" IS '"&amp;E35&amp;"';"</f>
        <v/>
      </c>
      <c r="R35" s="414" t="inlineStr">
        <is>
          <t>Map 1:1 nguyên bản từ T24CORE.MB_MG_SAVING_MULTI.PRODUCTGR_CODE -&gt; PG_BRONZE.T24CORE_MB_MG_SAVING_MULTI.PRODUCTGR_CODE</t>
        </is>
      </c>
    </row>
    <row r="36" ht="14.25" customHeight="1" s="335">
      <c r="A36" s="412">
        <f>B36&amp;C36&amp;D36</f>
        <v/>
      </c>
      <c r="B36" s="412" t="inlineStr">
        <is>
          <t>T24CORE</t>
        </is>
      </c>
      <c r="C36" s="412" t="inlineStr">
        <is>
          <t>MB_MG_SAVING_MULTI</t>
        </is>
      </c>
      <c r="D36" s="412" t="inlineStr">
        <is>
          <t>MB_LD_TYPE</t>
        </is>
      </c>
      <c r="E36" s="412" t="inlineStr">
        <is>
          <t>Bổ sung cho CTKM VÀ CTKM 2</t>
        </is>
      </c>
      <c r="F36" s="410" t="inlineStr">
        <is>
          <t>X</t>
        </is>
      </c>
      <c r="G36" s="412" t="inlineStr">
        <is>
          <t>Loan Arrangement Profile</t>
        </is>
      </c>
      <c r="H36" s="412" t="inlineStr">
        <is>
          <t>Promotion Program / Promotion Program 2</t>
        </is>
      </c>
      <c r="I36" s="412" t="inlineStr">
        <is>
          <t>Map 1:1 từ T24CORE.MB_MG_SAVING_MULTI.MB_LD_TYPE sang PG_BRONZE.T24CORE_MB_MG_SAVING_MULTI.MB_LD_TYPE</t>
        </is>
      </c>
      <c r="J36" s="419" t="inlineStr">
        <is>
          <t>2025-11-26</t>
        </is>
      </c>
      <c r="K36" s="385" t="inlineStr">
        <is>
          <t>1:1</t>
        </is>
      </c>
      <c r="L36" s="385" t="inlineStr">
        <is>
          <t>PG_BRONZE</t>
        </is>
      </c>
      <c r="M36" s="386" t="inlineStr">
        <is>
          <t>T24CORE_MB_MG_SAVING_MULTI</t>
        </is>
      </c>
      <c r="N36" s="386" t="inlineStr">
        <is>
          <t>MB_LD_TYPE</t>
        </is>
      </c>
      <c r="O36" s="385" t="inlineStr">
        <is>
          <t>VARCHAR2</t>
        </is>
      </c>
      <c r="P36" s="420" t="n">
        <v>100</v>
      </c>
      <c r="Q36" s="386">
        <f>"COMMENT ON COLUMN "&amp;L36&amp;"."&amp;M36&amp;"."&amp;N36&amp;" IS '"&amp;E36&amp;"';"</f>
        <v/>
      </c>
      <c r="R36" s="414" t="inlineStr">
        <is>
          <t>Map 1:1 nguyên bản từ T24CORE.MB_MG_SAVING_MULTI.MB_LD_TYPE -&gt; PG_BRONZE.T24CORE_MB_MG_SAVING_MULTI.MB_LD_TYPE</t>
        </is>
      </c>
    </row>
    <row r="37" ht="14.25" customHeight="1" s="335">
      <c r="A37" s="412">
        <f>B37&amp;C37&amp;D37</f>
        <v/>
      </c>
      <c r="B37" s="412" t="inlineStr">
        <is>
          <t>FLEXBO</t>
        </is>
      </c>
      <c r="C37" s="412" t="inlineStr">
        <is>
          <t>PGBLD_RT_CONTRACT_UDFIELD_HIST</t>
        </is>
      </c>
      <c r="D37" s="412" t="inlineStr">
        <is>
          <t>CO_CAU_NO</t>
        </is>
      </c>
      <c r="E37" s="412" t="inlineStr">
        <is>
          <t>Cơ cấu nợ</t>
        </is>
      </c>
      <c r="F37" s="410" t="inlineStr">
        <is>
          <t>X</t>
        </is>
      </c>
      <c r="G37" s="412" t="inlineStr">
        <is>
          <t>Loan Arrangement Profile / CUST_INFO_DAILY</t>
        </is>
      </c>
      <c r="H37" s="412" t="inlineStr">
        <is>
          <t>Debt Restructuring Type Code</t>
        </is>
      </c>
      <c r="I37" s="412" t="inlineStr">
        <is>
          <t>Map 1:1 từ FLEXBO.PGBLD_RT_CONTRACT_UDFIELD_HIST.CO_CAU_NO sang PG_BRONZE.FLEXBO_PGBLD_RT_CONTRACT_UDFIELD_HIST.CO_CAU_NO</t>
        </is>
      </c>
      <c r="J37" s="419" t="inlineStr">
        <is>
          <t>2025-11-26</t>
        </is>
      </c>
      <c r="K37" s="385" t="inlineStr">
        <is>
          <t>1:1</t>
        </is>
      </c>
      <c r="L37" s="385" t="inlineStr">
        <is>
          <t>PG_BRONZE</t>
        </is>
      </c>
      <c r="M37" s="386" t="inlineStr">
        <is>
          <t>FLEXBO_PGBLD_RT_CONTRACT_UDFIELD_HIST</t>
        </is>
      </c>
      <c r="N37" s="386" t="inlineStr">
        <is>
          <t>CO_CAU_NO</t>
        </is>
      </c>
      <c r="O37" s="385" t="inlineStr">
        <is>
          <t>VARCHAR2</t>
        </is>
      </c>
      <c r="P37" s="420" t="n">
        <v>100</v>
      </c>
      <c r="Q37" s="386">
        <f>"COMMENT ON COLUMN "&amp;L37&amp;"."&amp;M37&amp;"."&amp;N37&amp;" IS '"&amp;E37&amp;"';"</f>
        <v/>
      </c>
      <c r="R37" s="414" t="inlineStr">
        <is>
          <t>Map 1:1 nguyên bản từ FLEXBO.PGBLD_RT_CONTRACT_UDFIELD_HIST.CO_CAU_NO -&gt; PG_BRONZE.FLEXBO_PGBLD_RT_CONTRACT_UDFIELD_HIST.CO_CAU_NO</t>
        </is>
      </c>
    </row>
    <row r="38" ht="14.25" customHeight="1" s="335">
      <c r="A38" s="412">
        <f>B38&amp;C38&amp;D38</f>
        <v/>
      </c>
      <c r="B38" s="412" t="inlineStr">
        <is>
          <t>FLEXBO</t>
        </is>
      </c>
      <c r="C38" s="412" t="inlineStr">
        <is>
          <t>PGBLD_RT_CONTRACT_UDFIELD_HIST</t>
        </is>
      </c>
      <c r="D38" s="412" t="inlineStr">
        <is>
          <t>CONTRACT_REF_NO</t>
        </is>
      </c>
      <c r="E38" s="412" t="inlineStr">
        <is>
          <t>Mã Hợp đồng</t>
        </is>
      </c>
      <c r="F38" s="410" t="inlineStr">
        <is>
          <t>X</t>
        </is>
      </c>
      <c r="G38" s="412" t="inlineStr">
        <is>
          <t>Loan Arrangement Profile / CUST_INFO_DAILY</t>
        </is>
      </c>
      <c r="H38" s="412" t="inlineStr">
        <is>
          <t>Arrangement Code/ Arrangement ID</t>
        </is>
      </c>
      <c r="I38" s="412" t="inlineStr">
        <is>
          <t>Map 1:1 từ FLEXBO.PGBLD_RT_CONTRACT_UDFIELD_HIST.CONTRACT_REF_NO sang PG_BRONZE.FLEXBO_PGBLD_RT_CONTRACT_UDFIELD_HIST.CONTRACT_REF_NO</t>
        </is>
      </c>
      <c r="J38" s="419" t="inlineStr">
        <is>
          <t>2025-11-26</t>
        </is>
      </c>
      <c r="K38" s="385" t="inlineStr">
        <is>
          <t>1:1</t>
        </is>
      </c>
      <c r="L38" s="385" t="inlineStr">
        <is>
          <t>PG_BRONZE</t>
        </is>
      </c>
      <c r="M38" s="386" t="inlineStr">
        <is>
          <t>FLEXBO_PGBLD_RT_CONTRACT_UDFIELD_HIST</t>
        </is>
      </c>
      <c r="N38" s="386" t="inlineStr">
        <is>
          <t>CONTRACT_REF_NO</t>
        </is>
      </c>
      <c r="O38" s="385" t="inlineStr">
        <is>
          <t>VARCHAR2</t>
        </is>
      </c>
      <c r="P38" s="420" t="n">
        <v>100</v>
      </c>
      <c r="Q38" s="386">
        <f>"COMMENT ON COLUMN "&amp;L38&amp;"."&amp;M38&amp;"."&amp;N38&amp;" IS '"&amp;E38&amp;"';"</f>
        <v/>
      </c>
      <c r="R38" s="414" t="inlineStr">
        <is>
          <t>Map 1:1 nguyên bản từ FLEXBO.PGBLD_RT_CONTRACT_UDFIELD_HIST.CONTRACT_REF_NO -&gt; PG_BRONZE.FLEXBO_PGBLD_RT_CONTRACT_UDFIELD_HIST.CONTRACT_REF_NO</t>
        </is>
      </c>
    </row>
    <row r="39" ht="14.25" customHeight="1" s="335">
      <c r="A39" s="412">
        <f>B39&amp;C39&amp;D39</f>
        <v/>
      </c>
      <c r="B39" s="412" t="inlineStr">
        <is>
          <t>FLEXBO</t>
        </is>
      </c>
      <c r="C39" s="412" t="inlineStr">
        <is>
          <t>PGBLD_RT_CONTRACT_UDFIELD_HIST</t>
        </is>
      </c>
      <c r="D39" s="412" t="inlineStr">
        <is>
          <t>NGAY_HET_COVID19</t>
        </is>
      </c>
      <c r="E39" s="412" t="inlineStr">
        <is>
          <t>Ngày hết covid/ Ngày hết hạn cơ cấu</t>
        </is>
      </c>
      <c r="F39" s="410" t="inlineStr">
        <is>
          <t>X</t>
        </is>
      </c>
      <c r="G39" s="412" t="inlineStr">
        <is>
          <t>Loan Arrangement Profile / CUST_INFO_DAILY</t>
        </is>
      </c>
      <c r="H39" s="412" t="inlineStr">
        <is>
          <t>Covid19 Restructuring Completion Date</t>
        </is>
      </c>
      <c r="I39" s="412" t="inlineStr">
        <is>
          <t>Map 1:1 từ FLEXBO.PGBLD_RT_CONTRACT_UDFIELD_HIST.NGAY_HET_COVID19 sang PG_BRONZE.FLEXBO_PGBLD_RT_CONTRACT_UDFIELD_HIST.NGAY_HET_COVID19</t>
        </is>
      </c>
      <c r="J39" s="419" t="inlineStr">
        <is>
          <t>2025-11-26</t>
        </is>
      </c>
      <c r="K39" s="385" t="inlineStr">
        <is>
          <t>1:1</t>
        </is>
      </c>
      <c r="L39" s="385" t="inlineStr">
        <is>
          <t>PG_BRONZE</t>
        </is>
      </c>
      <c r="M39" s="386" t="inlineStr">
        <is>
          <t>FLEXBO_PGBLD_RT_CONTRACT_UDFIELD_HIST</t>
        </is>
      </c>
      <c r="N39" s="386" t="inlineStr">
        <is>
          <t>NGAY_HET_COVID19</t>
        </is>
      </c>
      <c r="O39" s="385" t="inlineStr">
        <is>
          <t>DATE</t>
        </is>
      </c>
      <c r="P39" s="420" t="n">
        <v>8</v>
      </c>
      <c r="Q39" s="386">
        <f>"COMMENT ON COLUMN "&amp;L39&amp;"."&amp;M39&amp;"."&amp;N39&amp;" IS '"&amp;E39&amp;"';"</f>
        <v/>
      </c>
      <c r="R39" s="414" t="inlineStr">
        <is>
          <t>Map 1:1 nguyên bản từ FLEXBO.PGBLD_RT_CONTRACT_UDFIELD_HIST.NGAY_HET_COVID19 -&gt; PG_BRONZE.FLEXBO_PGBLD_RT_CONTRACT_UDFIELD_HIST.NGAY_HET_COVID19</t>
        </is>
      </c>
    </row>
    <row r="40" ht="14.25" customHeight="1" s="335">
      <c r="A40" s="412">
        <f>B40&amp;C40&amp;D40</f>
        <v/>
      </c>
      <c r="B40" s="412" t="inlineStr">
        <is>
          <t>LOS_APP</t>
        </is>
      </c>
      <c r="C40" s="412" t="inlineStr">
        <is>
          <t>FACILITY@TO_LOS</t>
        </is>
      </c>
      <c r="D40" s="412" t="inlineStr">
        <is>
          <t>ID</t>
        </is>
      </c>
      <c r="E40" s="412" t="inlineStr">
        <is>
          <t>Key của bản ghi</t>
        </is>
      </c>
      <c r="F40" s="410" t="inlineStr">
        <is>
          <t>X</t>
        </is>
      </c>
      <c r="G40" s="412" t="inlineStr">
        <is>
          <t>Loan Arrangement / CUST_INFO_DAILY</t>
        </is>
      </c>
      <c r="H40" s="412" t="inlineStr">
        <is>
          <t>Id</t>
        </is>
      </c>
      <c r="I40" s="412" t="inlineStr">
        <is>
          <t>Map 1:1 từ LOS_APP.FACILITY@TO_LOS.ID sang PG_BRONZE.LOS_APP_FACILITY.ID</t>
        </is>
      </c>
      <c r="J40" s="419" t="inlineStr">
        <is>
          <t>2025-11-26</t>
        </is>
      </c>
      <c r="K40" s="385" t="inlineStr">
        <is>
          <t>1:1</t>
        </is>
      </c>
      <c r="L40" s="385" t="inlineStr">
        <is>
          <t>PG_BRONZE</t>
        </is>
      </c>
      <c r="M40" s="386" t="inlineStr">
        <is>
          <t>LOS_APP_FACILITY</t>
        </is>
      </c>
      <c r="N40" s="386" t="inlineStr">
        <is>
          <t>ID</t>
        </is>
      </c>
      <c r="O40" s="385" t="inlineStr">
        <is>
          <t>VARCHAR2</t>
        </is>
      </c>
      <c r="P40" s="420" t="n">
        <v>100</v>
      </c>
      <c r="Q40" s="386">
        <f>"COMMENT ON COLUMN "&amp;L40&amp;"."&amp;M40&amp;"."&amp;N40&amp;" IS '"&amp;E40&amp;"';"</f>
        <v/>
      </c>
      <c r="R40" s="414" t="inlineStr">
        <is>
          <t>Map 1:1 nguyên bản từ LOS_APP.FACILITY@TO_LOS.ID -&gt; PG_BRONZE.LOS_APP_FACILITY.ID</t>
        </is>
      </c>
    </row>
    <row r="41" ht="14.25" customHeight="1" s="335">
      <c r="A41" s="412">
        <f>B41&amp;C41&amp;D41</f>
        <v/>
      </c>
      <c r="B41" s="421" t="inlineStr">
        <is>
          <t>LOS_APP</t>
        </is>
      </c>
      <c r="C41" s="421" t="inlineStr">
        <is>
          <t>FACILITY@TO_LOS</t>
        </is>
      </c>
      <c r="D41" s="412" t="inlineStr">
        <is>
          <t>PRODUCT_ID</t>
        </is>
      </c>
      <c r="E41" s="412" t="inlineStr">
        <is>
          <t>Mã sản phẩm</t>
        </is>
      </c>
      <c r="F41" s="410" t="inlineStr">
        <is>
          <t>X</t>
        </is>
      </c>
      <c r="G41" s="412" t="inlineStr">
        <is>
          <t>Loan Arrangement / CUST_INFO_DAILY</t>
        </is>
      </c>
      <c r="H41" s="412" t="inlineStr">
        <is>
          <t>Product Id</t>
        </is>
      </c>
      <c r="I41" s="412" t="inlineStr">
        <is>
          <t>Map 1:1 từ LOS_APP.FACILITY@TO_LOS.PRODUCT_ID sang PG_BRONZE.LOS_APP_FACILITY.PRODUCT_ID</t>
        </is>
      </c>
      <c r="J41" s="410" t="inlineStr">
        <is>
          <t>2025-11-26</t>
        </is>
      </c>
      <c r="K41" s="385" t="inlineStr">
        <is>
          <t>1:1</t>
        </is>
      </c>
      <c r="L41" s="385" t="inlineStr">
        <is>
          <t>PG_BRONZE</t>
        </is>
      </c>
      <c r="M41" s="386" t="inlineStr">
        <is>
          <t>LOS_APP_FACILITY</t>
        </is>
      </c>
      <c r="N41" s="386" t="inlineStr">
        <is>
          <t>PRODUCT_ID</t>
        </is>
      </c>
      <c r="O41" s="385" t="inlineStr">
        <is>
          <t>VARCHAR2</t>
        </is>
      </c>
      <c r="P41" s="420" t="n">
        <v>100</v>
      </c>
      <c r="Q41" s="386">
        <f>"COMMENT ON COLUMN "&amp;L41&amp;"."&amp;M41&amp;"."&amp;N41&amp;" IS '"&amp;E41&amp;"';"</f>
        <v/>
      </c>
      <c r="R41" s="414" t="inlineStr">
        <is>
          <t>Map 1:1 nguyên bản từ LOS_APP.FACILITY@TO_LOS.PRODUCT_ID -&gt; PG_BRONZE.LOS_APP_FACILITY.PRODUCT_ID</t>
        </is>
      </c>
    </row>
    <row r="42" ht="14.25" customHeight="1" s="335">
      <c r="A42" s="412">
        <f>B42&amp;C42&amp;D42</f>
        <v/>
      </c>
      <c r="B42" s="412" t="inlineStr">
        <is>
          <t>LOS_APP</t>
        </is>
      </c>
      <c r="C42" s="412" t="inlineStr">
        <is>
          <t>LOAN_DISBURSEMENT@TO_LOS</t>
        </is>
      </c>
      <c r="D42" s="412" t="inlineStr">
        <is>
          <t>AMND_STATE</t>
        </is>
      </c>
      <c r="E42" s="412" t="inlineStr">
        <is>
          <t>Trạng thái Hợp đồng</t>
        </is>
      </c>
      <c r="F42" s="410" t="inlineStr">
        <is>
          <t>X</t>
        </is>
      </c>
      <c r="G42" s="412" t="inlineStr">
        <is>
          <t>Loan Arrangement / CUST_INFO_DAILY</t>
        </is>
      </c>
      <c r="H42" s="412" t="inlineStr">
        <is>
          <t>Amnd State</t>
        </is>
      </c>
      <c r="I42" s="412" t="inlineStr">
        <is>
          <t>Map 1:1 từ LOS_APP.LOAN_DISBURSEMENT@TO_LOS.AMND_STATE sang PG_BRONZE.LOS_APP_LOAN_DISBURSEMENT.AMND_STATE</t>
        </is>
      </c>
      <c r="J42" s="419" t="inlineStr">
        <is>
          <t>2025-11-26</t>
        </is>
      </c>
      <c r="K42" s="385" t="inlineStr">
        <is>
          <t>1:1</t>
        </is>
      </c>
      <c r="L42" s="385" t="inlineStr">
        <is>
          <t>PG_BRONZE</t>
        </is>
      </c>
      <c r="M42" s="386" t="inlineStr">
        <is>
          <t>LOS_APP_LOAN_DISBURSEMENT</t>
        </is>
      </c>
      <c r="N42" s="386" t="inlineStr">
        <is>
          <t>AMND_STATE</t>
        </is>
      </c>
      <c r="O42" s="385" t="inlineStr">
        <is>
          <t>VARCHAR2</t>
        </is>
      </c>
      <c r="P42" s="420" t="n">
        <v>100</v>
      </c>
      <c r="Q42" s="386">
        <f>"COMMENT ON COLUMN "&amp;L42&amp;"."&amp;M42&amp;"."&amp;N42&amp;" IS '"&amp;E42&amp;"';"</f>
        <v/>
      </c>
      <c r="R42" s="414" t="inlineStr">
        <is>
          <t>Map 1:1 nguyên bản từ LOS_APP.LOAN_DISBURSEMENT@TO_LOS.AMND_STATE -&gt; PG_BRONZE.LOS_APP_LOAN_DISBURSEMENT.AMND_STATE</t>
        </is>
      </c>
    </row>
    <row r="43" ht="14.25" customHeight="1" s="335">
      <c r="A43" s="412">
        <f>B43&amp;C43&amp;D43</f>
        <v/>
      </c>
      <c r="B43" s="412" t="inlineStr">
        <is>
          <t>LOS_APP</t>
        </is>
      </c>
      <c r="C43" s="412" t="inlineStr">
        <is>
          <t>LOAN_DISBURSEMENT@TO_LOS</t>
        </is>
      </c>
      <c r="D43" s="412" t="inlineStr">
        <is>
          <t>BOOKING_DATE</t>
        </is>
      </c>
      <c r="E43" s="412" t="inlineStr">
        <is>
          <t>Ngày ghi nhận</t>
        </is>
      </c>
      <c r="F43" s="410" t="inlineStr">
        <is>
          <t>X</t>
        </is>
      </c>
      <c r="G43" s="412" t="inlineStr">
        <is>
          <t>Loan Arrangement / CUST_INFO_DAILY</t>
        </is>
      </c>
      <c r="H43" s="412" t="inlineStr">
        <is>
          <t>Booking Date</t>
        </is>
      </c>
      <c r="I43" s="412" t="inlineStr">
        <is>
          <t>Map 1:1 từ LOS_APP.LOAN_DISBURSEMENT@TO_LOS.BOOKING_DATE sang PG_BRONZE.LOS_APP_LOAN_DISBURSEMENT.BOOKING_DATE</t>
        </is>
      </c>
      <c r="J43" s="410" t="inlineStr">
        <is>
          <t>2025-11-26</t>
        </is>
      </c>
      <c r="K43" s="385" t="inlineStr">
        <is>
          <t>1:1</t>
        </is>
      </c>
      <c r="L43" s="385" t="inlineStr">
        <is>
          <t>PG_BRONZE</t>
        </is>
      </c>
      <c r="M43" s="386" t="inlineStr">
        <is>
          <t>LOS_APP_LOAN_DISBURSEMENT</t>
        </is>
      </c>
      <c r="N43" s="386" t="inlineStr">
        <is>
          <t>BOOKING_DATE</t>
        </is>
      </c>
      <c r="O43" s="385" t="inlineStr">
        <is>
          <t>DATE</t>
        </is>
      </c>
      <c r="P43" s="420" t="n">
        <v>8</v>
      </c>
      <c r="Q43" s="386">
        <f>"COMMENT ON COLUMN "&amp;L43&amp;"."&amp;M43&amp;"."&amp;N43&amp;" IS '"&amp;E43&amp;"';"</f>
        <v/>
      </c>
      <c r="R43" s="414" t="inlineStr">
        <is>
          <t>Map 1:1 nguyên bản từ LOS_APP.LOAN_DISBURSEMENT@TO_LOS.BOOKING_DATE -&gt; PG_BRONZE.LOS_APP_LOAN_DISBURSEMENT.BOOKING_DATE</t>
        </is>
      </c>
    </row>
    <row r="44" ht="14.25" customHeight="1" s="335">
      <c r="A44" s="412">
        <f>B44&amp;C44&amp;D44</f>
        <v/>
      </c>
      <c r="B44" s="412" t="inlineStr">
        <is>
          <t>LOS_APP</t>
        </is>
      </c>
      <c r="C44" s="412" t="inlineStr">
        <is>
          <t>LOAN_DISBURSEMENT@TO_LOS</t>
        </is>
      </c>
      <c r="D44" s="412" t="inlineStr">
        <is>
          <t>EXT_REF_NO_1</t>
        </is>
      </c>
      <c r="E44" s="412" t="inlineStr">
        <is>
          <t>Số tham chiếu bên ngoài</t>
        </is>
      </c>
      <c r="F44" s="410" t="inlineStr">
        <is>
          <t>X</t>
        </is>
      </c>
      <c r="G44" s="412" t="inlineStr">
        <is>
          <t>Loan Arrangement / CUST_INFO_DAILY</t>
        </is>
      </c>
      <c r="H44" s="412" t="inlineStr">
        <is>
          <t>Ext Ref No 1</t>
        </is>
      </c>
      <c r="I44" s="412" t="inlineStr">
        <is>
          <t>Map 1:1 từ LOS_APP.LOAN_DISBURSEMENT@TO_LOS.EXT_REF_NO_1 sang PG_BRONZE.LOS_APP_LOAN_DISBURSEMENT.EXT_REF_NO_1</t>
        </is>
      </c>
      <c r="J44" s="410" t="inlineStr">
        <is>
          <t>2025-11-26</t>
        </is>
      </c>
      <c r="K44" s="385" t="inlineStr">
        <is>
          <t>1:1</t>
        </is>
      </c>
      <c r="L44" s="385" t="inlineStr">
        <is>
          <t>PG_BRONZE</t>
        </is>
      </c>
      <c r="M44" s="386" t="inlineStr">
        <is>
          <t>LOS_APP_LOAN_DISBURSEMENT</t>
        </is>
      </c>
      <c r="N44" s="386" t="inlineStr">
        <is>
          <t>EXT_REF_NO_1</t>
        </is>
      </c>
      <c r="O44" s="385" t="inlineStr">
        <is>
          <t>VARCHAR2</t>
        </is>
      </c>
      <c r="P44" s="420" t="n">
        <v>100</v>
      </c>
      <c r="Q44" s="386">
        <f>"COMMENT ON COLUMN "&amp;L44&amp;"."&amp;M44&amp;"."&amp;N44&amp;" IS '"&amp;E44&amp;"';"</f>
        <v/>
      </c>
      <c r="R44" s="414" t="inlineStr">
        <is>
          <t>Map 1:1 nguyên bản từ LOS_APP.LOAN_DISBURSEMENT@TO_LOS.EXT_REF_NO_1 -&gt; PG_BRONZE.LOS_APP_LOAN_DISBURSEMENT.EXT_REF_NO_1</t>
        </is>
      </c>
    </row>
    <row r="45" ht="14.25" customHeight="1" s="335">
      <c r="A45" s="412">
        <f>B45&amp;C45&amp;D45</f>
        <v/>
      </c>
      <c r="B45" s="421" t="inlineStr">
        <is>
          <t>LOS_APP</t>
        </is>
      </c>
      <c r="C45" s="421" t="inlineStr">
        <is>
          <t>LOAN_DISBURSEMENT@TO_LOS</t>
        </is>
      </c>
      <c r="D45" s="412" t="inlineStr">
        <is>
          <t>FACILITY_ID</t>
        </is>
      </c>
      <c r="E45" s="412" t="inlineStr">
        <is>
          <t>Mã định danh hạn mức tín dụng</t>
        </is>
      </c>
      <c r="F45" s="410" t="inlineStr">
        <is>
          <t>X</t>
        </is>
      </c>
      <c r="G45" s="412" t="inlineStr">
        <is>
          <t>Loan Arrangement / CUST_INFO_DAILY</t>
        </is>
      </c>
      <c r="H45" s="412" t="inlineStr">
        <is>
          <t>Facility Id</t>
        </is>
      </c>
      <c r="I45" s="412" t="inlineStr">
        <is>
          <t>Map 1:1 từ LOS_APP.LOAN_DISBURSEMENT@TO_LOS.FACILITY_ID sang PG_BRONZE.LOS_APP_LOAN_DISBURSEMENT.FACILITY_ID</t>
        </is>
      </c>
      <c r="J45" s="410" t="inlineStr">
        <is>
          <t>2025-11-26</t>
        </is>
      </c>
      <c r="K45" s="385" t="inlineStr">
        <is>
          <t>1:1</t>
        </is>
      </c>
      <c r="L45" s="385" t="inlineStr">
        <is>
          <t>PG_BRONZE</t>
        </is>
      </c>
      <c r="M45" s="386" t="inlineStr">
        <is>
          <t>LOS_APP_LOAN_DISBURSEMENT</t>
        </is>
      </c>
      <c r="N45" s="386" t="inlineStr">
        <is>
          <t>FACILITY_ID</t>
        </is>
      </c>
      <c r="O45" s="385" t="inlineStr">
        <is>
          <t>VARCHAR2</t>
        </is>
      </c>
      <c r="P45" s="420" t="n">
        <v>100</v>
      </c>
      <c r="Q45" s="386">
        <f>"COMMENT ON COLUMN "&amp;L45&amp;"."&amp;M45&amp;"."&amp;N45&amp;" IS '"&amp;E45&amp;"';"</f>
        <v/>
      </c>
      <c r="R45" s="414" t="inlineStr">
        <is>
          <t>Map 1:1 nguyên bản từ LOS_APP.LOAN_DISBURSEMENT@TO_LOS.FACILITY_ID -&gt; PG_BRONZE.LOS_APP_LOAN_DISBURSEMENT.FACILITY_ID</t>
        </is>
      </c>
    </row>
    <row r="46" ht="14.25" customHeight="1" s="335">
      <c r="A46" s="412">
        <f>B46&amp;C46&amp;D46</f>
        <v/>
      </c>
      <c r="B46" s="412" t="inlineStr">
        <is>
          <t>LOS_APP</t>
        </is>
      </c>
      <c r="C46" s="412" t="inlineStr">
        <is>
          <t>LOAN_DISBURSEMENT@TO_LOS</t>
        </is>
      </c>
      <c r="D46" s="412" t="inlineStr">
        <is>
          <t>STATUS</t>
        </is>
      </c>
      <c r="E46" s="412" t="inlineStr">
        <is>
          <t>Trạng thái tín dụng</t>
        </is>
      </c>
      <c r="F46" s="410" t="inlineStr">
        <is>
          <t>X</t>
        </is>
      </c>
      <c r="G46" s="412" t="inlineStr">
        <is>
          <t>Loan Arrangement / CUST_INFO_DAILY</t>
        </is>
      </c>
      <c r="H46" s="412" t="inlineStr">
        <is>
          <t>Status</t>
        </is>
      </c>
      <c r="I46" s="412" t="inlineStr">
        <is>
          <t>Map 1:1 từ LOS_APP.LOAN_DISBURSEMENT@TO_LOS.STATUS sang PG_BRONZE.LOS_APP_LOAN_DISBURSEMENT.STATUS</t>
        </is>
      </c>
      <c r="J46" s="410" t="inlineStr">
        <is>
          <t>2025-11-26</t>
        </is>
      </c>
      <c r="K46" s="385" t="inlineStr">
        <is>
          <t>1:1</t>
        </is>
      </c>
      <c r="L46" s="385" t="inlineStr">
        <is>
          <t>PG_BRONZE</t>
        </is>
      </c>
      <c r="M46" s="386" t="inlineStr">
        <is>
          <t>LOS_APP_LOAN_DISBURSEMENT</t>
        </is>
      </c>
      <c r="N46" s="386" t="inlineStr">
        <is>
          <t>STATUS</t>
        </is>
      </c>
      <c r="O46" s="385" t="inlineStr">
        <is>
          <t>VARCHAR2</t>
        </is>
      </c>
      <c r="P46" s="420" t="n">
        <v>100</v>
      </c>
      <c r="Q46" s="386">
        <f>"COMMENT ON COLUMN "&amp;L46&amp;"."&amp;M46&amp;"."&amp;N46&amp;" IS '"&amp;E46&amp;"';"</f>
        <v/>
      </c>
      <c r="R46" s="414" t="inlineStr">
        <is>
          <t>Map 1:1 nguyên bản từ LOS_APP.LOAN_DISBURSEMENT@TO_LOS.STATUS -&gt; PG_BRONZE.LOS_APP_LOAN_DISBURSEMENT.STATUS</t>
        </is>
      </c>
    </row>
    <row r="47" ht="14.25" customHeight="1" s="335">
      <c r="A47" s="412">
        <f>B47&amp;C47&amp;D47</f>
        <v/>
      </c>
      <c r="B47" s="412" t="inlineStr">
        <is>
          <t>LOS_APP</t>
        </is>
      </c>
      <c r="C47" s="412" t="inlineStr">
        <is>
          <t>PRODUCT@TO_LOS</t>
        </is>
      </c>
      <c r="D47" s="412" t="inlineStr">
        <is>
          <t>ID</t>
        </is>
      </c>
      <c r="E47" s="412" t="inlineStr">
        <is>
          <t>Key của bản ghi</t>
        </is>
      </c>
      <c r="F47" s="410" t="inlineStr">
        <is>
          <t>X</t>
        </is>
      </c>
      <c r="G47" s="412" t="inlineStr">
        <is>
          <t>Product / CUST_INFO_DAILY</t>
        </is>
      </c>
      <c r="H47" s="412" t="inlineStr">
        <is>
          <t>Id</t>
        </is>
      </c>
      <c r="I47" s="412" t="inlineStr">
        <is>
          <t>Map 1:1 từ LOS_APP.PRODUCT@TO_LOS.ID sang PG_BRONZE.LOS_APP_PRODUCT.ID</t>
        </is>
      </c>
      <c r="J47" s="410" t="inlineStr">
        <is>
          <t>2025-11-26</t>
        </is>
      </c>
      <c r="K47" s="385" t="inlineStr">
        <is>
          <t>1:1</t>
        </is>
      </c>
      <c r="L47" s="385" t="inlineStr">
        <is>
          <t>PG_BRONZE</t>
        </is>
      </c>
      <c r="M47" s="386" t="inlineStr">
        <is>
          <t>LOS_APP_PRODUCT</t>
        </is>
      </c>
      <c r="N47" s="386" t="inlineStr">
        <is>
          <t>ID</t>
        </is>
      </c>
      <c r="O47" s="385" t="inlineStr">
        <is>
          <t>VARCHAR2</t>
        </is>
      </c>
      <c r="P47" s="420" t="n">
        <v>100</v>
      </c>
      <c r="Q47" s="386">
        <f>"COMMENT ON COLUMN "&amp;L47&amp;"."&amp;M47&amp;"."&amp;N47&amp;" IS '"&amp;E47&amp;"';"</f>
        <v/>
      </c>
      <c r="R47" s="414" t="inlineStr">
        <is>
          <t>Map 1:1 nguyên bản từ LOS_APP.PRODUCT@TO_LOS.ID -&gt; PG_BRONZE.LOS_APP_PRODUCT.ID</t>
        </is>
      </c>
    </row>
    <row r="48" ht="14.25" customHeight="1" s="335">
      <c r="A48" s="412">
        <f>B48&amp;C48&amp;D48</f>
        <v/>
      </c>
      <c r="B48" s="421" t="inlineStr">
        <is>
          <t>LOS_APP</t>
        </is>
      </c>
      <c r="C48" s="421" t="inlineStr">
        <is>
          <t>PRODUCT@TO_LOS</t>
        </is>
      </c>
      <c r="D48" s="412" t="inlineStr">
        <is>
          <t>PRODUCT_CODE</t>
        </is>
      </c>
      <c r="E48" s="412" t="inlineStr">
        <is>
          <t>Mã sản phẩm</t>
        </is>
      </c>
      <c r="F48" s="410" t="inlineStr">
        <is>
          <t>X</t>
        </is>
      </c>
      <c r="G48" s="412" t="inlineStr">
        <is>
          <t>Loan Arrangement</t>
        </is>
      </c>
      <c r="H48" s="412" t="inlineStr">
        <is>
          <t>Product Code</t>
        </is>
      </c>
      <c r="I48" s="412" t="inlineStr">
        <is>
          <t>nvl(los, ld)</t>
        </is>
      </c>
      <c r="J48" s="410" t="inlineStr">
        <is>
          <t>2025-11-26</t>
        </is>
      </c>
      <c r="K48" s="385" t="inlineStr">
        <is>
          <t>1:1</t>
        </is>
      </c>
      <c r="L48" s="385" t="inlineStr">
        <is>
          <t>PG_BRONZE</t>
        </is>
      </c>
      <c r="M48" s="386" t="inlineStr">
        <is>
          <t>LOS_APP_PRODUCT</t>
        </is>
      </c>
      <c r="N48" s="386" t="inlineStr">
        <is>
          <t>PRODUCT_CODE</t>
        </is>
      </c>
      <c r="O48" s="385" t="inlineStr">
        <is>
          <t>VARCHAR2</t>
        </is>
      </c>
      <c r="P48" s="420" t="n">
        <v>100</v>
      </c>
      <c r="Q48" s="386">
        <f>"COMMENT ON COLUMN "&amp;L48&amp;"."&amp;M48&amp;"."&amp;N48&amp;" IS '"&amp;E48&amp;"';"</f>
        <v/>
      </c>
      <c r="R48" s="414" t="inlineStr">
        <is>
          <t>Map 1:1 nguyên bản từ LOS_APP.PRODUCT@TO_LOS.PRODUCT_CODE -&gt; PG_BRONZE.LOS_APP_PRODUCT.PRODUCT_CODE</t>
        </is>
      </c>
    </row>
    <row r="49" ht="14.25" customHeight="1" s="335">
      <c r="A49" s="412">
        <f>B49&amp;C49&amp;D49</f>
        <v/>
      </c>
      <c r="B49" s="412" t="inlineStr">
        <is>
          <t>LOS_APP</t>
        </is>
      </c>
      <c r="C49" s="412" t="inlineStr">
        <is>
          <t>PRODUCT@TO_LOS</t>
        </is>
      </c>
      <c r="D49" s="412" t="inlineStr">
        <is>
          <t>PRODUCT_NAME</t>
        </is>
      </c>
      <c r="E49" s="412" t="inlineStr">
        <is>
          <t>Tên sản phẩm</t>
        </is>
      </c>
      <c r="F49" s="410" t="inlineStr">
        <is>
          <t>X</t>
        </is>
      </c>
      <c r="G49" s="412" t="inlineStr">
        <is>
          <t>Product / CUST_INFO_DAILY</t>
        </is>
      </c>
      <c r="H49" s="412" t="inlineStr">
        <is>
          <t>Product Name</t>
        </is>
      </c>
      <c r="I49" s="412" t="inlineStr">
        <is>
          <t>chưa có mapping</t>
        </is>
      </c>
      <c r="J49" s="419" t="inlineStr">
        <is>
          <t>2025-11-26</t>
        </is>
      </c>
      <c r="K49" s="385" t="inlineStr">
        <is>
          <t>1:1</t>
        </is>
      </c>
      <c r="L49" s="385" t="inlineStr">
        <is>
          <t>PG_BRONZE</t>
        </is>
      </c>
      <c r="M49" s="386" t="inlineStr">
        <is>
          <t>LOS_APP_PRODUCT</t>
        </is>
      </c>
      <c r="N49" s="386" t="inlineStr">
        <is>
          <t>PRODUCT_NAME</t>
        </is>
      </c>
      <c r="O49" s="385" t="inlineStr">
        <is>
          <t>VARCHAR2</t>
        </is>
      </c>
      <c r="P49" s="420" t="n">
        <v>255</v>
      </c>
      <c r="Q49" s="386">
        <f>"COMMENT ON COLUMN "&amp;L49&amp;"."&amp;M49&amp;"."&amp;N49&amp;" IS '"&amp;E49&amp;"';"</f>
        <v/>
      </c>
      <c r="R49" s="414" t="inlineStr">
        <is>
          <t>Map 1:1 nguyên bản từ LOS_APP.PRODUCT@TO_LOS.PRODUCT_NAME -&gt; PG_BRONZE.LOS_APP_PRODUCT.PRODUCT_NAME</t>
        </is>
      </c>
    </row>
    <row r="50" ht="14.25" customHeight="1" s="335">
      <c r="A50" s="412">
        <f>B50&amp;C50&amp;D50</f>
        <v/>
      </c>
      <c r="B50" s="412" t="inlineStr">
        <is>
          <t>SOURCE</t>
        </is>
      </c>
      <c r="C50" s="412" t="inlineStr">
        <is>
          <t>SAOKE_CRB</t>
        </is>
      </c>
      <c r="D50" s="412" t="inlineStr">
        <is>
          <t>ACC_FCC</t>
        </is>
      </c>
      <c r="E50" s="412" t="inlineStr">
        <is>
          <t>Mã hợp đồng FlexCube</t>
        </is>
      </c>
      <c r="F50" s="410" t="inlineStr">
        <is>
          <t>X</t>
        </is>
      </c>
      <c r="G50" s="412" t="inlineStr">
        <is>
          <t>Arrangement Balance / Saoke_GIAINGAN</t>
        </is>
      </c>
      <c r="H50" s="412" t="inlineStr">
        <is>
          <t>Acc Fcc</t>
        </is>
      </c>
      <c r="I50" s="412" t="inlineStr">
        <is>
          <t>Map 1:1 từ SOURCE.SAOKE_CRB.ACC_FCC sang PG_BRONZE.SOURCE_SAOKE_CRB.ACC_FCC</t>
        </is>
      </c>
      <c r="J50" s="419" t="inlineStr">
        <is>
          <t>2025-11-26</t>
        </is>
      </c>
      <c r="K50" s="385" t="inlineStr">
        <is>
          <t>1:1</t>
        </is>
      </c>
      <c r="L50" s="385" t="inlineStr">
        <is>
          <t>PG_BRONZE</t>
        </is>
      </c>
      <c r="M50" s="386" t="inlineStr">
        <is>
          <t>SOURCE_SAOKE_CRB</t>
        </is>
      </c>
      <c r="N50" s="386" t="inlineStr">
        <is>
          <t>ACC_FCC</t>
        </is>
      </c>
      <c r="O50" s="385" t="inlineStr">
        <is>
          <t>VARCHAR2</t>
        </is>
      </c>
      <c r="P50" s="420" t="n">
        <v>100</v>
      </c>
      <c r="Q50" s="386">
        <f>"COMMENT ON COLUMN "&amp;L50&amp;"."&amp;M50&amp;"."&amp;N50&amp;" IS '"&amp;E50&amp;"';"</f>
        <v/>
      </c>
      <c r="R50" s="414" t="inlineStr">
        <is>
          <t>Map 1:1 nguyên bản từ SOURCE.SAOKE_CRB.ACC_FCC -&gt; PG_BRONZE.SOURCE_SAOKE_CRB.ACC_FCC</t>
        </is>
      </c>
    </row>
    <row r="51" ht="14.25" customHeight="1" s="335">
      <c r="A51" s="412">
        <f>B51&amp;C51&amp;D51</f>
        <v/>
      </c>
      <c r="B51" s="412" t="inlineStr">
        <is>
          <t>SOURCE</t>
        </is>
      </c>
      <c r="C51" s="412" t="inlineStr">
        <is>
          <t>SAOKE_CRB</t>
        </is>
      </c>
      <c r="D51" s="412" t="inlineStr">
        <is>
          <t>AMOUNT_CUR</t>
        </is>
      </c>
      <c r="E51" s="412" t="inlineStr">
        <is>
          <t>Số tiền dự thu</t>
        </is>
      </c>
      <c r="F51" s="410" t="inlineStr">
        <is>
          <t>X</t>
        </is>
      </c>
      <c r="G51" s="412" t="inlineStr">
        <is>
          <t>Arrangement Balance / Saoke_GIAINGAN</t>
        </is>
      </c>
      <c r="H51" s="412" t="inlineStr">
        <is>
          <t>Receivable Amount LCY</t>
        </is>
      </c>
      <c r="I51" s="412" t="inlineStr">
        <is>
          <t>Map 1:1 từ SOURCE.SAOKE_CRB.AMOUNT_CUR sang PG_BRONZE.SOURCE_SAOKE_CRB.AMOUNT_CUR</t>
        </is>
      </c>
      <c r="J51" s="410" t="inlineStr">
        <is>
          <t>2025-11-26</t>
        </is>
      </c>
      <c r="K51" s="385" t="inlineStr">
        <is>
          <t>1:1</t>
        </is>
      </c>
      <c r="L51" s="385" t="inlineStr">
        <is>
          <t>PG_BRONZE</t>
        </is>
      </c>
      <c r="M51" s="386" t="inlineStr">
        <is>
          <t>SOURCE_SAOKE_CRB</t>
        </is>
      </c>
      <c r="N51" s="386" t="inlineStr">
        <is>
          <t>AMOUNT_CUR</t>
        </is>
      </c>
      <c r="O51" s="385" t="inlineStr">
        <is>
          <t>NUMBER</t>
        </is>
      </c>
      <c r="P51" s="420" t="n">
        <v>25.5</v>
      </c>
      <c r="Q51" s="386">
        <f>"COMMENT ON COLUMN "&amp;L51&amp;"."&amp;M51&amp;"."&amp;N51&amp;" IS '"&amp;E51&amp;"';"</f>
        <v/>
      </c>
      <c r="R51" s="414" t="inlineStr">
        <is>
          <t>Map 1:1 nguyên bản từ SOURCE.SAOKE_CRB.AMOUNT_CUR -&gt; PG_BRONZE.SOURCE_SAOKE_CRB.AMOUNT_CUR</t>
        </is>
      </c>
    </row>
    <row r="52" ht="14.25" customHeight="1" s="335">
      <c r="A52" s="412">
        <f>B52&amp;C52&amp;D52</f>
        <v/>
      </c>
      <c r="B52" s="412" t="inlineStr">
        <is>
          <t>SOURCE</t>
        </is>
      </c>
      <c r="C52" s="412" t="inlineStr">
        <is>
          <t>SAOKE_CRB</t>
        </is>
      </c>
      <c r="D52" s="412" t="inlineStr">
        <is>
          <t>AMOUNT_LCY</t>
        </is>
      </c>
      <c r="E52" s="412" t="inlineStr">
        <is>
          <t>Dư Nợ quy đổi</t>
        </is>
      </c>
      <c r="F52" s="410" t="inlineStr">
        <is>
          <t>X</t>
        </is>
      </c>
      <c r="G52" s="412" t="inlineStr">
        <is>
          <t>Arrangement Balance / Saoke_GIAINGAN</t>
        </is>
      </c>
      <c r="H52" s="412" t="inlineStr">
        <is>
          <t>Closing Balance LCY</t>
        </is>
      </c>
      <c r="I52" s="412" t="inlineStr">
        <is>
          <t>Map 1:1 từ SOURCE.SAOKE_CRB.AMOUNT_LCY sang PG_BRONZE.SOURCE_SAOKE_CRB.AMOUNT_LCY</t>
        </is>
      </c>
      <c r="J52" s="419" t="inlineStr">
        <is>
          <t>2025-11-26</t>
        </is>
      </c>
      <c r="K52" s="385" t="inlineStr">
        <is>
          <t>1:1</t>
        </is>
      </c>
      <c r="L52" s="385" t="inlineStr">
        <is>
          <t>PG_BRONZE</t>
        </is>
      </c>
      <c r="M52" s="386" t="inlineStr">
        <is>
          <t>SOURCE_SAOKE_CRB</t>
        </is>
      </c>
      <c r="N52" s="386" t="inlineStr">
        <is>
          <t>AMOUNT_LCY</t>
        </is>
      </c>
      <c r="O52" s="385" t="inlineStr">
        <is>
          <t>NUMBER</t>
        </is>
      </c>
      <c r="P52" s="420" t="n">
        <v>25.5</v>
      </c>
      <c r="Q52" s="386">
        <f>"COMMENT ON COLUMN "&amp;L52&amp;"."&amp;M52&amp;"."&amp;N52&amp;" IS '"&amp;E52&amp;"';"</f>
        <v/>
      </c>
      <c r="R52" s="414" t="inlineStr">
        <is>
          <t>Map 1:1 nguyên bản từ SOURCE.SAOKE_CRB.AMOUNT_LCY -&gt; PG_BRONZE.SOURCE_SAOKE_CRB.AMOUNT_LCY</t>
        </is>
      </c>
    </row>
    <row r="53" ht="14.25" customHeight="1" s="335">
      <c r="A53" s="412">
        <f>B53&amp;C53&amp;D53</f>
        <v/>
      </c>
      <c r="B53" s="412" t="inlineStr">
        <is>
          <t>SOURCE</t>
        </is>
      </c>
      <c r="C53" s="412" t="inlineStr">
        <is>
          <t>SAOKE_CRB</t>
        </is>
      </c>
      <c r="D53" s="412" t="inlineStr">
        <is>
          <t>APP_CODE</t>
        </is>
      </c>
      <c r="E53" s="412" t="inlineStr">
        <is>
          <t>Mã phân hệ: LD, MD, AC, PD</t>
        </is>
      </c>
      <c r="F53" s="410" t="inlineStr">
        <is>
          <t>X</t>
        </is>
      </c>
      <c r="G53" s="412" t="inlineStr">
        <is>
          <t>Arrangement Balance / Saoke_GIAINGAN</t>
        </is>
      </c>
      <c r="H53" s="412" t="inlineStr">
        <is>
          <t>Module Code</t>
        </is>
      </c>
      <c r="I53" s="412" t="inlineStr">
        <is>
          <t>Map 1:1 từ SOURCE.SAOKE_CRB.APP_CODE sang PG_BRONZE.SOURCE_SAOKE_CRB.APP_CODE</t>
        </is>
      </c>
      <c r="J53" s="410" t="inlineStr">
        <is>
          <t>2025-11-26</t>
        </is>
      </c>
      <c r="K53" s="385" t="inlineStr">
        <is>
          <t>1:1</t>
        </is>
      </c>
      <c r="L53" s="385" t="inlineStr">
        <is>
          <t>PG_BRONZE</t>
        </is>
      </c>
      <c r="M53" s="386" t="inlineStr">
        <is>
          <t>SOURCE_SAOKE_CRB</t>
        </is>
      </c>
      <c r="N53" s="386" t="inlineStr">
        <is>
          <t>APP_CODE</t>
        </is>
      </c>
      <c r="O53" s="385" t="inlineStr">
        <is>
          <t>VARCHAR2</t>
        </is>
      </c>
      <c r="P53" s="420" t="n">
        <v>100</v>
      </c>
      <c r="Q53" s="386">
        <f>"COMMENT ON COLUMN "&amp;L53&amp;"."&amp;M53&amp;"."&amp;N53&amp;" IS '"&amp;E53&amp;"';"</f>
        <v/>
      </c>
      <c r="R53" s="414" t="inlineStr">
        <is>
          <t>Map 1:1 nguyên bản từ SOURCE.SAOKE_CRB.APP_CODE -&gt; PG_BRONZE.SOURCE_SAOKE_CRB.APP_CODE</t>
        </is>
      </c>
    </row>
    <row r="54" ht="14.25" customHeight="1" s="335">
      <c r="A54" s="412">
        <f>B54&amp;C54&amp;D54</f>
        <v/>
      </c>
      <c r="B54" s="412" t="inlineStr">
        <is>
          <t>SOURCE</t>
        </is>
      </c>
      <c r="C54" s="412" t="inlineStr">
        <is>
          <t>SAOKE_CRB</t>
        </is>
      </c>
      <c r="D54" s="412" t="inlineStr">
        <is>
          <t>APP_ID</t>
        </is>
      </c>
      <c r="E54" s="412" t="inlineStr">
        <is>
          <t>Mã hợp đồng</t>
        </is>
      </c>
      <c r="F54" s="410" t="inlineStr">
        <is>
          <t>X</t>
        </is>
      </c>
      <c r="G54" s="412" t="inlineStr">
        <is>
          <t>Arrangement Balance / Saoke_GIAINGAN</t>
        </is>
      </c>
      <c r="H54" s="412" t="inlineStr">
        <is>
          <t>Arrangement Code, Arrangement Id</t>
        </is>
      </c>
      <c r="I54" s="412" t="inlineStr">
        <is>
          <t>Map 1:1 từ SOURCE.SAOKE_CRB.APP_ID sang PG_BRONZE.SOURCE_SAOKE_CRB.APP_ID</t>
        </is>
      </c>
      <c r="J54" s="410" t="inlineStr">
        <is>
          <t>2025-11-26</t>
        </is>
      </c>
      <c r="K54" s="385" t="inlineStr">
        <is>
          <t>1:1</t>
        </is>
      </c>
      <c r="L54" s="385" t="inlineStr">
        <is>
          <t>PG_BRONZE</t>
        </is>
      </c>
      <c r="M54" s="386" t="inlineStr">
        <is>
          <t>SOURCE_SAOKE_CRB</t>
        </is>
      </c>
      <c r="N54" s="386" t="inlineStr">
        <is>
          <t>APP_ID</t>
        </is>
      </c>
      <c r="O54" s="385" t="inlineStr">
        <is>
          <t>VARCHAR2</t>
        </is>
      </c>
      <c r="P54" s="420" t="n">
        <v>100</v>
      </c>
      <c r="Q54" s="386">
        <f>"COMMENT ON COLUMN "&amp;L54&amp;"."&amp;M54&amp;"."&amp;N54&amp;" IS '"&amp;E54&amp;"';"</f>
        <v/>
      </c>
      <c r="R54" s="414" t="inlineStr">
        <is>
          <t>Map 1:1 nguyên bản từ SOURCE.SAOKE_CRB.APP_ID -&gt; PG_BRONZE.SOURCE_SAOKE_CRB.APP_ID</t>
        </is>
      </c>
    </row>
    <row r="55" ht="14.25" customHeight="1" s="335">
      <c r="A55" s="412">
        <f>B55&amp;C55&amp;D55</f>
        <v/>
      </c>
      <c r="B55" s="412" t="inlineStr">
        <is>
          <t>SOURCE</t>
        </is>
      </c>
      <c r="C55" s="412" t="inlineStr">
        <is>
          <t>SAOKE_CRB</t>
        </is>
      </c>
      <c r="D55" s="412" t="inlineStr">
        <is>
          <t>ASSET_TYPE</t>
        </is>
      </c>
      <c r="E55" s="412" t="inlineStr">
        <is>
          <t>Loại dư nợ, hạch toán</t>
        </is>
      </c>
      <c r="F55" s="410" t="inlineStr">
        <is>
          <t>X</t>
        </is>
      </c>
      <c r="G55" s="412" t="inlineStr">
        <is>
          <t>Arrangement Balance / Saoke_GIAINGAN</t>
        </is>
      </c>
      <c r="H55" s="412" t="inlineStr">
        <is>
          <t>Asset Type Code</t>
        </is>
      </c>
      <c r="I55" s="412" t="inlineStr">
        <is>
          <t>Map 1:1 từ SOURCE.SAOKE_CRB.ASSET_TYPE sang PG_BRONZE.SOURCE_SAOKE_CRB.ASSET_TYPE</t>
        </is>
      </c>
      <c r="J55" s="410" t="inlineStr">
        <is>
          <t>2025-11-26</t>
        </is>
      </c>
      <c r="K55" s="385" t="inlineStr">
        <is>
          <t>1:1</t>
        </is>
      </c>
      <c r="L55" s="385" t="inlineStr">
        <is>
          <t>PG_BRONZE</t>
        </is>
      </c>
      <c r="M55" s="386" t="inlineStr">
        <is>
          <t>SOURCE_SAOKE_CRB</t>
        </is>
      </c>
      <c r="N55" s="386" t="inlineStr">
        <is>
          <t>ASSET_TYPE</t>
        </is>
      </c>
      <c r="O55" s="385" t="inlineStr">
        <is>
          <t>VARCHAR2</t>
        </is>
      </c>
      <c r="P55" s="420" t="n">
        <v>100</v>
      </c>
      <c r="Q55" s="386">
        <f>"COMMENT ON COLUMN "&amp;L55&amp;"."&amp;M55&amp;"."&amp;N55&amp;" IS '"&amp;E55&amp;"';"</f>
        <v/>
      </c>
      <c r="R55" s="414" t="inlineStr">
        <is>
          <t>Map 1:1 nguyên bản từ SOURCE.SAOKE_CRB.ASSET_TYPE -&gt; PG_BRONZE.SOURCE_SAOKE_CRB.ASSET_TYPE</t>
        </is>
      </c>
    </row>
    <row r="56" ht="14.25" customHeight="1" s="335">
      <c r="A56" s="412">
        <f>B56&amp;C56&amp;D56</f>
        <v/>
      </c>
      <c r="B56" s="412" t="inlineStr">
        <is>
          <t>SOURCE</t>
        </is>
      </c>
      <c r="C56" s="412" t="inlineStr">
        <is>
          <t>SAOKE_CRB</t>
        </is>
      </c>
      <c r="D56" s="412" t="inlineStr">
        <is>
          <t>CATEG_CODE</t>
        </is>
      </c>
      <c r="E56" s="412" t="inlineStr">
        <is>
          <t>Mã phân loại sản phẩm</t>
        </is>
      </c>
      <c r="F56" s="410" t="inlineStr">
        <is>
          <t>X</t>
        </is>
      </c>
      <c r="G56" s="412" t="inlineStr">
        <is>
          <t>Arrangement Balance / Saoke_GIAINGAN</t>
        </is>
      </c>
      <c r="H56" s="412" t="inlineStr">
        <is>
          <t>Product Category Code</t>
        </is>
      </c>
      <c r="I56" s="412" t="inlineStr">
        <is>
          <t>Map 1:1 từ SOURCE.SAOKE_CRB.CATEG_CODE sang PG_BRONZE.SOURCE_SAOKE_CRB.CATEG_CODE</t>
        </is>
      </c>
      <c r="J56" s="410" t="inlineStr">
        <is>
          <t>2025-11-26</t>
        </is>
      </c>
      <c r="K56" s="385" t="inlineStr">
        <is>
          <t>1:1</t>
        </is>
      </c>
      <c r="L56" s="385" t="inlineStr">
        <is>
          <t>PG_BRONZE</t>
        </is>
      </c>
      <c r="M56" s="386" t="inlineStr">
        <is>
          <t>SOURCE_SAOKE_CRB</t>
        </is>
      </c>
      <c r="N56" s="386" t="inlineStr">
        <is>
          <t>CATEG_CODE</t>
        </is>
      </c>
      <c r="O56" s="385" t="inlineStr">
        <is>
          <t>VARCHAR2</t>
        </is>
      </c>
      <c r="P56" s="420" t="n">
        <v>100</v>
      </c>
      <c r="Q56" s="386">
        <f>"COMMENT ON COLUMN "&amp;L56&amp;"."&amp;M56&amp;"."&amp;N56&amp;" IS '"&amp;E56&amp;"';"</f>
        <v/>
      </c>
      <c r="R56" s="414" t="inlineStr">
        <is>
          <t>Map 1:1 nguyên bản từ SOURCE.SAOKE_CRB.CATEG_CODE -&gt; PG_BRONZE.SOURCE_SAOKE_CRB.CATEG_CODE</t>
        </is>
      </c>
    </row>
    <row r="57" ht="14.25" customHeight="1" s="335">
      <c r="A57" s="412">
        <f>B57&amp;C57&amp;D57</f>
        <v/>
      </c>
      <c r="B57" s="412" t="inlineStr">
        <is>
          <t>SOURCE</t>
        </is>
      </c>
      <c r="C57" s="412" t="inlineStr">
        <is>
          <t>SAOKE_CRB</t>
        </is>
      </c>
      <c r="D57" s="412" t="inlineStr">
        <is>
          <t>CO_CODE</t>
        </is>
      </c>
      <c r="E57" s="412" t="inlineStr">
        <is>
          <t>Mã chi nhánh hạch toán</t>
        </is>
      </c>
      <c r="F57" s="410" t="inlineStr">
        <is>
          <t>X</t>
        </is>
      </c>
      <c r="G57" s="412" t="inlineStr">
        <is>
          <t>Arrangement Balance / Saoke_GIAINGAN</t>
        </is>
      </c>
      <c r="H57" s="412" t="inlineStr">
        <is>
          <t>Organization Unit Code</t>
        </is>
      </c>
      <c r="I57" s="412" t="inlineStr">
        <is>
          <t>Map 1:1 từ SOURCE.SAOKE_CRB.CO_CODE sang PG_BRONZE.SOURCE_SAOKE_CRB.CO_CODE</t>
        </is>
      </c>
      <c r="J57" s="419" t="inlineStr">
        <is>
          <t>2025-11-26</t>
        </is>
      </c>
      <c r="K57" s="385" t="inlineStr">
        <is>
          <t>1:1</t>
        </is>
      </c>
      <c r="L57" s="385" t="inlineStr">
        <is>
          <t>PG_BRONZE</t>
        </is>
      </c>
      <c r="M57" s="386" t="inlineStr">
        <is>
          <t>SOURCE_SAOKE_CRB</t>
        </is>
      </c>
      <c r="N57" s="386" t="inlineStr">
        <is>
          <t>CO_CODE</t>
        </is>
      </c>
      <c r="O57" s="385" t="inlineStr">
        <is>
          <t>VARCHAR2</t>
        </is>
      </c>
      <c r="P57" s="420" t="n">
        <v>100</v>
      </c>
      <c r="Q57" s="386">
        <f>"COMMENT ON COLUMN "&amp;L57&amp;"."&amp;M57&amp;"."&amp;N57&amp;" IS '"&amp;E57&amp;"';"</f>
        <v/>
      </c>
      <c r="R57" s="414" t="inlineStr">
        <is>
          <t>Map 1:1 nguyên bản từ SOURCE.SAOKE_CRB.CO_CODE -&gt; PG_BRONZE.SOURCE_SAOKE_CRB.CO_CODE</t>
        </is>
      </c>
    </row>
    <row r="58" ht="14.25" customHeight="1" s="335">
      <c r="A58" s="412">
        <f>B58&amp;C58&amp;D58</f>
        <v/>
      </c>
      <c r="B58" s="412" t="inlineStr">
        <is>
          <t>SOURCE</t>
        </is>
      </c>
      <c r="C58" s="412" t="inlineStr">
        <is>
          <t>SAOKE_CRB</t>
        </is>
      </c>
      <c r="D58" s="412" t="inlineStr">
        <is>
          <t>CURR</t>
        </is>
      </c>
      <c r="E58" s="412" t="inlineStr">
        <is>
          <t>Loại tiền</t>
        </is>
      </c>
      <c r="F58" s="410" t="inlineStr">
        <is>
          <t>X</t>
        </is>
      </c>
      <c r="G58" s="412" t="inlineStr">
        <is>
          <t>Arrangement Balance / Saoke_GIAINGAN</t>
        </is>
      </c>
      <c r="H58" s="412" t="inlineStr">
        <is>
          <t>Currency Code</t>
        </is>
      </c>
      <c r="I58" s="412" t="inlineStr">
        <is>
          <t>Map 1:1 từ SOURCE.SAOKE_CRB.CURR sang PG_BRONZE.SOURCE_SAOKE_CRB.CURR</t>
        </is>
      </c>
      <c r="J58" s="410" t="inlineStr">
        <is>
          <t>2025-11-26</t>
        </is>
      </c>
      <c r="K58" s="385" t="inlineStr">
        <is>
          <t>1:1</t>
        </is>
      </c>
      <c r="L58" s="385" t="inlineStr">
        <is>
          <t>PG_BRONZE</t>
        </is>
      </c>
      <c r="M58" s="386" t="inlineStr">
        <is>
          <t>SOURCE_SAOKE_CRB</t>
        </is>
      </c>
      <c r="N58" s="386" t="inlineStr">
        <is>
          <t>CURR</t>
        </is>
      </c>
      <c r="O58" s="385" t="inlineStr">
        <is>
          <t>VARCHAR2</t>
        </is>
      </c>
      <c r="P58" s="420" t="n">
        <v>100</v>
      </c>
      <c r="Q58" s="386">
        <f>"COMMENT ON COLUMN "&amp;L58&amp;"."&amp;M58&amp;"."&amp;N58&amp;" IS '"&amp;E58&amp;"';"</f>
        <v/>
      </c>
      <c r="R58" s="414" t="inlineStr">
        <is>
          <t>Map 1:1 nguyên bản từ SOURCE.SAOKE_CRB.CURR -&gt; PG_BRONZE.SOURCE_SAOKE_CRB.CURR</t>
        </is>
      </c>
    </row>
    <row r="59" ht="14.25" customHeight="1" s="335">
      <c r="A59" s="412">
        <f>B59&amp;C59&amp;D59</f>
        <v/>
      </c>
      <c r="B59" s="412" t="inlineStr">
        <is>
          <t>SOURCE</t>
        </is>
      </c>
      <c r="C59" s="412" t="inlineStr">
        <is>
          <t>SAOKE_CRB</t>
        </is>
      </c>
      <c r="D59" s="412" t="inlineStr">
        <is>
          <t>CUS_ID</t>
        </is>
      </c>
      <c r="E59" s="412" t="inlineStr">
        <is>
          <t>Mã khách hàng</t>
        </is>
      </c>
      <c r="F59" s="410" t="inlineStr">
        <is>
          <t>X</t>
        </is>
      </c>
      <c r="G59" s="412" t="inlineStr">
        <is>
          <t>Arrangement Balance / Saoke_GIAINGAN</t>
        </is>
      </c>
      <c r="H59" s="412" t="inlineStr">
        <is>
          <t>Customer Code/ Customer Id</t>
        </is>
      </c>
      <c r="I59" s="412" t="inlineStr">
        <is>
          <t>Map 1:1 từ SOURCE.SAOKE_CRB.CUS_ID sang PG_BRONZE.SOURCE_SAOKE_CRB.CUS_ID</t>
        </is>
      </c>
      <c r="J59" s="410" t="inlineStr">
        <is>
          <t>2025-11-26</t>
        </is>
      </c>
      <c r="K59" s="385" t="inlineStr">
        <is>
          <t>1:1</t>
        </is>
      </c>
      <c r="L59" s="385" t="inlineStr">
        <is>
          <t>PG_BRONZE</t>
        </is>
      </c>
      <c r="M59" s="386" t="inlineStr">
        <is>
          <t>SOURCE_SAOKE_CRB</t>
        </is>
      </c>
      <c r="N59" s="386" t="inlineStr">
        <is>
          <t>CUS_ID</t>
        </is>
      </c>
      <c r="O59" s="385" t="inlineStr">
        <is>
          <t>VARCHAR2</t>
        </is>
      </c>
      <c r="P59" s="420" t="n">
        <v>100</v>
      </c>
      <c r="Q59" s="386">
        <f>"COMMENT ON COLUMN "&amp;L59&amp;"."&amp;M59&amp;"."&amp;N59&amp;" IS '"&amp;E59&amp;"';"</f>
        <v/>
      </c>
      <c r="R59" s="414" t="inlineStr">
        <is>
          <t>Map 1:1 nguyên bản từ SOURCE.SAOKE_CRB.CUS_ID -&gt; PG_BRONZE.SOURCE_SAOKE_CRB.CUS_ID</t>
        </is>
      </c>
    </row>
    <row r="60" ht="14.25" customHeight="1" s="335">
      <c r="A60" s="412">
        <f>B60&amp;C60&amp;D60</f>
        <v/>
      </c>
      <c r="B60" s="412" t="inlineStr">
        <is>
          <t>SOURCE</t>
        </is>
      </c>
      <c r="C60" s="412" t="inlineStr">
        <is>
          <t>SAOKE_CRB</t>
        </is>
      </c>
      <c r="D60" s="412" t="inlineStr">
        <is>
          <t>DATE</t>
        </is>
      </c>
      <c r="E60" s="412" t="inlineStr">
        <is>
          <t>Ngày giao dịch YYYYMMDD</t>
        </is>
      </c>
      <c r="F60" s="410" t="inlineStr">
        <is>
          <t>X</t>
        </is>
      </c>
      <c r="G60" s="412" t="inlineStr">
        <is>
          <t>Arrangement Balance / Saoke_GIAINGAN</t>
        </is>
      </c>
      <c r="H60" s="412" t="inlineStr">
        <is>
          <t>Date</t>
        </is>
      </c>
      <c r="I60" s="412" t="inlineStr">
        <is>
          <t>Map 1:1 từ SOURCE.SAOKE_CRB.DATE sang PG_BRONZE.SOURCE_SAOKE_CRB.DATE</t>
        </is>
      </c>
      <c r="J60" s="410" t="inlineStr">
        <is>
          <t>2025-11-26</t>
        </is>
      </c>
      <c r="K60" s="385" t="inlineStr">
        <is>
          <t>1:1</t>
        </is>
      </c>
      <c r="L60" s="385" t="inlineStr">
        <is>
          <t>PG_BRONZE</t>
        </is>
      </c>
      <c r="M60" s="386" t="inlineStr">
        <is>
          <t>SOURCE_SAOKE_CRB</t>
        </is>
      </c>
      <c r="N60" s="386" t="inlineStr">
        <is>
          <t>DATE</t>
        </is>
      </c>
      <c r="O60" s="385" t="inlineStr">
        <is>
          <t>DATE</t>
        </is>
      </c>
      <c r="P60" s="420" t="n">
        <v>8</v>
      </c>
      <c r="Q60" s="386">
        <f>"COMMENT ON COLUMN "&amp;L60&amp;"."&amp;M60&amp;"."&amp;N60&amp;" IS '"&amp;E60&amp;"';"</f>
        <v/>
      </c>
      <c r="R60" s="414" t="inlineStr">
        <is>
          <t>Map 1:1 nguyên bản từ SOURCE.SAOKE_CRB.DATE -&gt; PG_BRONZE.SOURCE_SAOKE_CRB.DATE</t>
        </is>
      </c>
    </row>
    <row r="61" ht="14.25" customHeight="1" s="335">
      <c r="A61" s="412">
        <f>B61&amp;C61&amp;D61</f>
        <v/>
      </c>
      <c r="B61" s="412" t="inlineStr">
        <is>
          <t>SOURCE</t>
        </is>
      </c>
      <c r="C61" s="412" t="inlineStr">
        <is>
          <t>SAOKE_CRB</t>
        </is>
      </c>
      <c r="D61" s="412" t="inlineStr">
        <is>
          <t>LOC_TERM</t>
        </is>
      </c>
      <c r="E61" s="412" t="inlineStr">
        <is>
          <t>Trường LOC_TERM của bảng nguồn SOURCE.SAOKE_CRB</t>
        </is>
      </c>
      <c r="F61" s="410" t="inlineStr">
        <is>
          <t>X</t>
        </is>
      </c>
      <c r="G61" s="412" t="inlineStr">
        <is>
          <t>Arrangement Balance / Saoke_GIAINGAN</t>
        </is>
      </c>
      <c r="H61" s="412" t="inlineStr">
        <is>
          <t>Arrangement Term Type Code</t>
        </is>
      </c>
      <c r="I61" s="412" t="inlineStr">
        <is>
          <t>Map 1:1 từ SOURCE.SAOKE_CRB.LOC_TERM sang PG_BRONZE.SOURCE_SAOKE_CRB.LOC_TERM</t>
        </is>
      </c>
      <c r="J61" s="410" t="inlineStr">
        <is>
          <t>2025-11-26</t>
        </is>
      </c>
      <c r="K61" s="385" t="inlineStr">
        <is>
          <t>1:1</t>
        </is>
      </c>
      <c r="L61" s="385" t="inlineStr">
        <is>
          <t>PG_BRONZE</t>
        </is>
      </c>
      <c r="M61" s="386" t="inlineStr">
        <is>
          <t>SOURCE_SAOKE_CRB</t>
        </is>
      </c>
      <c r="N61" s="386" t="inlineStr">
        <is>
          <t>LOC_TERM</t>
        </is>
      </c>
      <c r="O61" s="385" t="inlineStr">
        <is>
          <t>VARCHAR2</t>
        </is>
      </c>
      <c r="P61" s="420" t="n">
        <v>100</v>
      </c>
      <c r="Q61" s="386">
        <f>"COMMENT ON COLUMN "&amp;L61&amp;"."&amp;M61&amp;"."&amp;N61&amp;" IS '"&amp;E61&amp;"';"</f>
        <v/>
      </c>
      <c r="R61" s="414" t="inlineStr">
        <is>
          <t>Map 1:1 nguyên bản từ SOURCE.SAOKE_CRB.LOC_TERM -&gt; PG_BRONZE.SOURCE_SAOKE_CRB.LOC_TERM</t>
        </is>
      </c>
    </row>
    <row r="62" ht="14.25" customHeight="1" s="335">
      <c r="A62" s="412">
        <f>B62&amp;C62&amp;D62</f>
        <v/>
      </c>
      <c r="B62" s="412" t="inlineStr">
        <is>
          <t>SOURCE</t>
        </is>
      </c>
      <c r="C62" s="412" t="inlineStr">
        <is>
          <t>SAOKE_CRB</t>
        </is>
      </c>
      <c r="D62" s="412" t="inlineStr">
        <is>
          <t>MAT_DATE</t>
        </is>
      </c>
      <c r="E62" s="412" t="inlineStr">
        <is>
          <t>Ngày đáo hạn hợp đồng</t>
        </is>
      </c>
      <c r="F62" s="410" t="inlineStr">
        <is>
          <t>X</t>
        </is>
      </c>
      <c r="G62" s="412" t="inlineStr">
        <is>
          <t>Arrangement Balance / Saoke_GIAINGAN</t>
        </is>
      </c>
      <c r="H62" s="412" t="inlineStr">
        <is>
          <t>Mat Date</t>
        </is>
      </c>
      <c r="I62" s="412" t="inlineStr">
        <is>
          <t>Map 1:1 từ SOURCE.SAOKE_CRB.MAT_DATE sang PG_BRONZE.SOURCE_SAOKE_CRB.MAT_DATE</t>
        </is>
      </c>
      <c r="J62" s="410" t="inlineStr">
        <is>
          <t>2025-11-26</t>
        </is>
      </c>
      <c r="K62" s="385" t="inlineStr">
        <is>
          <t>1:1</t>
        </is>
      </c>
      <c r="L62" s="385" t="inlineStr">
        <is>
          <t>PG_BRONZE</t>
        </is>
      </c>
      <c r="M62" s="386" t="inlineStr">
        <is>
          <t>SOURCE_SAOKE_CRB</t>
        </is>
      </c>
      <c r="N62" s="386" t="inlineStr">
        <is>
          <t>MAT_DATE</t>
        </is>
      </c>
      <c r="O62" s="385" t="inlineStr">
        <is>
          <t>DATE</t>
        </is>
      </c>
      <c r="P62" s="420" t="n">
        <v>8</v>
      </c>
      <c r="Q62" s="386">
        <f>"COMMENT ON COLUMN "&amp;L62&amp;"."&amp;M62&amp;"."&amp;N62&amp;" IS '"&amp;E62&amp;"';"</f>
        <v/>
      </c>
      <c r="R62" s="414" t="inlineStr">
        <is>
          <t>Map 1:1 nguyên bản từ SOURCE.SAOKE_CRB.MAT_DATE -&gt; PG_BRONZE.SOURCE_SAOKE_CRB.MAT_DATE</t>
        </is>
      </c>
    </row>
    <row r="63" ht="14.25" customHeight="1" s="335">
      <c r="A63" s="412">
        <f>B63&amp;C63&amp;D63</f>
        <v/>
      </c>
      <c r="B63" s="412" t="inlineStr">
        <is>
          <t>SOURCE</t>
        </is>
      </c>
      <c r="C63" s="412" t="inlineStr">
        <is>
          <t>SAOKE_CRB</t>
        </is>
      </c>
      <c r="D63" s="412" t="inlineStr">
        <is>
          <t>SBV_CODE</t>
        </is>
      </c>
      <c r="E63" s="412" t="inlineStr">
        <is>
          <t>Mã hạch toán theo SBV</t>
        </is>
      </c>
      <c r="F63" s="410" t="inlineStr">
        <is>
          <t>X</t>
        </is>
      </c>
      <c r="G63" s="412" t="inlineStr">
        <is>
          <t>Arrangement Balance / Saoke_GIAINGAN</t>
        </is>
      </c>
      <c r="H63" s="412" t="inlineStr">
        <is>
          <t>General Ledger Item Code / General Ledger Item Id</t>
        </is>
      </c>
      <c r="I63" s="412" t="inlineStr">
        <is>
          <t>Map 1:1 từ SOURCE.SAOKE_CRB.SBV_CODE sang PG_BRONZE.SOURCE_SAOKE_CRB.SBV_CODE</t>
        </is>
      </c>
      <c r="J63" s="410" t="inlineStr">
        <is>
          <t>2025-11-26</t>
        </is>
      </c>
      <c r="K63" s="385" t="inlineStr">
        <is>
          <t>1:1</t>
        </is>
      </c>
      <c r="L63" s="385" t="inlineStr">
        <is>
          <t>PG_BRONZE</t>
        </is>
      </c>
      <c r="M63" s="386" t="inlineStr">
        <is>
          <t>SOURCE_SAOKE_CRB</t>
        </is>
      </c>
      <c r="N63" s="386" t="inlineStr">
        <is>
          <t>SBV_CODE</t>
        </is>
      </c>
      <c r="O63" s="385" t="inlineStr">
        <is>
          <t>VARCHAR2</t>
        </is>
      </c>
      <c r="P63" s="420" t="n">
        <v>100</v>
      </c>
      <c r="Q63" s="386">
        <f>"COMMENT ON COLUMN "&amp;L63&amp;"."&amp;M63&amp;"."&amp;N63&amp;" IS '"&amp;E63&amp;"';"</f>
        <v/>
      </c>
      <c r="R63" s="414" t="inlineStr">
        <is>
          <t>Map 1:1 nguyên bản từ SOURCE.SAOKE_CRB.SBV_CODE -&gt; PG_BRONZE.SOURCE_SAOKE_CRB.SBV_CODE</t>
        </is>
      </c>
    </row>
    <row r="64" ht="14.25" customHeight="1" s="335">
      <c r="A64" s="412">
        <f>B64&amp;C64&amp;D64</f>
        <v/>
      </c>
      <c r="B64" s="412" t="inlineStr">
        <is>
          <t>SOURCE</t>
        </is>
      </c>
      <c r="C64" s="412" t="inlineStr">
        <is>
          <t>SAOKE_CRB</t>
        </is>
      </c>
      <c r="D64" s="412" t="inlineStr">
        <is>
          <t>SUB_PRO</t>
        </is>
      </c>
      <c r="E64" s="412" t="inlineStr">
        <is>
          <t>Mã sản phẩm con</t>
        </is>
      </c>
      <c r="F64" s="410" t="inlineStr">
        <is>
          <t>X</t>
        </is>
      </c>
      <c r="G64" s="412" t="inlineStr">
        <is>
          <t>Arrangement Balance / Saoke_GIAINGAN</t>
        </is>
      </c>
      <c r="H64" s="412" t="inlineStr">
        <is>
          <t>Sub Product Code</t>
        </is>
      </c>
      <c r="I64" s="412" t="inlineStr">
        <is>
          <t>Map 1:1 từ SOURCE.SAOKE_CRB.SUB_PRO sang PG_BRONZE.SOURCE_SAOKE_CRB.SUB_PRO</t>
        </is>
      </c>
      <c r="J64" s="419" t="inlineStr">
        <is>
          <t>2025-11-26</t>
        </is>
      </c>
      <c r="K64" s="385" t="inlineStr">
        <is>
          <t>1:1</t>
        </is>
      </c>
      <c r="L64" s="385" t="inlineStr">
        <is>
          <t>PG_BRONZE</t>
        </is>
      </c>
      <c r="M64" s="386" t="inlineStr">
        <is>
          <t>SOURCE_SAOKE_CRB</t>
        </is>
      </c>
      <c r="N64" s="386" t="inlineStr">
        <is>
          <t>SUB_PRO</t>
        </is>
      </c>
      <c r="O64" s="385" t="inlineStr">
        <is>
          <t>VARCHAR2</t>
        </is>
      </c>
      <c r="P64" s="420" t="n">
        <v>100</v>
      </c>
      <c r="Q64" s="386">
        <f>"COMMENT ON COLUMN "&amp;L64&amp;"."&amp;M64&amp;"."&amp;N64&amp;" IS '"&amp;E64&amp;"';"</f>
        <v/>
      </c>
      <c r="R64" s="414" t="inlineStr">
        <is>
          <t>Map 1:1 nguyên bản từ SOURCE.SAOKE_CRB.SUB_PRO -&gt; PG_BRONZE.SOURCE_SAOKE_CRB.SUB_PRO</t>
        </is>
      </c>
    </row>
    <row r="65" ht="14.25" customHeight="1" s="335">
      <c r="A65" s="412">
        <f>B65&amp;C65&amp;D65</f>
        <v/>
      </c>
      <c r="B65" s="412" t="inlineStr">
        <is>
          <t>SOURCE</t>
        </is>
      </c>
      <c r="C65" s="412" t="inlineStr">
        <is>
          <t>SAOKE_CRB</t>
        </is>
      </c>
      <c r="D65" s="412" t="inlineStr">
        <is>
          <t>TXN_DATE</t>
        </is>
      </c>
      <c r="E65" s="412" t="inlineStr">
        <is>
          <t>Ngày giao dịch</t>
        </is>
      </c>
      <c r="F65" s="410" t="inlineStr">
        <is>
          <t>X</t>
        </is>
      </c>
      <c r="G65" s="412" t="inlineStr">
        <is>
          <t>Arrangement Balance / Saoke_GIAINGAN</t>
        </is>
      </c>
      <c r="H65" s="412" t="inlineStr">
        <is>
          <t>Calendar Date</t>
        </is>
      </c>
      <c r="I65" s="412" t="inlineStr">
        <is>
          <t>Map 1:1 từ SOURCE.SAOKE_CRB.TXN_DATE sang PG_BRONZE.SOURCE_SAOKE_CRB.TXN_DATE</t>
        </is>
      </c>
      <c r="J65" s="419" t="inlineStr">
        <is>
          <t>2025-11-26</t>
        </is>
      </c>
      <c r="K65" s="385" t="inlineStr">
        <is>
          <t>1:1</t>
        </is>
      </c>
      <c r="L65" s="385" t="inlineStr">
        <is>
          <t>PG_BRONZE</t>
        </is>
      </c>
      <c r="M65" s="386" t="inlineStr">
        <is>
          <t>SOURCE_SAOKE_CRB</t>
        </is>
      </c>
      <c r="N65" s="386" t="inlineStr">
        <is>
          <t>TXN_DATE</t>
        </is>
      </c>
      <c r="O65" s="385" t="inlineStr">
        <is>
          <t>DATE</t>
        </is>
      </c>
      <c r="P65" s="420" t="n">
        <v>8</v>
      </c>
      <c r="Q65" s="386">
        <f>"COMMENT ON COLUMN "&amp;L65&amp;"."&amp;M65&amp;"."&amp;N65&amp;" IS '"&amp;E65&amp;"';"</f>
        <v/>
      </c>
      <c r="R65" s="414" t="inlineStr">
        <is>
          <t>Map 1:1 nguyên bản từ SOURCE.SAOKE_CRB.TXN_DATE -&gt; PG_BRONZE.SOURCE_SAOKE_CRB.TXN_DATE</t>
        </is>
      </c>
    </row>
    <row r="66" ht="14.25" customHeight="1" s="335">
      <c r="A66" s="412">
        <f>B66&amp;C66&amp;D66</f>
        <v/>
      </c>
      <c r="B66" s="412" t="inlineStr">
        <is>
          <t>SOURCE</t>
        </is>
      </c>
      <c r="C66" s="412" t="inlineStr">
        <is>
          <t>SAOKE_CRB</t>
        </is>
      </c>
      <c r="D66" s="412" t="inlineStr">
        <is>
          <t>VAL_DATE</t>
        </is>
      </c>
      <c r="E66" s="412" t="inlineStr">
        <is>
          <t>Ngày hiệu lực hợp đồng</t>
        </is>
      </c>
      <c r="F66" s="410" t="inlineStr">
        <is>
          <t>X</t>
        </is>
      </c>
      <c r="G66" s="412" t="inlineStr">
        <is>
          <t>Arrangement Balance / Saoke_GIAINGAN</t>
        </is>
      </c>
      <c r="H66" s="412" t="inlineStr">
        <is>
          <t>Val Date</t>
        </is>
      </c>
      <c r="I66" s="412" t="inlineStr">
        <is>
          <t>Map 1:1 từ SOURCE.SAOKE_CRB.VAL_DATE sang PG_BRONZE.SOURCE_SAOKE_CRB.VAL_DATE</t>
        </is>
      </c>
      <c r="J66" s="419" t="inlineStr">
        <is>
          <t>2025-11-26</t>
        </is>
      </c>
      <c r="K66" s="385" t="inlineStr">
        <is>
          <t>1:1</t>
        </is>
      </c>
      <c r="L66" s="385" t="inlineStr">
        <is>
          <t>PG_BRONZE</t>
        </is>
      </c>
      <c r="M66" s="386" t="inlineStr">
        <is>
          <t>SOURCE_SAOKE_CRB</t>
        </is>
      </c>
      <c r="N66" s="386" t="inlineStr">
        <is>
          <t>VAL_DATE</t>
        </is>
      </c>
      <c r="O66" s="385" t="inlineStr">
        <is>
          <t>DATE</t>
        </is>
      </c>
      <c r="P66" s="420" t="n">
        <v>8</v>
      </c>
      <c r="Q66" s="386">
        <f>"COMMENT ON COLUMN "&amp;L66&amp;"."&amp;M66&amp;"."&amp;N66&amp;" IS '"&amp;E66&amp;"';"</f>
        <v/>
      </c>
      <c r="R66" s="414" t="inlineStr">
        <is>
          <t>Map 1:1 nguyên bản từ SOURCE.SAOKE_CRB.VAL_DATE -&gt; PG_BRONZE.SOURCE_SAOKE_CRB.VAL_DATE</t>
        </is>
      </c>
    </row>
    <row r="67" ht="14.25" customHeight="1" s="335">
      <c r="A67" s="412">
        <f>B67&amp;C67&amp;D67</f>
        <v/>
      </c>
      <c r="B67" s="412" t="inlineStr">
        <is>
          <t>SOURCE</t>
        </is>
      </c>
      <c r="C67" s="412" t="inlineStr">
        <is>
          <t>SAOKE_MVMT</t>
        </is>
      </c>
      <c r="D67" s="412" t="inlineStr">
        <is>
          <t>SBV_CODE</t>
        </is>
      </c>
      <c r="E67" s="412" t="inlineStr">
        <is>
          <t>Mã hạch toán theo SBV</t>
        </is>
      </c>
      <c r="F67" s="410" t="inlineStr">
        <is>
          <t>X</t>
        </is>
      </c>
      <c r="G67" s="412" t="inlineStr">
        <is>
          <t>Loan Arrangement Profile / Saoke_GIAINGAN</t>
        </is>
      </c>
      <c r="H67" s="412" t="inlineStr">
        <is>
          <t>General Ledger Item Code / General Ledger Item Id</t>
        </is>
      </c>
      <c r="I67" s="412" t="inlineStr">
        <is>
          <t>minus theo 2 cột sử dụng, không theo txn date</t>
        </is>
      </c>
      <c r="J67" s="410" t="inlineStr">
        <is>
          <t>2025-11-26</t>
        </is>
      </c>
      <c r="K67" s="385" t="inlineStr">
        <is>
          <t>1:1</t>
        </is>
      </c>
      <c r="L67" s="385" t="inlineStr">
        <is>
          <t>PG_BRONZE</t>
        </is>
      </c>
      <c r="M67" s="386" t="inlineStr">
        <is>
          <t>SOURCE_SAOKE_MVMT</t>
        </is>
      </c>
      <c r="N67" s="386" t="inlineStr">
        <is>
          <t>SBV_CODE</t>
        </is>
      </c>
      <c r="O67" s="385" t="inlineStr">
        <is>
          <t>VARCHAR2</t>
        </is>
      </c>
      <c r="P67" s="420" t="n">
        <v>100</v>
      </c>
      <c r="Q67" s="386">
        <f>"COMMENT ON COLUMN "&amp;L67&amp;"."&amp;M67&amp;"."&amp;N67&amp;" IS '"&amp;E67&amp;"';"</f>
        <v/>
      </c>
      <c r="R67" s="414" t="inlineStr">
        <is>
          <t>Map 1:1 nguyên bản từ SOURCE.SAOKE_MVMT.SBV_CODE -&gt; PG_BRONZE.SOURCE_SAOKE_MVMT.SBV_CODE</t>
        </is>
      </c>
    </row>
    <row r="68" ht="14.25" customHeight="1" s="335">
      <c r="A68" s="412">
        <f>B68&amp;C68&amp;D68</f>
        <v/>
      </c>
      <c r="B68" s="412" t="inlineStr">
        <is>
          <t>SOURCE</t>
        </is>
      </c>
      <c r="C68" s="412" t="inlineStr">
        <is>
          <t>SAOKE_MVMT</t>
        </is>
      </c>
      <c r="D68" s="412" t="inlineStr">
        <is>
          <t>TRANS_REF</t>
        </is>
      </c>
      <c r="E68" s="412" t="inlineStr">
        <is>
          <t>Mã tham chiếu giao dịch</t>
        </is>
      </c>
      <c r="F68" s="410" t="inlineStr">
        <is>
          <t>X</t>
        </is>
      </c>
      <c r="G68" s="412" t="inlineStr">
        <is>
          <t>Loan Arrangement Profile / Saoke_GIAINGAN</t>
        </is>
      </c>
      <c r="H68" s="412" t="inlineStr">
        <is>
          <t>Arrangement Code, Arrangement Id</t>
        </is>
      </c>
      <c r="I68" s="421" t="inlineStr">
        <is>
          <t>Map 1:1 từ SOURCE.SAOKE_MVMT.TRANS_REF sang PG_BRONZE.SOURCE_SAOKE_MVMT.TRANS_REF</t>
        </is>
      </c>
      <c r="J68" s="419" t="inlineStr">
        <is>
          <t>2025-11-26</t>
        </is>
      </c>
      <c r="K68" s="385" t="inlineStr">
        <is>
          <t>1:1</t>
        </is>
      </c>
      <c r="L68" s="385" t="inlineStr">
        <is>
          <t>PG_BRONZE</t>
        </is>
      </c>
      <c r="M68" s="386" t="inlineStr">
        <is>
          <t>SOURCE_SAOKE_MVMT</t>
        </is>
      </c>
      <c r="N68" s="386" t="inlineStr">
        <is>
          <t>TRANS_REF</t>
        </is>
      </c>
      <c r="O68" s="385" t="inlineStr">
        <is>
          <t>VARCHAR2</t>
        </is>
      </c>
      <c r="P68" s="420" t="n">
        <v>100</v>
      </c>
      <c r="Q68" s="386">
        <f>"COMMENT ON COLUMN "&amp;L68&amp;"."&amp;M68&amp;"."&amp;N68&amp;" IS '"&amp;E68&amp;"';"</f>
        <v/>
      </c>
      <c r="R68" s="414" t="inlineStr">
        <is>
          <t>Map 1:1 nguyên bản từ SOURCE.SAOKE_MVMT.TRANS_REF -&gt; PG_BRONZE.SOURCE_SAOKE_MVMT.TRANS_REF</t>
        </is>
      </c>
    </row>
    <row r="69" ht="14.25" customHeight="1" s="335">
      <c r="A69" s="412">
        <f>B69&amp;C69&amp;D69</f>
        <v/>
      </c>
      <c r="B69" s="412" t="inlineStr">
        <is>
          <t>SOURCE</t>
        </is>
      </c>
      <c r="C69" s="412" t="inlineStr">
        <is>
          <t>SAOKE_MVMT</t>
        </is>
      </c>
      <c r="D69" s="412" t="inlineStr">
        <is>
          <t>TXN_DATE</t>
        </is>
      </c>
      <c r="E69" s="412" t="inlineStr">
        <is>
          <t>Ngày thực hiện giao dịch</t>
        </is>
      </c>
      <c r="F69" s="410" t="inlineStr">
        <is>
          <t>X</t>
        </is>
      </c>
      <c r="G69" s="412" t="inlineStr">
        <is>
          <t>Loan Arrangement Profile / Saoke_GIAINGAN</t>
        </is>
      </c>
      <c r="H69" s="412" t="inlineStr">
        <is>
          <t>Txn Date</t>
        </is>
      </c>
      <c r="I69" s="412" t="inlineStr">
        <is>
          <t>Map 1:1 từ SOURCE.SAOKE_MVMT.TXN_DATE sang PG_BRONZE.SOURCE_SAOKE_MVMT.TXN_DATE</t>
        </is>
      </c>
      <c r="J69" s="419" t="inlineStr">
        <is>
          <t>2025-11-26</t>
        </is>
      </c>
      <c r="K69" s="385" t="inlineStr">
        <is>
          <t>1:1</t>
        </is>
      </c>
      <c r="L69" s="385" t="inlineStr">
        <is>
          <t>PG_BRONZE</t>
        </is>
      </c>
      <c r="M69" s="386" t="inlineStr">
        <is>
          <t>SOURCE_SAOKE_MVMT</t>
        </is>
      </c>
      <c r="N69" s="386" t="inlineStr">
        <is>
          <t>TXN_DATE</t>
        </is>
      </c>
      <c r="O69" s="385" t="inlineStr">
        <is>
          <t>DATE</t>
        </is>
      </c>
      <c r="P69" s="420" t="n">
        <v>8</v>
      </c>
      <c r="Q69" s="386">
        <f>"COMMENT ON COLUMN "&amp;L69&amp;"."&amp;M69&amp;"."&amp;N69&amp;" IS '"&amp;E69&amp;"';"</f>
        <v/>
      </c>
      <c r="R69" s="414" t="inlineStr">
        <is>
          <t>Map 1:1 nguyên bản từ SOURCE.SAOKE_MVMT.TXN_DATE -&gt; PG_BRONZE.SOURCE_SAOKE_MVMT.TXN_DATE</t>
        </is>
      </c>
    </row>
    <row r="70" ht="14.25" customHeight="1" s="335">
      <c r="A70" s="412">
        <f>B70&amp;C70&amp;D70</f>
        <v/>
      </c>
      <c r="B70" s="412" t="inlineStr">
        <is>
          <t>T24CORE</t>
        </is>
      </c>
      <c r="C70" s="412" t="inlineStr">
        <is>
          <t>COMPANY</t>
        </is>
      </c>
      <c r="D70" s="412" t="inlineStr">
        <is>
          <t>COMPANY_NAME</t>
        </is>
      </c>
      <c r="E70" s="412" t="inlineStr">
        <is>
          <t>Tên chi nhánh</t>
        </is>
      </c>
      <c r="F70" s="410" t="inlineStr">
        <is>
          <t>X</t>
        </is>
      </c>
      <c r="G70" s="412" t="inlineStr">
        <is>
          <t>Organization Unit / Saoke_GIAINGAN</t>
        </is>
      </c>
      <c r="H70" s="412" t="inlineStr">
        <is>
          <t>Organization Unit Name</t>
        </is>
      </c>
      <c r="I70" s="412" t="inlineStr">
        <is>
          <t>Map 1:1 từ T24CORE.COMPANY.COMPANY_NAME sang PG_BRONZE.T24CORE_COMPANY.COMPANY_NAME</t>
        </is>
      </c>
      <c r="J70" s="410" t="inlineStr">
        <is>
          <t>2025-11-26</t>
        </is>
      </c>
      <c r="K70" s="385" t="inlineStr">
        <is>
          <t>1:1</t>
        </is>
      </c>
      <c r="L70" s="385" t="inlineStr">
        <is>
          <t>PG_BRONZE</t>
        </is>
      </c>
      <c r="M70" s="386" t="inlineStr">
        <is>
          <t>T24CORE_COMPANY</t>
        </is>
      </c>
      <c r="N70" s="386" t="inlineStr">
        <is>
          <t>COMPANY_NAME</t>
        </is>
      </c>
      <c r="O70" s="385" t="inlineStr">
        <is>
          <t>VARCHAR2</t>
        </is>
      </c>
      <c r="P70" s="420" t="n">
        <v>255</v>
      </c>
      <c r="Q70" s="386">
        <f>"COMMENT ON COLUMN "&amp;L70&amp;"."&amp;M70&amp;"."&amp;N70&amp;" IS '"&amp;E70&amp;"';"</f>
        <v/>
      </c>
      <c r="R70" s="414" t="inlineStr">
        <is>
          <t>Map 1:1 nguyên bản từ T24CORE.COMPANY.COMPANY_NAME -&gt; PG_BRONZE.T24CORE_COMPANY.COMPANY_NAME</t>
        </is>
      </c>
    </row>
    <row r="71" ht="14.25" customHeight="1" s="335">
      <c r="A71" s="412">
        <f>B71&amp;C71&amp;D71</f>
        <v/>
      </c>
      <c r="B71" s="412" t="inlineStr">
        <is>
          <t>T24CORE</t>
        </is>
      </c>
      <c r="C71" s="412" t="inlineStr">
        <is>
          <t>COMPANY</t>
        </is>
      </c>
      <c r="D71" s="412" t="inlineStr">
        <is>
          <t>RECID</t>
        </is>
      </c>
      <c r="E71" s="412" t="inlineStr">
        <is>
          <t>Mã chi nhánh</t>
        </is>
      </c>
      <c r="F71" s="410" t="inlineStr">
        <is>
          <t>X</t>
        </is>
      </c>
      <c r="G71" s="412" t="inlineStr">
        <is>
          <t>Organization Unit / Saoke_GIAINGAN</t>
        </is>
      </c>
      <c r="H71" s="412" t="inlineStr">
        <is>
          <t>Organization Unit Code</t>
        </is>
      </c>
      <c r="I71" s="412" t="inlineStr">
        <is>
          <t>Map 1:1 từ T24CORE.COMPANY.RECID sang PG_BRONZE.T24CORE_COMPANY.RECID</t>
        </is>
      </c>
      <c r="J71" s="419" t="inlineStr">
        <is>
          <t>2025-11-26</t>
        </is>
      </c>
      <c r="K71" s="385" t="inlineStr">
        <is>
          <t>1:1</t>
        </is>
      </c>
      <c r="L71" s="385" t="inlineStr">
        <is>
          <t>PG_BRONZE</t>
        </is>
      </c>
      <c r="M71" s="386" t="inlineStr">
        <is>
          <t>T24CORE_COMPANY</t>
        </is>
      </c>
      <c r="N71" s="386" t="inlineStr">
        <is>
          <t>RECID</t>
        </is>
      </c>
      <c r="O71" s="385" t="inlineStr">
        <is>
          <t>VARCHAR2</t>
        </is>
      </c>
      <c r="P71" s="420" t="n">
        <v>100</v>
      </c>
      <c r="Q71" s="386">
        <f>"COMMENT ON COLUMN "&amp;L71&amp;"."&amp;M71&amp;"."&amp;N71&amp;" IS '"&amp;E71&amp;"';"</f>
        <v/>
      </c>
      <c r="R71" s="414" t="inlineStr">
        <is>
          <t>Map 1:1 nguyên bản từ T24CORE.COMPANY.RECID -&gt; PG_BRONZE.T24CORE_COMPANY.RECID</t>
        </is>
      </c>
    </row>
    <row r="72" ht="14.25" customHeight="1" s="335">
      <c r="A72" s="412">
        <f>B72&amp;C72&amp;D72</f>
        <v/>
      </c>
      <c r="B72" s="412" t="inlineStr">
        <is>
          <t>T24CORE</t>
        </is>
      </c>
      <c r="C72" s="412" t="inlineStr">
        <is>
          <t>CUSTOMER</t>
        </is>
      </c>
      <c r="D72" s="412" t="inlineStr">
        <is>
          <t>ACCOUNT_OFFICER</t>
        </is>
      </c>
      <c r="E72" s="412" t="inlineStr">
        <is>
          <t>Mã nhân viên hạch toán</t>
        </is>
      </c>
      <c r="F72" s="410" t="inlineStr">
        <is>
          <t>X</t>
        </is>
      </c>
      <c r="G72" s="412" t="inlineStr">
        <is>
          <t>Customer</t>
        </is>
      </c>
      <c r="H72" s="412" t="inlineStr">
        <is>
          <t>Maker Officer</t>
        </is>
      </c>
      <c r="I72" s="412" t="inlineStr">
        <is>
          <t>Map 1:1 từ T24CORE.CUSTOMER.ACCOUNT_OFFICER sang PG_BRONZE.T24CORE_CUSTOMER.ACCOUNT_OFFICER</t>
        </is>
      </c>
      <c r="J72" s="419" t="inlineStr">
        <is>
          <t>2025-11-26</t>
        </is>
      </c>
      <c r="K72" s="385" t="inlineStr">
        <is>
          <t>1:1</t>
        </is>
      </c>
      <c r="L72" s="385" t="inlineStr">
        <is>
          <t>PG_BRONZE</t>
        </is>
      </c>
      <c r="M72" s="386" t="inlineStr">
        <is>
          <t>T24CORE_CUSTOMER</t>
        </is>
      </c>
      <c r="N72" s="386" t="inlineStr">
        <is>
          <t>ACCOUNT_OFFICER</t>
        </is>
      </c>
      <c r="O72" s="385" t="inlineStr">
        <is>
          <t>VARCHAR2</t>
        </is>
      </c>
      <c r="P72" s="420" t="n">
        <v>100</v>
      </c>
      <c r="Q72" s="386">
        <f>"COMMENT ON COLUMN "&amp;L72&amp;"."&amp;M72&amp;"."&amp;N72&amp;" IS '"&amp;E72&amp;"';"</f>
        <v/>
      </c>
      <c r="R72" s="414" t="inlineStr">
        <is>
          <t>Map 1:1 nguyên bản từ T24CORE.CUSTOMER.ACCOUNT_OFFICER -&gt; PG_BRONZE.T24CORE_CUSTOMER.ACCOUNT_OFFICER</t>
        </is>
      </c>
    </row>
    <row r="73" ht="14.25" customHeight="1" s="335">
      <c r="A73" s="412">
        <f>B73&amp;C73&amp;D73</f>
        <v/>
      </c>
      <c r="B73" s="412" t="inlineStr">
        <is>
          <t>T24CORE</t>
        </is>
      </c>
      <c r="C73" s="412" t="inlineStr">
        <is>
          <t>CUSTOMER</t>
        </is>
      </c>
      <c r="D73" s="412" t="inlineStr">
        <is>
          <t>ACTIVE_STATUS</t>
        </is>
      </c>
      <c r="E73" s="412" t="inlineStr">
        <is>
          <t>Trạng thái bản ghi</t>
        </is>
      </c>
      <c r="F73" s="410" t="inlineStr">
        <is>
          <t>X</t>
        </is>
      </c>
      <c r="G73" s="412" t="inlineStr">
        <is>
          <t>Individual Profile / Organization Profile</t>
        </is>
      </c>
      <c r="H73" s="412" t="inlineStr">
        <is>
          <t>Customer Life Cycle Status Code</t>
        </is>
      </c>
      <c r="I73" s="412" t="inlineStr">
        <is>
          <t>Map 1:1 từ T24CORE.CUSTOMER.ACTIVE_STATUS sang PG_BRONZE.T24CORE_CUSTOMER.ACTIVE_STATUS</t>
        </is>
      </c>
      <c r="J73" s="410" t="inlineStr">
        <is>
          <t>2025-11-26</t>
        </is>
      </c>
      <c r="K73" s="385" t="inlineStr">
        <is>
          <t>1:1</t>
        </is>
      </c>
      <c r="L73" s="385" t="inlineStr">
        <is>
          <t>PG_BRONZE</t>
        </is>
      </c>
      <c r="M73" s="386" t="inlineStr">
        <is>
          <t>T24CORE_CUSTOMER</t>
        </is>
      </c>
      <c r="N73" s="386" t="inlineStr">
        <is>
          <t>ACTIVE_STATUS</t>
        </is>
      </c>
      <c r="O73" s="385" t="inlineStr">
        <is>
          <t>VARCHAR2</t>
        </is>
      </c>
      <c r="P73" s="420" t="n">
        <v>100</v>
      </c>
      <c r="Q73" s="386">
        <f>"COMMENT ON COLUMN "&amp;L73&amp;"."&amp;M73&amp;"."&amp;N73&amp;" IS '"&amp;E73&amp;"';"</f>
        <v/>
      </c>
      <c r="R73" s="414" t="inlineStr">
        <is>
          <t>Map 1:1 nguyên bản từ T24CORE.CUSTOMER.ACTIVE_STATUS -&gt; PG_BRONZE.T24CORE_CUSTOMER.ACTIVE_STATUS</t>
        </is>
      </c>
    </row>
    <row r="74" ht="14.25" customHeight="1" s="335">
      <c r="A74" s="412">
        <f>B74&amp;C74&amp;D74</f>
        <v/>
      </c>
      <c r="B74" s="412" t="inlineStr">
        <is>
          <t>T24CORE</t>
        </is>
      </c>
      <c r="C74" s="412" t="inlineStr">
        <is>
          <t>CUSTOMER</t>
        </is>
      </c>
      <c r="D74" s="412" t="inlineStr">
        <is>
          <t>AML_CHECK</t>
        </is>
      </c>
      <c r="E74" s="412" t="inlineStr">
        <is>
          <t>Liên quan tới hệ thống Phòng Chống rửa tiền</t>
        </is>
      </c>
      <c r="F74" s="410" t="inlineStr">
        <is>
          <t>X</t>
        </is>
      </c>
      <c r="G74" s="412" t="inlineStr">
        <is>
          <t>Individual Profile</t>
        </is>
      </c>
      <c r="H74" s="412" t="inlineStr">
        <is>
          <t>AML Check Flag</t>
        </is>
      </c>
      <c r="I74" s="412" t="inlineStr">
        <is>
          <t>Map 1:1 từ T24CORE.CUSTOMER.AML_CHECK sang PG_BRONZE.T24CORE_CUSTOMER.AML_CHECK</t>
        </is>
      </c>
      <c r="J74" s="419" t="inlineStr">
        <is>
          <t>2025-11-26</t>
        </is>
      </c>
      <c r="K74" s="385" t="inlineStr">
        <is>
          <t>1:1</t>
        </is>
      </c>
      <c r="L74" s="385" t="inlineStr">
        <is>
          <t>PG_BRONZE</t>
        </is>
      </c>
      <c r="M74" s="386" t="inlineStr">
        <is>
          <t>T24CORE_CUSTOMER</t>
        </is>
      </c>
      <c r="N74" s="386" t="inlineStr">
        <is>
          <t>AML_CHECK</t>
        </is>
      </c>
      <c r="O74" s="385" t="inlineStr">
        <is>
          <t>VARCHAR2</t>
        </is>
      </c>
      <c r="P74" s="420" t="n">
        <v>100</v>
      </c>
      <c r="Q74" s="386">
        <f>"COMMENT ON COLUMN "&amp;L74&amp;"."&amp;M74&amp;"."&amp;N74&amp;" IS '"&amp;E74&amp;"';"</f>
        <v/>
      </c>
      <c r="R74" s="414" t="inlineStr">
        <is>
          <t>Map 1:1 nguyên bản từ T24CORE.CUSTOMER.AML_CHECK -&gt; PG_BRONZE.T24CORE_CUSTOMER.AML_CHECK</t>
        </is>
      </c>
    </row>
    <row r="75" ht="14.25" customHeight="1" s="335">
      <c r="A75" s="412">
        <f>B75&amp;C75&amp;D75</f>
        <v/>
      </c>
      <c r="B75" s="412" t="inlineStr">
        <is>
          <t>T24CORE</t>
        </is>
      </c>
      <c r="C75" s="412" t="inlineStr">
        <is>
          <t>CUSTOMER</t>
        </is>
      </c>
      <c r="D75" s="412" t="inlineStr">
        <is>
          <t>AML_RESULT</t>
        </is>
      </c>
      <c r="E75" s="412" t="inlineStr">
        <is>
          <t>Liên quan tới hệ thống Phòng Chống rửa tiền</t>
        </is>
      </c>
      <c r="F75" s="410" t="inlineStr">
        <is>
          <t>X</t>
        </is>
      </c>
      <c r="G75" s="412" t="inlineStr">
        <is>
          <t>Individual Profile</t>
        </is>
      </c>
      <c r="H75" s="412" t="inlineStr">
        <is>
          <t>AML Result</t>
        </is>
      </c>
      <c r="I75" s="412" t="inlineStr">
        <is>
          <t>Map 1:1 từ T24CORE.CUSTOMER.AML_RESULT sang PG_BRONZE.T24CORE_CUSTOMER.AML_RESULT</t>
        </is>
      </c>
      <c r="J75" s="419" t="inlineStr">
        <is>
          <t>2025-11-26</t>
        </is>
      </c>
      <c r="K75" s="385" t="inlineStr">
        <is>
          <t>1:1</t>
        </is>
      </c>
      <c r="L75" s="385" t="inlineStr">
        <is>
          <t>PG_BRONZE</t>
        </is>
      </c>
      <c r="M75" s="386" t="inlineStr">
        <is>
          <t>T24CORE_CUSTOMER</t>
        </is>
      </c>
      <c r="N75" s="386" t="inlineStr">
        <is>
          <t>AML_RESULT</t>
        </is>
      </c>
      <c r="O75" s="385" t="inlineStr">
        <is>
          <t>VARCHAR2</t>
        </is>
      </c>
      <c r="P75" s="420" t="n">
        <v>100</v>
      </c>
      <c r="Q75" s="386">
        <f>"COMMENT ON COLUMN "&amp;L75&amp;"."&amp;M75&amp;"."&amp;N75&amp;" IS '"&amp;E75&amp;"';"</f>
        <v/>
      </c>
      <c r="R75" s="414" t="inlineStr">
        <is>
          <t>Map 1:1 nguyên bản từ T24CORE.CUSTOMER.AML_RESULT -&gt; PG_BRONZE.T24CORE_CUSTOMER.AML_RESULT</t>
        </is>
      </c>
    </row>
    <row r="76" ht="14.25" customHeight="1" s="335">
      <c r="A76" s="412">
        <f>B76&amp;C76&amp;D76</f>
        <v/>
      </c>
      <c r="B76" s="412" t="inlineStr">
        <is>
          <t>T24CORE</t>
        </is>
      </c>
      <c r="C76" s="412" t="inlineStr">
        <is>
          <t>CUSTOMER</t>
        </is>
      </c>
      <c r="D76" s="412" t="inlineStr">
        <is>
          <t>ASSET_CLASS</t>
        </is>
      </c>
      <c r="E76" s="412" t="inlineStr">
        <is>
          <t>Nhóm nợ khách hàng Core tính</t>
        </is>
      </c>
      <c r="F76" s="410" t="inlineStr">
        <is>
          <t>X</t>
        </is>
      </c>
      <c r="G76" s="412" t="inlineStr">
        <is>
          <t>Individual Profile / Organization Profile</t>
        </is>
      </c>
      <c r="H76" s="412" t="inlineStr">
        <is>
          <t>Customer Financial Status Code</t>
        </is>
      </c>
      <c r="I76" s="412" t="inlineStr">
        <is>
          <t>Map 1:1 từ T24CORE.CUSTOMER.ASSET_CLASS sang PG_BRONZE.T24CORE_CUSTOMER.ASSET_CLASS</t>
        </is>
      </c>
      <c r="J76" s="419" t="inlineStr">
        <is>
          <t>2025-11-26</t>
        </is>
      </c>
      <c r="K76" s="385" t="inlineStr">
        <is>
          <t>1:1</t>
        </is>
      </c>
      <c r="L76" s="385" t="inlineStr">
        <is>
          <t>PG_BRONZE</t>
        </is>
      </c>
      <c r="M76" s="386" t="inlineStr">
        <is>
          <t>T24CORE_CUSTOMER</t>
        </is>
      </c>
      <c r="N76" s="386" t="inlineStr">
        <is>
          <t>ASSET_CLASS</t>
        </is>
      </c>
      <c r="O76" s="385" t="inlineStr">
        <is>
          <t>VARCHAR2</t>
        </is>
      </c>
      <c r="P76" s="420" t="n">
        <v>100</v>
      </c>
      <c r="Q76" s="386">
        <f>"COMMENT ON COLUMN "&amp;L76&amp;"."&amp;M76&amp;"."&amp;N76&amp;" IS '"&amp;E76&amp;"';"</f>
        <v/>
      </c>
      <c r="R76" s="414" t="inlineStr">
        <is>
          <t>Map 1:1 nguyên bản từ T24CORE.CUSTOMER.ASSET_CLASS -&gt; PG_BRONZE.T24CORE_CUSTOMER.ASSET_CLASS</t>
        </is>
      </c>
    </row>
    <row r="77" ht="14.25" customHeight="1" s="335">
      <c r="A77" s="412">
        <f>B77&amp;C77&amp;D77</f>
        <v/>
      </c>
      <c r="B77" s="412" t="inlineStr">
        <is>
          <t>T24CORE</t>
        </is>
      </c>
      <c r="C77" s="412" t="inlineStr">
        <is>
          <t>CUSTOMER</t>
        </is>
      </c>
      <c r="D77" s="412" t="inlineStr">
        <is>
          <t>BDATE_LEGAL</t>
        </is>
      </c>
      <c r="E77" s="412" t="inlineStr">
        <is>
          <t>Ngày sinh của người đại diện theo pháp luật</t>
        </is>
      </c>
      <c r="F77" s="410" t="inlineStr">
        <is>
          <t>X</t>
        </is>
      </c>
      <c r="G77" s="412" t="inlineStr">
        <is>
          <t>Customer / Individual / Organization Profile / Saoke_GIAINGAN</t>
        </is>
      </c>
      <c r="H77" s="412" t="inlineStr">
        <is>
          <t>Bdate Legal</t>
        </is>
      </c>
      <c r="I77" s="412" t="inlineStr">
        <is>
          <t>Map 1:1 từ T24CORE.CUSTOMER.BDATE_LEGAL sang PG_BRONZE.T24CORE_CUSTOMER.BDATE_LEGAL</t>
        </is>
      </c>
      <c r="J77" s="419" t="inlineStr">
        <is>
          <t>2025-11-26</t>
        </is>
      </c>
      <c r="K77" s="385" t="inlineStr">
        <is>
          <t>1:1</t>
        </is>
      </c>
      <c r="L77" s="385" t="inlineStr">
        <is>
          <t>PG_BRONZE</t>
        </is>
      </c>
      <c r="M77" s="386" t="inlineStr">
        <is>
          <t>T24CORE_CUSTOMER</t>
        </is>
      </c>
      <c r="N77" s="386" t="inlineStr">
        <is>
          <t>BDATE_LEGAL</t>
        </is>
      </c>
      <c r="O77" s="385" t="inlineStr">
        <is>
          <t>DATE</t>
        </is>
      </c>
      <c r="P77" s="420" t="n">
        <v>8</v>
      </c>
      <c r="Q77" s="386">
        <f>"COMMENT ON COLUMN "&amp;L77&amp;"."&amp;M77&amp;"."&amp;N77&amp;" IS '"&amp;E77&amp;"';"</f>
        <v/>
      </c>
      <c r="R77" s="414" t="inlineStr">
        <is>
          <t>Map 1:1 nguyên bản từ T24CORE.CUSTOMER.BDATE_LEGAL -&gt; PG_BRONZE.T24CORE_CUSTOMER.BDATE_LEGAL</t>
        </is>
      </c>
    </row>
    <row r="78" ht="14.25" customHeight="1" s="335">
      <c r="A78" s="412">
        <f>B78&amp;C78&amp;D78</f>
        <v/>
      </c>
      <c r="B78" s="412" t="inlineStr">
        <is>
          <t>T24CORE</t>
        </is>
      </c>
      <c r="C78" s="412" t="inlineStr">
        <is>
          <t>CUSTOMER</t>
        </is>
      </c>
      <c r="D78" s="412" t="inlineStr">
        <is>
          <t>BDAY_DIRECTOR</t>
        </is>
      </c>
      <c r="E78" s="412" t="inlineStr">
        <is>
          <t>Ngày sinh giám đốc công ty</t>
        </is>
      </c>
      <c r="F78" s="410" t="inlineStr">
        <is>
          <t>X</t>
        </is>
      </c>
      <c r="G78" s="412" t="inlineStr">
        <is>
          <t>Customer / Individual / Organization Profile / Saoke_GIAINGAN</t>
        </is>
      </c>
      <c r="H78" s="412" t="inlineStr">
        <is>
          <t>Bday Director</t>
        </is>
      </c>
      <c r="I78" s="412" t="inlineStr">
        <is>
          <t>Map 1:1 từ T24CORE.CUSTOMER.BDAY_DIRECTOR sang PG_BRONZE.T24CORE_CUSTOMER.BDAY_DIRECTOR</t>
        </is>
      </c>
      <c r="J78" s="410" t="inlineStr">
        <is>
          <t>2025-11-26</t>
        </is>
      </c>
      <c r="K78" s="385" t="inlineStr">
        <is>
          <t>1:1</t>
        </is>
      </c>
      <c r="L78" s="385" t="inlineStr">
        <is>
          <t>PG_BRONZE</t>
        </is>
      </c>
      <c r="M78" s="386" t="inlineStr">
        <is>
          <t>T24CORE_CUSTOMER</t>
        </is>
      </c>
      <c r="N78" s="386" t="inlineStr">
        <is>
          <t>BDAY_DIRECTOR</t>
        </is>
      </c>
      <c r="O78" s="385" t="inlineStr">
        <is>
          <t>DATE</t>
        </is>
      </c>
      <c r="P78" s="420" t="n">
        <v>8</v>
      </c>
      <c r="Q78" s="386">
        <f>"COMMENT ON COLUMN "&amp;L78&amp;"."&amp;M78&amp;"."&amp;N78&amp;" IS '"&amp;E78&amp;"';"</f>
        <v/>
      </c>
      <c r="R78" s="414" t="inlineStr">
        <is>
          <t>Map 1:1 nguyên bản từ T24CORE.CUSTOMER.BDAY_DIRECTOR -&gt; PG_BRONZE.T24CORE_CUSTOMER.BDAY_DIRECTOR</t>
        </is>
      </c>
    </row>
    <row r="79" ht="14.25" customHeight="1" s="335">
      <c r="A79" s="412">
        <f>B79&amp;C79&amp;D79</f>
        <v/>
      </c>
      <c r="B79" s="412" t="inlineStr">
        <is>
          <t>T24CORE</t>
        </is>
      </c>
      <c r="C79" s="412" t="inlineStr">
        <is>
          <t>CUSTOMER</t>
        </is>
      </c>
      <c r="D79" s="412" t="inlineStr">
        <is>
          <t>BIRTH_INCORP_DATE</t>
        </is>
      </c>
      <c r="E79" s="412" t="inlineStr">
        <is>
          <t>Ngày thành lập doanh nghiệp</t>
        </is>
      </c>
      <c r="F79" s="410" t="inlineStr">
        <is>
          <t>X</t>
        </is>
      </c>
      <c r="G79" s="412" t="inlineStr">
        <is>
          <t>Organization Profile</t>
        </is>
      </c>
      <c r="H79" s="412" t="inlineStr">
        <is>
          <t>Establish Date</t>
        </is>
      </c>
      <c r="I79" s="412" t="inlineStr">
        <is>
          <t>Map 1:1 từ T24CORE.CUSTOMER.BIRTH_INCORP_DATE sang PG_BRONZE.T24CORE_CUSTOMER.BIRTH_INCORP_DATE</t>
        </is>
      </c>
      <c r="J79" s="410" t="inlineStr">
        <is>
          <t>2025-11-26</t>
        </is>
      </c>
      <c r="K79" s="385" t="inlineStr">
        <is>
          <t>1:1</t>
        </is>
      </c>
      <c r="L79" s="385" t="inlineStr">
        <is>
          <t>PG_BRONZE</t>
        </is>
      </c>
      <c r="M79" s="386" t="inlineStr">
        <is>
          <t>T24CORE_CUSTOMER</t>
        </is>
      </c>
      <c r="N79" s="386" t="inlineStr">
        <is>
          <t>BIRTH_INCORP_DATE</t>
        </is>
      </c>
      <c r="O79" s="385" t="inlineStr">
        <is>
          <t>DATE</t>
        </is>
      </c>
      <c r="P79" s="420" t="n">
        <v>8</v>
      </c>
      <c r="Q79" s="386">
        <f>"COMMENT ON COLUMN "&amp;L79&amp;"."&amp;M79&amp;"."&amp;N79&amp;" IS '"&amp;E79&amp;"';"</f>
        <v/>
      </c>
      <c r="R79" s="414" t="inlineStr">
        <is>
          <t>Map 1:1 nguyên bản từ T24CORE.CUSTOMER.BIRTH_INCORP_DATE -&gt; PG_BRONZE.T24CORE_CUSTOMER.BIRTH_INCORP_DATE</t>
        </is>
      </c>
    </row>
    <row r="80" ht="14.25" customHeight="1" s="335">
      <c r="A80" s="412">
        <f>B80&amp;C80&amp;D80</f>
        <v/>
      </c>
      <c r="B80" s="412" t="inlineStr">
        <is>
          <t>T24CORE</t>
        </is>
      </c>
      <c r="C80" s="412" t="inlineStr">
        <is>
          <t>CUSTOMER</t>
        </is>
      </c>
      <c r="D80" s="412" t="inlineStr">
        <is>
          <t>CO_CODE</t>
        </is>
      </c>
      <c r="E80" s="412" t="inlineStr">
        <is>
          <t>Mã chi nhánh quản lý khách hàng</t>
        </is>
      </c>
      <c r="F80" s="410" t="inlineStr">
        <is>
          <t>X</t>
        </is>
      </c>
      <c r="G80" s="412" t="inlineStr">
        <is>
          <t>Individual Profile / Organization Profile</t>
        </is>
      </c>
      <c r="H80" s="412" t="inlineStr">
        <is>
          <t>Organization Unit Code</t>
        </is>
      </c>
      <c r="I80" s="412" t="inlineStr">
        <is>
          <t>Map 1:1 từ T24CORE.CUSTOMER.CO_CODE sang PG_BRONZE.T24CORE_CUSTOMER.CO_CODE</t>
        </is>
      </c>
      <c r="J80" s="419" t="inlineStr">
        <is>
          <t>2025-11-26</t>
        </is>
      </c>
      <c r="K80" s="385" t="inlineStr">
        <is>
          <t>1:1</t>
        </is>
      </c>
      <c r="L80" s="385" t="inlineStr">
        <is>
          <t>PG_BRONZE</t>
        </is>
      </c>
      <c r="M80" s="386" t="inlineStr">
        <is>
          <t>T24CORE_CUSTOMER</t>
        </is>
      </c>
      <c r="N80" s="386" t="inlineStr">
        <is>
          <t>CO_CODE</t>
        </is>
      </c>
      <c r="O80" s="385" t="inlineStr">
        <is>
          <t>VARCHAR2</t>
        </is>
      </c>
      <c r="P80" s="420" t="n">
        <v>100</v>
      </c>
      <c r="Q80" s="386">
        <f>"COMMENT ON COLUMN "&amp;L80&amp;"."&amp;M80&amp;"."&amp;N80&amp;" IS '"&amp;E80&amp;"';"</f>
        <v/>
      </c>
      <c r="R80" s="414" t="inlineStr">
        <is>
          <t>Map 1:1 nguyên bản từ T24CORE.CUSTOMER.CO_CODE -&gt; PG_BRONZE.T24CORE_CUSTOMER.CO_CODE</t>
        </is>
      </c>
    </row>
    <row r="81" ht="14.25" customHeight="1" s="335">
      <c r="A81" s="412">
        <f>B81&amp;C81&amp;D81</f>
        <v/>
      </c>
      <c r="B81" s="412" t="inlineStr">
        <is>
          <t>T24CORE</t>
        </is>
      </c>
      <c r="C81" s="412" t="inlineStr">
        <is>
          <t>CUSTOMER</t>
        </is>
      </c>
      <c r="D81" s="412" t="inlineStr">
        <is>
          <t>COMPANY_BOOK</t>
        </is>
      </c>
      <c r="E81" s="412" t="inlineStr">
        <is>
          <t>Mã chi nhánh mở CIF</t>
        </is>
      </c>
      <c r="F81" s="410" t="inlineStr">
        <is>
          <t>X</t>
        </is>
      </c>
      <c r="G81" s="412" t="inlineStr">
        <is>
          <t>Customer</t>
        </is>
      </c>
      <c r="H81" s="412" t="inlineStr">
        <is>
          <t>Organization Unit Code</t>
        </is>
      </c>
      <c r="I81" s="412" t="inlineStr">
        <is>
          <t>Map 1:1 từ T24CORE.CUSTOMER.COMPANY_BOOK sang PG_BRONZE.T24CORE_CUSTOMER.COMPANY_BOOK</t>
        </is>
      </c>
      <c r="J81" s="419" t="inlineStr">
        <is>
          <t>2025-11-26</t>
        </is>
      </c>
      <c r="K81" s="385" t="inlineStr">
        <is>
          <t>1:1</t>
        </is>
      </c>
      <c r="L81" s="385" t="inlineStr">
        <is>
          <t>PG_BRONZE</t>
        </is>
      </c>
      <c r="M81" s="386" t="inlineStr">
        <is>
          <t>T24CORE_CUSTOMER</t>
        </is>
      </c>
      <c r="N81" s="386" t="inlineStr">
        <is>
          <t>COMPANY_BOOK</t>
        </is>
      </c>
      <c r="O81" s="385" t="inlineStr">
        <is>
          <t>VARCHAR2</t>
        </is>
      </c>
      <c r="P81" s="420" t="n">
        <v>100</v>
      </c>
      <c r="Q81" s="386">
        <f>"COMMENT ON COLUMN "&amp;L81&amp;"."&amp;M81&amp;"."&amp;N81&amp;" IS '"&amp;E81&amp;"';"</f>
        <v/>
      </c>
      <c r="R81" s="414" t="inlineStr">
        <is>
          <t>Map 1:1 nguyên bản từ T24CORE.CUSTOMER.COMPANY_BOOK -&gt; PG_BRONZE.T24CORE_CUSTOMER.COMPANY_BOOK</t>
        </is>
      </c>
    </row>
    <row r="82" ht="14.25" customHeight="1" s="335">
      <c r="A82" s="412">
        <f>B82&amp;C82&amp;D82</f>
        <v/>
      </c>
      <c r="B82" s="412" t="inlineStr">
        <is>
          <t>T24CORE</t>
        </is>
      </c>
      <c r="C82" s="412" t="inlineStr">
        <is>
          <t>CUSTOMER</t>
        </is>
      </c>
      <c r="D82" s="412" t="inlineStr">
        <is>
          <t>CONTACT_DATE</t>
        </is>
      </c>
      <c r="E82" s="412" t="inlineStr">
        <is>
          <t>Ngày khách hàng liên hệ/mở CIF</t>
        </is>
      </c>
      <c r="F82" s="410" t="inlineStr">
        <is>
          <t>X</t>
        </is>
      </c>
      <c r="G82" s="412" t="inlineStr">
        <is>
          <t>Customer</t>
        </is>
      </c>
      <c r="H82" s="412" t="inlineStr">
        <is>
          <t>Effective Date</t>
        </is>
      </c>
      <c r="I82" s="412" t="inlineStr">
        <is>
          <t>Map 1:1 từ T24CORE.CUSTOMER.CONTACT_DATE sang PG_BRONZE.T24CORE_CUSTOMER.CONTACT_DATE</t>
        </is>
      </c>
      <c r="J82" s="410" t="inlineStr">
        <is>
          <t>2025-11-26</t>
        </is>
      </c>
      <c r="K82" s="385" t="inlineStr">
        <is>
          <t>1:1</t>
        </is>
      </c>
      <c r="L82" s="385" t="inlineStr">
        <is>
          <t>PG_BRONZE</t>
        </is>
      </c>
      <c r="M82" s="386" t="inlineStr">
        <is>
          <t>T24CORE_CUSTOMER</t>
        </is>
      </c>
      <c r="N82" s="386" t="inlineStr">
        <is>
          <t>CONTACT_DATE</t>
        </is>
      </c>
      <c r="O82" s="385" t="inlineStr">
        <is>
          <t>DATE</t>
        </is>
      </c>
      <c r="P82" s="420" t="n">
        <v>8</v>
      </c>
      <c r="Q82" s="386">
        <f>"COMMENT ON COLUMN "&amp;L82&amp;"."&amp;M82&amp;"."&amp;N82&amp;" IS '"&amp;E82&amp;"';"</f>
        <v/>
      </c>
      <c r="R82" s="414" t="inlineStr">
        <is>
          <t>Map 1:1 nguyên bản từ T24CORE.CUSTOMER.CONTACT_DATE -&gt; PG_BRONZE.T24CORE_CUSTOMER.CONTACT_DATE</t>
        </is>
      </c>
    </row>
    <row r="83" ht="14.25" customHeight="1" s="335">
      <c r="A83" s="412">
        <f>B83&amp;C83&amp;D83</f>
        <v/>
      </c>
      <c r="B83" s="412" t="inlineStr">
        <is>
          <t>T24CORE</t>
        </is>
      </c>
      <c r="C83" s="412" t="inlineStr">
        <is>
          <t>CUSTOMER</t>
        </is>
      </c>
      <c r="D83" s="412" t="inlineStr">
        <is>
          <t>CONTACT_PERSON</t>
        </is>
      </c>
      <c r="E83" s="412" t="inlineStr">
        <is>
          <t>Họ tên người liên hệ của khách hàng doanh nghiệp</t>
        </is>
      </c>
      <c r="F83" s="410" t="inlineStr">
        <is>
          <t>X</t>
        </is>
      </c>
      <c r="G83" s="412" t="inlineStr">
        <is>
          <t>Customer / Individual / Organization Profile / Saoke_GIAINGAN</t>
        </is>
      </c>
      <c r="H83" s="412" t="inlineStr">
        <is>
          <t>Contact Person</t>
        </is>
      </c>
      <c r="I83" s="412" t="inlineStr">
        <is>
          <t>Map 1:1 từ T24CORE.CUSTOMER.CONTACT_PERSON sang PG_BRONZE.T24CORE_CUSTOMER.CONTACT_PERSON</t>
        </is>
      </c>
      <c r="J83" s="410" t="inlineStr">
        <is>
          <t>2025-11-26</t>
        </is>
      </c>
      <c r="K83" s="385" t="inlineStr">
        <is>
          <t>1:1</t>
        </is>
      </c>
      <c r="L83" s="385" t="inlineStr">
        <is>
          <t>PG_BRONZE</t>
        </is>
      </c>
      <c r="M83" s="386" t="inlineStr">
        <is>
          <t>T24CORE_CUSTOMER</t>
        </is>
      </c>
      <c r="N83" s="386" t="inlineStr">
        <is>
          <t>CONTACT_PERSON</t>
        </is>
      </c>
      <c r="O83" s="385" t="inlineStr">
        <is>
          <t>VARCHAR2</t>
        </is>
      </c>
      <c r="P83" s="420" t="n">
        <v>100</v>
      </c>
      <c r="Q83" s="386">
        <f>"COMMENT ON COLUMN "&amp;L83&amp;"."&amp;M83&amp;"."&amp;N83&amp;" IS '"&amp;E83&amp;"';"</f>
        <v/>
      </c>
      <c r="R83" s="414" t="inlineStr">
        <is>
          <t>Map 1:1 nguyên bản từ T24CORE.CUSTOMER.CONTACT_PERSON -&gt; PG_BRONZE.T24CORE_CUSTOMER.CONTACT_PERSON</t>
        </is>
      </c>
    </row>
    <row r="84" ht="14.25" customHeight="1" s="335">
      <c r="A84" s="412">
        <f>B84&amp;C84&amp;D84</f>
        <v/>
      </c>
      <c r="B84" s="412" t="inlineStr">
        <is>
          <t>T24CORE</t>
        </is>
      </c>
      <c r="C84" s="412" t="inlineStr">
        <is>
          <t>CUSTOMER</t>
        </is>
      </c>
      <c r="D84" s="412" t="inlineStr">
        <is>
          <t>COUNTRY</t>
        </is>
      </c>
      <c r="E84" s="412" t="inlineStr">
        <is>
          <t>Tên quốc gia nơi cư trú / đặt trụ sở</t>
        </is>
      </c>
      <c r="F84" s="410" t="inlineStr">
        <is>
          <t>X</t>
        </is>
      </c>
      <c r="G84" s="412" t="inlineStr">
        <is>
          <t>Involved Party Postal Address</t>
        </is>
      </c>
      <c r="H84" s="412" t="inlineStr">
        <is>
          <t>Country Name</t>
        </is>
      </c>
      <c r="I84" s="412" t="inlineStr">
        <is>
          <t>Map 1:1 từ T24CORE.CUSTOMER.COUNTRY sang PG_BRONZE.T24CORE_CUSTOMER.COUNTRY</t>
        </is>
      </c>
      <c r="J84" s="410" t="inlineStr">
        <is>
          <t>2025-11-26</t>
        </is>
      </c>
      <c r="K84" s="385" t="inlineStr">
        <is>
          <t>1:1</t>
        </is>
      </c>
      <c r="L84" s="385" t="inlineStr">
        <is>
          <t>PG_BRONZE</t>
        </is>
      </c>
      <c r="M84" s="386" t="inlineStr">
        <is>
          <t>T24CORE_CUSTOMER</t>
        </is>
      </c>
      <c r="N84" s="386" t="inlineStr">
        <is>
          <t>COUNTRY</t>
        </is>
      </c>
      <c r="O84" s="385" t="inlineStr">
        <is>
          <t>VARCHAR2</t>
        </is>
      </c>
      <c r="P84" s="420" t="n">
        <v>100</v>
      </c>
      <c r="Q84" s="386">
        <f>"COMMENT ON COLUMN "&amp;L84&amp;"."&amp;M84&amp;"."&amp;N84&amp;" IS '"&amp;E84&amp;"';"</f>
        <v/>
      </c>
      <c r="R84" s="414" t="inlineStr">
        <is>
          <t>Map 1:1 nguyên bản từ T24CORE.CUSTOMER.COUNTRY -&gt; PG_BRONZE.T24CORE_CUSTOMER.COUNTRY</t>
        </is>
      </c>
    </row>
    <row r="85" ht="14.25" customHeight="1" s="335">
      <c r="A85" s="412">
        <f>B85&amp;C85&amp;D85</f>
        <v/>
      </c>
      <c r="B85" s="412" t="inlineStr">
        <is>
          <t>T24CORE</t>
        </is>
      </c>
      <c r="C85" s="412" t="inlineStr">
        <is>
          <t>CUSTOMER</t>
        </is>
      </c>
      <c r="D85" s="412" t="inlineStr">
        <is>
          <t>CU_EFF_DATE</t>
        </is>
      </c>
      <c r="E85" s="412" t="inlineStr">
        <is>
          <t>Ngày hiệu lực phân hạng khách hàng VIP</t>
        </is>
      </c>
      <c r="F85" s="410" t="inlineStr">
        <is>
          <t>X</t>
        </is>
      </c>
      <c r="G85" s="412" t="inlineStr">
        <is>
          <t>Customer / Individual / Organization Profile / Saoke_GIAINGAN</t>
        </is>
      </c>
      <c r="H85" s="412" t="inlineStr">
        <is>
          <t>Cu Eff Date</t>
        </is>
      </c>
      <c r="I85" s="412" t="inlineStr">
        <is>
          <t>Map 1:1 từ T24CORE.CUSTOMER.CU_EFF_DATE sang PG_BRONZE.T24CORE_CUSTOMER.CU_EFF_DATE</t>
        </is>
      </c>
      <c r="J85" s="410" t="inlineStr">
        <is>
          <t>2025-11-26</t>
        </is>
      </c>
      <c r="K85" s="385" t="inlineStr">
        <is>
          <t>1:1</t>
        </is>
      </c>
      <c r="L85" s="385" t="inlineStr">
        <is>
          <t>PG_BRONZE</t>
        </is>
      </c>
      <c r="M85" s="386" t="inlineStr">
        <is>
          <t>T24CORE_CUSTOMER</t>
        </is>
      </c>
      <c r="N85" s="386" t="inlineStr">
        <is>
          <t>CU_EFF_DATE</t>
        </is>
      </c>
      <c r="O85" s="385" t="inlineStr">
        <is>
          <t>DATE</t>
        </is>
      </c>
      <c r="P85" s="420" t="n">
        <v>8</v>
      </c>
      <c r="Q85" s="386">
        <f>"COMMENT ON COLUMN "&amp;L85&amp;"."&amp;M85&amp;"."&amp;N85&amp;" IS '"&amp;E85&amp;"';"</f>
        <v/>
      </c>
      <c r="R85" s="414" t="inlineStr">
        <is>
          <t>Map 1:1 nguyên bản từ T24CORE.CUSTOMER.CU_EFF_DATE -&gt; PG_BRONZE.T24CORE_CUSTOMER.CU_EFF_DATE</t>
        </is>
      </c>
    </row>
    <row r="86" ht="14.25" customHeight="1" s="335">
      <c r="A86" s="412">
        <f>B86&amp;C86&amp;D86</f>
        <v/>
      </c>
      <c r="B86" s="412" t="inlineStr">
        <is>
          <t>T24CORE</t>
        </is>
      </c>
      <c r="C86" s="412" t="inlineStr">
        <is>
          <t>CUSTOMER</t>
        </is>
      </c>
      <c r="D86" s="412" t="inlineStr">
        <is>
          <t>CUS_IND_PARENT</t>
        </is>
      </c>
      <c r="E86" s="412" t="inlineStr">
        <is>
          <t>Mã ngành nghê kinh tế cha</t>
        </is>
      </c>
      <c r="F86" s="410" t="inlineStr">
        <is>
          <t>X</t>
        </is>
      </c>
      <c r="G86" s="412" t="inlineStr">
        <is>
          <t>Individual Profile / Organization Profile</t>
        </is>
      </c>
      <c r="H86" s="412" t="inlineStr">
        <is>
          <t>Industry LV1 Classification Code</t>
        </is>
      </c>
      <c r="I86" s="412" t="inlineStr">
        <is>
          <t>Map 1:1 từ T24CORE.CUSTOMER.CUS_IND_PARENT sang PG_BRONZE.T24CORE_CUSTOMER.CUS_IND_PARENT</t>
        </is>
      </c>
      <c r="J86" s="410" t="inlineStr">
        <is>
          <t>2025-11-26</t>
        </is>
      </c>
      <c r="K86" s="385" t="inlineStr">
        <is>
          <t>1:1</t>
        </is>
      </c>
      <c r="L86" s="385" t="inlineStr">
        <is>
          <t>PG_BRONZE</t>
        </is>
      </c>
      <c r="M86" s="386" t="inlineStr">
        <is>
          <t>T24CORE_CUSTOMER</t>
        </is>
      </c>
      <c r="N86" s="386" t="inlineStr">
        <is>
          <t>CUS_IND_PARENT</t>
        </is>
      </c>
      <c r="O86" s="385" t="inlineStr">
        <is>
          <t>VARCHAR2</t>
        </is>
      </c>
      <c r="P86" s="420" t="n">
        <v>100</v>
      </c>
      <c r="Q86" s="386">
        <f>"COMMENT ON COLUMN "&amp;L86&amp;"."&amp;M86&amp;"."&amp;N86&amp;" IS '"&amp;E86&amp;"';"</f>
        <v/>
      </c>
      <c r="R86" s="414" t="inlineStr">
        <is>
          <t>Map 1:1 nguyên bản từ T24CORE.CUSTOMER.CUS_IND_PARENT -&gt; PG_BRONZE.T24CORE_CUSTOMER.CUS_IND_PARENT</t>
        </is>
      </c>
    </row>
    <row r="87" ht="14.25" customHeight="1" s="335">
      <c r="A87" s="412">
        <f>B87&amp;C87&amp;D87</f>
        <v/>
      </c>
      <c r="B87" s="412" t="inlineStr">
        <is>
          <t>T24CORE</t>
        </is>
      </c>
      <c r="C87" s="412" t="inlineStr">
        <is>
          <t>CUSTOMER</t>
        </is>
      </c>
      <c r="D87" s="412" t="inlineStr">
        <is>
          <t>CUSTOMER_STATUS</t>
        </is>
      </c>
      <c r="E87" s="412" t="inlineStr">
        <is>
          <t>Trạng thái hiện tại của khách hàng</t>
        </is>
      </c>
      <c r="F87" s="410" t="inlineStr">
        <is>
          <t>X</t>
        </is>
      </c>
      <c r="G87" s="412" t="inlineStr">
        <is>
          <t>Individual Profile / Organization Profile</t>
        </is>
      </c>
      <c r="H87" s="412" t="inlineStr">
        <is>
          <t>Customer Status Code</t>
        </is>
      </c>
      <c r="I87" s="412" t="inlineStr">
        <is>
          <t>Map 1:1 từ T24CORE.CUSTOMER.CUSTOMER_STATUS sang PG_BRONZE.T24CORE_CUSTOMER.CUSTOMER_STATUS</t>
        </is>
      </c>
      <c r="J87" s="419" t="inlineStr">
        <is>
          <t>2025-11-26</t>
        </is>
      </c>
      <c r="K87" s="385" t="inlineStr">
        <is>
          <t>1:1</t>
        </is>
      </c>
      <c r="L87" s="385" t="inlineStr">
        <is>
          <t>PG_BRONZE</t>
        </is>
      </c>
      <c r="M87" s="386" t="inlineStr">
        <is>
          <t>T24CORE_CUSTOMER</t>
        </is>
      </c>
      <c r="N87" s="386" t="inlineStr">
        <is>
          <t>CUSTOMER_STATUS</t>
        </is>
      </c>
      <c r="O87" s="385" t="inlineStr">
        <is>
          <t>VARCHAR2</t>
        </is>
      </c>
      <c r="P87" s="420" t="n">
        <v>100</v>
      </c>
      <c r="Q87" s="386">
        <f>"COMMENT ON COLUMN "&amp;L87&amp;"."&amp;M87&amp;"."&amp;N87&amp;" IS '"&amp;E87&amp;"';"</f>
        <v/>
      </c>
      <c r="R87" s="414" t="inlineStr">
        <is>
          <t>Map 1:1 nguyên bản từ T24CORE.CUSTOMER.CUSTOMER_STATUS -&gt; PG_BRONZE.T24CORE_CUSTOMER.CUSTOMER_STATUS</t>
        </is>
      </c>
    </row>
    <row r="88" ht="14.25" customHeight="1" s="335">
      <c r="A88" s="412">
        <f>B88&amp;C88&amp;D88</f>
        <v/>
      </c>
      <c r="B88" s="412" t="inlineStr">
        <is>
          <t>T24CORE</t>
        </is>
      </c>
      <c r="C88" s="412" t="inlineStr">
        <is>
          <t>CUSTOMER</t>
        </is>
      </c>
      <c r="D88" s="412" t="inlineStr">
        <is>
          <t>DATE_TIME</t>
        </is>
      </c>
      <c r="E88" s="412" t="inlineStr">
        <is>
          <t>Ngày giờ bản ghi nhập liệu</t>
        </is>
      </c>
      <c r="F88" s="410" t="inlineStr">
        <is>
          <t>X</t>
        </is>
      </c>
      <c r="G88" s="412" t="inlineStr">
        <is>
          <t>Customer / Individual / Organization Profile / Saoke_GIAINGAN</t>
        </is>
      </c>
      <c r="H88" s="412" t="inlineStr">
        <is>
          <t>Date Time</t>
        </is>
      </c>
      <c r="I88" s="412" t="inlineStr">
        <is>
          <t>Map 1:1 từ T24CORE.CUSTOMER.DATE_TIME sang PG_BRONZE.T24CORE_CUSTOMER.DATE_TIME</t>
        </is>
      </c>
      <c r="J88" s="419" t="inlineStr">
        <is>
          <t>2025-11-26</t>
        </is>
      </c>
      <c r="K88" s="385" t="inlineStr">
        <is>
          <t>1:1</t>
        </is>
      </c>
      <c r="L88" s="385" t="inlineStr">
        <is>
          <t>PG_BRONZE</t>
        </is>
      </c>
      <c r="M88" s="386" t="inlineStr">
        <is>
          <t>T24CORE_CUSTOMER</t>
        </is>
      </c>
      <c r="N88" s="386" t="inlineStr">
        <is>
          <t>DATE_TIME</t>
        </is>
      </c>
      <c r="O88" s="385" t="inlineStr">
        <is>
          <t>DATE</t>
        </is>
      </c>
      <c r="P88" s="420" t="n">
        <v>8</v>
      </c>
      <c r="Q88" s="386">
        <f>"COMMENT ON COLUMN "&amp;L88&amp;"."&amp;M88&amp;"."&amp;N88&amp;" IS '"&amp;E88&amp;"';"</f>
        <v/>
      </c>
      <c r="R88" s="414" t="inlineStr">
        <is>
          <t>Map 1:1 nguyên bản từ T24CORE.CUSTOMER.DATE_TIME -&gt; PG_BRONZE.T24CORE_CUSTOMER.DATE_TIME</t>
        </is>
      </c>
    </row>
    <row r="89" ht="14.25" customHeight="1" s="335">
      <c r="A89" s="412">
        <f>B89&amp;C89&amp;D89</f>
        <v/>
      </c>
      <c r="B89" s="412" t="inlineStr">
        <is>
          <t>T24CORE</t>
        </is>
      </c>
      <c r="C89" s="412" t="inlineStr">
        <is>
          <t>CUSTOMER</t>
        </is>
      </c>
      <c r="D89" s="412" t="inlineStr">
        <is>
          <t>EMAIL_ADDRESS</t>
        </is>
      </c>
      <c r="E89" s="412" t="inlineStr">
        <is>
          <t>Địa chỉ emai</t>
        </is>
      </c>
      <c r="F89" s="410" t="inlineStr">
        <is>
          <t>X</t>
        </is>
      </c>
      <c r="G89" s="412" t="inlineStr">
        <is>
          <t>Involved Party Electronic Address</t>
        </is>
      </c>
      <c r="H89" s="412" t="inlineStr">
        <is>
          <t>Electronic Address Value</t>
        </is>
      </c>
      <c r="I89" s="412" t="inlineStr">
        <is>
          <t>Map 1:1 từ T24CORE.CUSTOMER.EMAIL_ADDRESS sang PG_BRONZE.T24CORE_CUSTOMER.EMAIL_ADDRESS</t>
        </is>
      </c>
      <c r="J89" s="410" t="inlineStr">
        <is>
          <t>2025-11-26</t>
        </is>
      </c>
      <c r="K89" s="385" t="inlineStr">
        <is>
          <t>1:1</t>
        </is>
      </c>
      <c r="L89" s="385" t="inlineStr">
        <is>
          <t>PG_BRONZE</t>
        </is>
      </c>
      <c r="M89" s="386" t="inlineStr">
        <is>
          <t>T24CORE_CUSTOMER</t>
        </is>
      </c>
      <c r="N89" s="386" t="inlineStr">
        <is>
          <t>EMAIL_ADDRESS</t>
        </is>
      </c>
      <c r="O89" s="385" t="inlineStr">
        <is>
          <t>VARCHAR2</t>
        </is>
      </c>
      <c r="P89" s="420" t="n">
        <v>255</v>
      </c>
      <c r="Q89" s="386">
        <f>"COMMENT ON COLUMN "&amp;L89&amp;"."&amp;M89&amp;"."&amp;N89&amp;" IS '"&amp;E89&amp;"';"</f>
        <v/>
      </c>
      <c r="R89" s="414" t="inlineStr">
        <is>
          <t>Map 1:1 nguyên bản từ T24CORE.CUSTOMER.EMAIL_ADDRESS -&gt; PG_BRONZE.T24CORE_CUSTOMER.EMAIL_ADDRESS</t>
        </is>
      </c>
    </row>
    <row r="90" ht="14.25" customHeight="1" s="335">
      <c r="A90" s="412">
        <f>B90&amp;C90&amp;D90</f>
        <v/>
      </c>
      <c r="B90" s="412" t="inlineStr">
        <is>
          <t>T24CORE</t>
        </is>
      </c>
      <c r="C90" s="412" t="inlineStr">
        <is>
          <t>CUSTOMER</t>
        </is>
      </c>
      <c r="D90" s="412" t="inlineStr">
        <is>
          <t>EMPLOYMENT_STATUS</t>
        </is>
      </c>
      <c r="E90" s="412" t="inlineStr">
        <is>
          <t>Mã tình trạng việc làm của khách hàng cá nhân</t>
        </is>
      </c>
      <c r="F90" s="410" t="inlineStr">
        <is>
          <t>X</t>
        </is>
      </c>
      <c r="G90" s="412" t="inlineStr">
        <is>
          <t>Individual Employment Status</t>
        </is>
      </c>
      <c r="H90" s="412" t="inlineStr">
        <is>
          <t>Individual Employment Status Code</t>
        </is>
      </c>
      <c r="I90" s="412" t="inlineStr">
        <is>
          <t>Map 1:1 từ T24CORE.CUSTOMER.EMPLOYMENT_STATUS sang PG_BRONZE.T24CORE_CUSTOMER.EMPLOYMENT_STATUS</t>
        </is>
      </c>
      <c r="J90" s="410" t="inlineStr">
        <is>
          <t>2025-11-26</t>
        </is>
      </c>
      <c r="K90" s="385" t="inlineStr">
        <is>
          <t>1:1</t>
        </is>
      </c>
      <c r="L90" s="385" t="inlineStr">
        <is>
          <t>PG_BRONZE</t>
        </is>
      </c>
      <c r="M90" s="386" t="inlineStr">
        <is>
          <t>T24CORE_CUSTOMER</t>
        </is>
      </c>
      <c r="N90" s="386" t="inlineStr">
        <is>
          <t>EMPLOYMENT_STATUS</t>
        </is>
      </c>
      <c r="O90" s="385" t="inlineStr">
        <is>
          <t>VARCHAR2</t>
        </is>
      </c>
      <c r="P90" s="420" t="n">
        <v>100</v>
      </c>
      <c r="Q90" s="386">
        <f>"COMMENT ON COLUMN "&amp;L90&amp;"."&amp;M90&amp;"."&amp;N90&amp;" IS '"&amp;E90&amp;"';"</f>
        <v/>
      </c>
      <c r="R90" s="414" t="inlineStr">
        <is>
          <t>Map 1:1 nguyên bản từ T24CORE.CUSTOMER.EMPLOYMENT_STATUS -&gt; PG_BRONZE.T24CORE_CUSTOMER.EMPLOYMENT_STATUS</t>
        </is>
      </c>
    </row>
    <row r="91" ht="14.25" customHeight="1" s="335">
      <c r="A91" s="412">
        <f>B91&amp;C91&amp;D91</f>
        <v/>
      </c>
      <c r="B91" s="412" t="inlineStr">
        <is>
          <t>T24CORE</t>
        </is>
      </c>
      <c r="C91" s="412" t="inlineStr">
        <is>
          <t>CUSTOMER</t>
        </is>
      </c>
      <c r="D91" s="412" t="inlineStr">
        <is>
          <t>ESTAB_LIC_CODE</t>
        </is>
      </c>
      <c r="E91" s="412" t="inlineStr">
        <is>
          <t>Số giấy phép thành lập / đăng ký kinh doanh</t>
        </is>
      </c>
      <c r="F91" s="410" t="inlineStr">
        <is>
          <t>X</t>
        </is>
      </c>
      <c r="G91" s="412" t="inlineStr">
        <is>
          <t>Customer / Individual / Organization Profile / Saoke_GIAINGAN</t>
        </is>
      </c>
      <c r="H91" s="412" t="inlineStr">
        <is>
          <t>Estab Lic Code</t>
        </is>
      </c>
      <c r="I91" s="412" t="inlineStr">
        <is>
          <t>Map 1:1 từ T24CORE.CUSTOMER.ESTAB_LIC_CODE sang PG_BRONZE.T24CORE_CUSTOMER.ESTAB_LIC_CODE</t>
        </is>
      </c>
      <c r="J91" s="410" t="inlineStr">
        <is>
          <t>2025-11-26</t>
        </is>
      </c>
      <c r="K91" s="385" t="inlineStr">
        <is>
          <t>1:1</t>
        </is>
      </c>
      <c r="L91" s="385" t="inlineStr">
        <is>
          <t>PG_BRONZE</t>
        </is>
      </c>
      <c r="M91" s="386" t="inlineStr">
        <is>
          <t>T24CORE_CUSTOMER</t>
        </is>
      </c>
      <c r="N91" s="386" t="inlineStr">
        <is>
          <t>ESTAB_LIC_CODE</t>
        </is>
      </c>
      <c r="O91" s="385" t="inlineStr">
        <is>
          <t>VARCHAR2</t>
        </is>
      </c>
      <c r="P91" s="420" t="n">
        <v>100</v>
      </c>
      <c r="Q91" s="386">
        <f>"COMMENT ON COLUMN "&amp;L91&amp;"."&amp;M91&amp;"."&amp;N91&amp;" IS '"&amp;E91&amp;"';"</f>
        <v/>
      </c>
      <c r="R91" s="414" t="inlineStr">
        <is>
          <t>Map 1:1 nguyên bản từ T24CORE.CUSTOMER.ESTAB_LIC_CODE -&gt; PG_BRONZE.T24CORE_CUSTOMER.ESTAB_LIC_CODE</t>
        </is>
      </c>
    </row>
    <row r="92" ht="14.25" customHeight="1" s="335">
      <c r="A92" s="412">
        <f>B92&amp;C92&amp;D92</f>
        <v/>
      </c>
      <c r="B92" s="412" t="inlineStr">
        <is>
          <t>T24CORE</t>
        </is>
      </c>
      <c r="C92" s="412" t="inlineStr">
        <is>
          <t>CUSTOMER</t>
        </is>
      </c>
      <c r="D92" s="412" t="inlineStr">
        <is>
          <t>FFB_TYPE</t>
        </is>
      </c>
      <c r="E92" s="412" t="inlineStr">
        <is>
          <t>Phân hạng khách hàng ưu tiên (VIP Type)</t>
        </is>
      </c>
      <c r="F92" s="410" t="inlineStr">
        <is>
          <t>X</t>
        </is>
      </c>
      <c r="G92" s="412" t="inlineStr">
        <is>
          <t>Customer / Individual / Organization Profile / Saoke_GIAINGAN</t>
        </is>
      </c>
      <c r="H92" s="412" t="inlineStr">
        <is>
          <t>Ffb Type</t>
        </is>
      </c>
      <c r="I92" s="412" t="inlineStr">
        <is>
          <t>Map 1:1 từ T24CORE.CUSTOMER.FFB_TYPE sang PG_BRONZE.T24CORE_CUSTOMER.FFB_TYPE</t>
        </is>
      </c>
      <c r="J92" s="410" t="inlineStr">
        <is>
          <t>2025-11-26</t>
        </is>
      </c>
      <c r="K92" s="385" t="inlineStr">
        <is>
          <t>1:1</t>
        </is>
      </c>
      <c r="L92" s="385" t="inlineStr">
        <is>
          <t>PG_BRONZE</t>
        </is>
      </c>
      <c r="M92" s="386" t="inlineStr">
        <is>
          <t>T24CORE_CUSTOMER</t>
        </is>
      </c>
      <c r="N92" s="386" t="inlineStr">
        <is>
          <t>FFB_TYPE</t>
        </is>
      </c>
      <c r="O92" s="385" t="inlineStr">
        <is>
          <t>VARCHAR2</t>
        </is>
      </c>
      <c r="P92" s="420" t="n">
        <v>100</v>
      </c>
      <c r="Q92" s="386">
        <f>"COMMENT ON COLUMN "&amp;L92&amp;"."&amp;M92&amp;"."&amp;N92&amp;" IS '"&amp;E92&amp;"';"</f>
        <v/>
      </c>
      <c r="R92" s="414" t="inlineStr">
        <is>
          <t>Map 1:1 nguyên bản từ T24CORE.CUSTOMER.FFB_TYPE -&gt; PG_BRONZE.T24CORE_CUSTOMER.FFB_TYPE</t>
        </is>
      </c>
    </row>
    <row r="93" ht="14.25" customHeight="1" s="335">
      <c r="A93" s="412">
        <f>B93&amp;C93&amp;D93</f>
        <v/>
      </c>
      <c r="B93" s="412" t="inlineStr">
        <is>
          <t>T24CORE</t>
        </is>
      </c>
      <c r="C93" s="412" t="inlineStr">
        <is>
          <t>CUSTOMER</t>
        </is>
      </c>
      <c r="D93" s="412" t="inlineStr">
        <is>
          <t>GEN_DIR_PLC</t>
        </is>
      </c>
      <c r="E93" s="412" t="inlineStr">
        <is>
          <t>Nơi sinh / quốc tịch của Tổng giám đốc / người đại diện</t>
        </is>
      </c>
      <c r="F93" s="410" t="inlineStr">
        <is>
          <t>X</t>
        </is>
      </c>
      <c r="G93" s="412" t="inlineStr">
        <is>
          <t>Customer / Individual / Organization Profile / Saoke_GIAINGAN</t>
        </is>
      </c>
      <c r="H93" s="412" t="inlineStr">
        <is>
          <t>Gen Dir Plc</t>
        </is>
      </c>
      <c r="I93" s="412" t="inlineStr">
        <is>
          <t>Map 1:1 từ T24CORE.CUSTOMER.GEN_DIR_PLC sang PG_BRONZE.T24CORE_CUSTOMER.GEN_DIR_PLC</t>
        </is>
      </c>
      <c r="J93" s="410" t="inlineStr">
        <is>
          <t>2025-11-26</t>
        </is>
      </c>
      <c r="K93" s="385" t="inlineStr">
        <is>
          <t>1:1</t>
        </is>
      </c>
      <c r="L93" s="385" t="inlineStr">
        <is>
          <t>PG_BRONZE</t>
        </is>
      </c>
      <c r="M93" s="386" t="inlineStr">
        <is>
          <t>T24CORE_CUSTOMER</t>
        </is>
      </c>
      <c r="N93" s="386" t="inlineStr">
        <is>
          <t>GEN_DIR_PLC</t>
        </is>
      </c>
      <c r="O93" s="385" t="inlineStr">
        <is>
          <t>VARCHAR2</t>
        </is>
      </c>
      <c r="P93" s="420" t="n">
        <v>100</v>
      </c>
      <c r="Q93" s="386">
        <f>"COMMENT ON COLUMN "&amp;L93&amp;"."&amp;M93&amp;"."&amp;N93&amp;" IS '"&amp;E93&amp;"';"</f>
        <v/>
      </c>
      <c r="R93" s="414" t="inlineStr">
        <is>
          <t>Map 1:1 nguyên bản từ T24CORE.CUSTOMER.GEN_DIR_PLC -&gt; PG_BRONZE.T24CORE_CUSTOMER.GEN_DIR_PLC</t>
        </is>
      </c>
    </row>
    <row r="94" ht="14.25" customHeight="1" s="335">
      <c r="A94" s="412">
        <f>B94&amp;C94&amp;D94</f>
        <v/>
      </c>
      <c r="B94" s="412" t="inlineStr">
        <is>
          <t>T24CORE</t>
        </is>
      </c>
      <c r="C94" s="412" t="inlineStr">
        <is>
          <t>CUSTOMER</t>
        </is>
      </c>
      <c r="D94" s="412" t="inlineStr">
        <is>
          <t>HOME_NUMBER</t>
        </is>
      </c>
      <c r="E94" s="412" t="inlineStr">
        <is>
          <t>Số điện thoại nhà tiêng</t>
        </is>
      </c>
      <c r="F94" s="410" t="inlineStr">
        <is>
          <t>X</t>
        </is>
      </c>
      <c r="G94" s="412" t="inlineStr">
        <is>
          <t>Involved Party Electronic Address</t>
        </is>
      </c>
      <c r="H94" s="412" t="inlineStr">
        <is>
          <t>Electronic Address Value</t>
        </is>
      </c>
      <c r="I94" s="412" t="inlineStr">
        <is>
          <t>Map 1:1 từ T24CORE.CUSTOMER.HOME_NUMBER sang PG_BRONZE.T24CORE_CUSTOMER.HOME_NUMBER</t>
        </is>
      </c>
      <c r="J94" s="410" t="inlineStr">
        <is>
          <t>2025-11-26</t>
        </is>
      </c>
      <c r="K94" s="385" t="inlineStr">
        <is>
          <t>1:1</t>
        </is>
      </c>
      <c r="L94" s="385" t="inlineStr">
        <is>
          <t>PG_BRONZE</t>
        </is>
      </c>
      <c r="M94" s="386" t="inlineStr">
        <is>
          <t>T24CORE_CUSTOMER</t>
        </is>
      </c>
      <c r="N94" s="386" t="inlineStr">
        <is>
          <t>HOME_NUMBER</t>
        </is>
      </c>
      <c r="O94" s="385" t="inlineStr">
        <is>
          <t>VARCHAR2</t>
        </is>
      </c>
      <c r="P94" s="420" t="n">
        <v>100</v>
      </c>
      <c r="Q94" s="386">
        <f>"COMMENT ON COLUMN "&amp;L94&amp;"."&amp;M94&amp;"."&amp;N94&amp;" IS '"&amp;E94&amp;"';"</f>
        <v/>
      </c>
      <c r="R94" s="414" t="inlineStr">
        <is>
          <t>Map 1:1 nguyên bản từ T24CORE.CUSTOMER.HOME_NUMBER -&gt; PG_BRONZE.T24CORE_CUSTOMER.HOME_NUMBER</t>
        </is>
      </c>
    </row>
    <row r="95" ht="14.25" customHeight="1" s="335">
      <c r="A95" s="412">
        <f>B95&amp;C95&amp;D95</f>
        <v/>
      </c>
      <c r="B95" s="412" t="inlineStr">
        <is>
          <t>T24CORE</t>
        </is>
      </c>
      <c r="C95" s="412" t="inlineStr">
        <is>
          <t>CUSTOMER</t>
        </is>
      </c>
      <c r="D95" s="412" t="inlineStr">
        <is>
          <t>INDUSTRY</t>
        </is>
      </c>
      <c r="E95" s="412" t="inlineStr">
        <is>
          <t>Mã ngành nghề đăng ký kinh doanh</t>
        </is>
      </c>
      <c r="F95" s="410" t="inlineStr">
        <is>
          <t>X</t>
        </is>
      </c>
      <c r="G95" s="412" t="inlineStr">
        <is>
          <t>Customer / Individual / Organization Profile / Saoke_GIAINGAN</t>
        </is>
      </c>
      <c r="H95" s="412" t="inlineStr">
        <is>
          <t>Industry</t>
        </is>
      </c>
      <c r="I95" s="412" t="inlineStr">
        <is>
          <t>Map 1:1 từ T24CORE.CUSTOMER.INDUSTRY sang PG_BRONZE.T24CORE_CUSTOMER.INDUSTRY</t>
        </is>
      </c>
      <c r="J95" s="410" t="inlineStr">
        <is>
          <t>2025-11-26</t>
        </is>
      </c>
      <c r="K95" s="385" t="inlineStr">
        <is>
          <t>1:1</t>
        </is>
      </c>
      <c r="L95" s="385" t="inlineStr">
        <is>
          <t>PG_BRONZE</t>
        </is>
      </c>
      <c r="M95" s="386" t="inlineStr">
        <is>
          <t>T24CORE_CUSTOMER</t>
        </is>
      </c>
      <c r="N95" s="386" t="inlineStr">
        <is>
          <t>INDUSTRY</t>
        </is>
      </c>
      <c r="O95" s="385" t="inlineStr">
        <is>
          <t>VARCHAR2</t>
        </is>
      </c>
      <c r="P95" s="420" t="n">
        <v>100</v>
      </c>
      <c r="Q95" s="386">
        <f>"COMMENT ON COLUMN "&amp;L95&amp;"."&amp;M95&amp;"."&amp;N95&amp;" IS '"&amp;E95&amp;"';"</f>
        <v/>
      </c>
      <c r="R95" s="414" t="inlineStr">
        <is>
          <t>Map 1:1 nguyên bản từ T24CORE.CUSTOMER.INDUSTRY -&gt; PG_BRONZE.T24CORE_CUSTOMER.INDUSTRY</t>
        </is>
      </c>
    </row>
    <row r="96" ht="14.25" customHeight="1" s="335">
      <c r="A96" s="412">
        <f>B96&amp;C96&amp;D96</f>
        <v/>
      </c>
      <c r="B96" s="412" t="inlineStr">
        <is>
          <t>T24CORE</t>
        </is>
      </c>
      <c r="C96" s="412" t="inlineStr">
        <is>
          <t>CUSTOMER</t>
        </is>
      </c>
      <c r="D96" s="412" t="inlineStr">
        <is>
          <t>INTERNET_BANKING_SERVICE</t>
        </is>
      </c>
      <c r="E96" s="412" t="inlineStr">
        <is>
          <t>Dịch vụ Internet banking khách hàng giao tiếp</t>
        </is>
      </c>
      <c r="F96" s="410" t="inlineStr">
        <is>
          <t>X</t>
        </is>
      </c>
      <c r="G96" s="412" t="inlineStr">
        <is>
          <t>Individual Profile / Organization Profile</t>
        </is>
      </c>
      <c r="H96" s="412" t="inlineStr">
        <is>
          <t>Internet Banking Flag</t>
        </is>
      </c>
      <c r="I96" s="412" t="inlineStr">
        <is>
          <t>Map 1:1 từ T24CORE.CUSTOMER.INTERNET_BANKING_SERVICE sang PG_BRONZE.T24CORE_CUSTOMER.INTERNET_BANKING_SERVICE</t>
        </is>
      </c>
      <c r="J96" s="419" t="inlineStr">
        <is>
          <t>2025-11-26</t>
        </is>
      </c>
      <c r="K96" s="385" t="inlineStr">
        <is>
          <t>1:1</t>
        </is>
      </c>
      <c r="L96" s="385" t="inlineStr">
        <is>
          <t>PG_BRONZE</t>
        </is>
      </c>
      <c r="M96" s="386" t="inlineStr">
        <is>
          <t>T24CORE_CUSTOMER</t>
        </is>
      </c>
      <c r="N96" s="386" t="inlineStr">
        <is>
          <t>INTERNET_BANKING_SERVICE</t>
        </is>
      </c>
      <c r="O96" s="385" t="inlineStr">
        <is>
          <t>VARCHAR2</t>
        </is>
      </c>
      <c r="P96" s="420" t="n">
        <v>100</v>
      </c>
      <c r="Q96" s="386">
        <f>"COMMENT ON COLUMN "&amp;L96&amp;"."&amp;M96&amp;"."&amp;N96&amp;" IS '"&amp;E96&amp;"';"</f>
        <v/>
      </c>
      <c r="R96" s="414" t="inlineStr">
        <is>
          <t>Map 1:1 nguyên bản từ T24CORE.CUSTOMER.INTERNET_BANKING_SERVICE -&gt; PG_BRONZE.T24CORE_CUSTOMER.INTERNET_BANKING_SERVICE</t>
        </is>
      </c>
    </row>
    <row r="97" ht="14.25" customHeight="1" s="335">
      <c r="A97" s="412">
        <f>B97&amp;C97&amp;D97</f>
        <v/>
      </c>
      <c r="B97" s="412" t="inlineStr">
        <is>
          <t>T24CORE</t>
        </is>
      </c>
      <c r="C97" s="412" t="inlineStr">
        <is>
          <t>CUSTOMER</t>
        </is>
      </c>
      <c r="D97" s="412" t="inlineStr">
        <is>
          <t>KHOI</t>
        </is>
      </c>
      <c r="E97" s="412" t="inlineStr">
        <is>
          <t>mã Khối quản lý khách hàng</t>
        </is>
      </c>
      <c r="F97" s="410" t="inlineStr">
        <is>
          <t>X</t>
        </is>
      </c>
      <c r="G97" s="412" t="inlineStr">
        <is>
          <t>Customer</t>
        </is>
      </c>
      <c r="H97" s="412" t="inlineStr">
        <is>
          <t>Customer Group Code</t>
        </is>
      </c>
      <c r="I97" s="412" t="inlineStr">
        <is>
          <t>Map 1:1 từ T24CORE.CUSTOMER.KHOI sang PG_BRONZE.T24CORE_CUSTOMER.KHOI</t>
        </is>
      </c>
      <c r="J97" s="419" t="inlineStr">
        <is>
          <t>2025-11-26</t>
        </is>
      </c>
      <c r="K97" s="385" t="inlineStr">
        <is>
          <t>1:1</t>
        </is>
      </c>
      <c r="L97" s="385" t="inlineStr">
        <is>
          <t>PG_BRONZE</t>
        </is>
      </c>
      <c r="M97" s="386" t="inlineStr">
        <is>
          <t>T24CORE_CUSTOMER</t>
        </is>
      </c>
      <c r="N97" s="386" t="inlineStr">
        <is>
          <t>KHOI</t>
        </is>
      </c>
      <c r="O97" s="385" t="inlineStr">
        <is>
          <t>VARCHAR2</t>
        </is>
      </c>
      <c r="P97" s="420" t="n">
        <v>100</v>
      </c>
      <c r="Q97" s="386">
        <f>"COMMENT ON COLUMN "&amp;L97&amp;"."&amp;M97&amp;"."&amp;N97&amp;" IS '"&amp;E97&amp;"';"</f>
        <v/>
      </c>
      <c r="R97" s="414" t="inlineStr">
        <is>
          <t>Map 1:1 nguyên bản từ T24CORE.CUSTOMER.KHOI -&gt; PG_BRONZE.T24CORE_CUSTOMER.KHOI</t>
        </is>
      </c>
    </row>
    <row r="98" ht="14.25" customHeight="1" s="335">
      <c r="A98" s="412">
        <f>B98&amp;C98&amp;D98</f>
        <v/>
      </c>
      <c r="B98" s="412" t="inlineStr">
        <is>
          <t>T24CORE</t>
        </is>
      </c>
      <c r="C98" s="412" t="inlineStr">
        <is>
          <t>CUSTOMER</t>
        </is>
      </c>
      <c r="D98" s="412" t="inlineStr">
        <is>
          <t>KYC_CHANNEL</t>
        </is>
      </c>
      <c r="E98" s="412" t="inlineStr">
        <is>
          <t>Kênh thực hiện KYC</t>
        </is>
      </c>
      <c r="F98" s="410" t="inlineStr">
        <is>
          <t>X</t>
        </is>
      </c>
      <c r="G98" s="412" t="inlineStr">
        <is>
          <t>Individual Profile</t>
        </is>
      </c>
      <c r="H98" s="412" t="inlineStr">
        <is>
          <t>KYC Channel Code</t>
        </is>
      </c>
      <c r="I98" s="412" t="inlineStr">
        <is>
          <t>Map 1:1 từ T24CORE.CUSTOMER.KYC_CHANNEL sang PG_BRONZE.T24CORE_CUSTOMER.KYC_CHANNEL</t>
        </is>
      </c>
      <c r="J98" s="410" t="inlineStr">
        <is>
          <t>2025-11-26</t>
        </is>
      </c>
      <c r="K98" s="385" t="inlineStr">
        <is>
          <t>1:1</t>
        </is>
      </c>
      <c r="L98" s="385" t="inlineStr">
        <is>
          <t>PG_BRONZE</t>
        </is>
      </c>
      <c r="M98" s="386" t="inlineStr">
        <is>
          <t>T24CORE_CUSTOMER</t>
        </is>
      </c>
      <c r="N98" s="386" t="inlineStr">
        <is>
          <t>KYC_CHANNEL</t>
        </is>
      </c>
      <c r="O98" s="385" t="inlineStr">
        <is>
          <t>VARCHAR2</t>
        </is>
      </c>
      <c r="P98" s="420" t="n">
        <v>100</v>
      </c>
      <c r="Q98" s="386">
        <f>"COMMENT ON COLUMN "&amp;L98&amp;"."&amp;M98&amp;"."&amp;N98&amp;" IS '"&amp;E98&amp;"';"</f>
        <v/>
      </c>
      <c r="R98" s="414" t="inlineStr">
        <is>
          <t>Map 1:1 nguyên bản từ T24CORE.CUSTOMER.KYC_CHANNEL -&gt; PG_BRONZE.T24CORE_CUSTOMER.KYC_CHANNEL</t>
        </is>
      </c>
    </row>
    <row r="99" ht="14.25" customHeight="1" s="335">
      <c r="A99" s="412">
        <f>B99&amp;C99&amp;D99</f>
        <v/>
      </c>
      <c r="B99" s="412" t="inlineStr">
        <is>
          <t>T24CORE</t>
        </is>
      </c>
      <c r="C99" s="412" t="inlineStr">
        <is>
          <t>CUSTOMER</t>
        </is>
      </c>
      <c r="D99" s="412" t="inlineStr">
        <is>
          <t>MA_BHXH</t>
        </is>
      </c>
      <c r="E99" s="412" t="inlineStr">
        <is>
          <t>Mã bảo hiểm xã hội</t>
        </is>
      </c>
      <c r="F99" s="410" t="inlineStr">
        <is>
          <t>X</t>
        </is>
      </c>
      <c r="G99" s="412" t="inlineStr">
        <is>
          <t>Individual Profile</t>
        </is>
      </c>
      <c r="H99" s="412" t="inlineStr">
        <is>
          <t>VSS Code</t>
        </is>
      </c>
      <c r="I99" s="412" t="inlineStr">
        <is>
          <t>Map 1:1 từ T24CORE.CUSTOMER.MA_BHXH sang PG_BRONZE.T24CORE_CUSTOMER.MA_BHXH</t>
        </is>
      </c>
      <c r="J99" s="419" t="inlineStr">
        <is>
          <t>2025-11-26</t>
        </is>
      </c>
      <c r="K99" s="385" t="inlineStr">
        <is>
          <t>1:1</t>
        </is>
      </c>
      <c r="L99" s="385" t="inlineStr">
        <is>
          <t>PG_BRONZE</t>
        </is>
      </c>
      <c r="M99" s="386" t="inlineStr">
        <is>
          <t>T24CORE_CUSTOMER</t>
        </is>
      </c>
      <c r="N99" s="386" t="inlineStr">
        <is>
          <t>MA_BHXH</t>
        </is>
      </c>
      <c r="O99" s="385" t="inlineStr">
        <is>
          <t>VARCHAR2</t>
        </is>
      </c>
      <c r="P99" s="420" t="n">
        <v>100</v>
      </c>
      <c r="Q99" s="386">
        <f>"COMMENT ON COLUMN "&amp;L99&amp;"."&amp;M99&amp;"."&amp;N99&amp;" IS '"&amp;E99&amp;"';"</f>
        <v/>
      </c>
      <c r="R99" s="414" t="inlineStr">
        <is>
          <t>Map 1:1 nguyên bản từ T24CORE.CUSTOMER.MA_BHXH -&gt; PG_BRONZE.T24CORE_CUSTOMER.MA_BHXH</t>
        </is>
      </c>
    </row>
    <row r="100" ht="14.25" customHeight="1" s="335">
      <c r="A100" s="412">
        <f>B100&amp;C100&amp;D100</f>
        <v/>
      </c>
      <c r="B100" s="412" t="inlineStr">
        <is>
          <t>T24CORE</t>
        </is>
      </c>
      <c r="C100" s="412" t="inlineStr">
        <is>
          <t>CUSTOMER</t>
        </is>
      </c>
      <c r="D100" s="412" t="inlineStr">
        <is>
          <t>MAU_HD</t>
        </is>
      </c>
      <c r="E100" s="412" t="inlineStr">
        <is>
          <t>Mã biểu mẫu hợp đồng chuẩn áp dụng cho khách hàng</t>
        </is>
      </c>
      <c r="F100" s="410" t="inlineStr">
        <is>
          <t>X</t>
        </is>
      </c>
      <c r="G100" s="412" t="inlineStr">
        <is>
          <t>Customer / Individual / Organization Profile / SAOKE_TINDUNG</t>
        </is>
      </c>
      <c r="H100" s="412" t="inlineStr">
        <is>
          <t>Mau Hd</t>
        </is>
      </c>
      <c r="I100" s="412" t="inlineStr">
        <is>
          <t>Map 1:1 từ T24CORE.CUSTOMER.MAU_HD sang PG_BRONZE.T24CORE_CUSTOMER.MAU_HD</t>
        </is>
      </c>
      <c r="J100" s="419" t="inlineStr">
        <is>
          <t>2025-11-26</t>
        </is>
      </c>
      <c r="K100" s="385" t="inlineStr">
        <is>
          <t>1:1</t>
        </is>
      </c>
      <c r="L100" s="385" t="inlineStr">
        <is>
          <t>PG_BRONZE</t>
        </is>
      </c>
      <c r="M100" s="386" t="inlineStr">
        <is>
          <t>T24CORE_CUSTOMER</t>
        </is>
      </c>
      <c r="N100" s="386" t="inlineStr">
        <is>
          <t>MAU_HD</t>
        </is>
      </c>
      <c r="O100" s="385" t="inlineStr">
        <is>
          <t>VARCHAR2</t>
        </is>
      </c>
      <c r="P100" s="420" t="n">
        <v>100</v>
      </c>
      <c r="Q100" s="386">
        <f>"COMMENT ON COLUMN "&amp;L100&amp;"."&amp;M100&amp;"."&amp;N100&amp;" IS '"&amp;E100&amp;"';"</f>
        <v/>
      </c>
      <c r="R100" s="414" t="inlineStr">
        <is>
          <t>Map 1:1 nguyên bản từ T24CORE.CUSTOMER.MAU_HD -&gt; PG_BRONZE.T24CORE_CUSTOMER.MAU_HD</t>
        </is>
      </c>
    </row>
    <row r="101" ht="14.25" customHeight="1" s="335">
      <c r="A101" s="412">
        <f>B101&amp;C101&amp;D101</f>
        <v/>
      </c>
      <c r="B101" s="412" t="inlineStr">
        <is>
          <t>T24CORE</t>
        </is>
      </c>
      <c r="C101" s="412" t="inlineStr">
        <is>
          <t>CUSTOMER</t>
        </is>
      </c>
      <c r="D101" s="412" t="inlineStr">
        <is>
          <t>MB_CR_STT</t>
        </is>
      </c>
      <c r="E101" s="412" t="inlineStr">
        <is>
          <t>Trạng thái quan hệ tín dụng của khách hàng tại ngân hàng</t>
        </is>
      </c>
      <c r="F101" s="410" t="inlineStr">
        <is>
          <t>X</t>
        </is>
      </c>
      <c r="G101" s="412" t="inlineStr">
        <is>
          <t>Customer / Individual / Organization Profile / SAOKE_TINDUNG</t>
        </is>
      </c>
      <c r="H101" s="412" t="inlineStr">
        <is>
          <t>Mb Cr Stt</t>
        </is>
      </c>
      <c r="I101" s="412" t="inlineStr">
        <is>
          <t>Map 1:1 từ T24CORE.CUSTOMER.MB_CR_STT sang PG_BRONZE.T24CORE_CUSTOMER.MB_CR_STT</t>
        </is>
      </c>
      <c r="J101" s="410" t="inlineStr">
        <is>
          <t>2025-11-26</t>
        </is>
      </c>
      <c r="K101" s="385" t="inlineStr">
        <is>
          <t>1:1</t>
        </is>
      </c>
      <c r="L101" s="385" t="inlineStr">
        <is>
          <t>PG_BRONZE</t>
        </is>
      </c>
      <c r="M101" s="386" t="inlineStr">
        <is>
          <t>T24CORE_CUSTOMER</t>
        </is>
      </c>
      <c r="N101" s="386" t="inlineStr">
        <is>
          <t>MB_CR_STT</t>
        </is>
      </c>
      <c r="O101" s="385" t="inlineStr">
        <is>
          <t>VARCHAR2</t>
        </is>
      </c>
      <c r="P101" s="420" t="n">
        <v>100</v>
      </c>
      <c r="Q101" s="386">
        <f>"COMMENT ON COLUMN "&amp;L101&amp;"."&amp;M101&amp;"."&amp;N101&amp;" IS '"&amp;E101&amp;"';"</f>
        <v/>
      </c>
      <c r="R101" s="414" t="inlineStr">
        <is>
          <t>Map 1:1 nguyên bản từ T24CORE.CUSTOMER.MB_CR_STT -&gt; PG_BRONZE.T24CORE_CUSTOMER.MB_CR_STT</t>
        </is>
      </c>
    </row>
    <row r="102" ht="14.25" customHeight="1" s="335">
      <c r="A102" s="412">
        <f>B102&amp;C102&amp;D102</f>
        <v/>
      </c>
      <c r="B102" s="412" t="inlineStr">
        <is>
          <t>T24CORE</t>
        </is>
      </c>
      <c r="C102" s="412" t="inlineStr">
        <is>
          <t>CUSTOMER</t>
        </is>
      </c>
      <c r="D102" s="412" t="inlineStr">
        <is>
          <t>MB_INDUSTRY</t>
        </is>
      </c>
      <c r="E102" s="412" t="inlineStr">
        <is>
          <t>Ngành nghề kinh tế</t>
        </is>
      </c>
      <c r="F102" s="410" t="inlineStr">
        <is>
          <t>X</t>
        </is>
      </c>
      <c r="G102" s="412" t="inlineStr">
        <is>
          <t>Individual Profile / Organization Profile</t>
        </is>
      </c>
      <c r="H102" s="412" t="inlineStr">
        <is>
          <t>Industry LV2 Classification Code</t>
        </is>
      </c>
      <c r="I102" s="412" t="inlineStr">
        <is>
          <t>Map 1:1 từ T24CORE.CUSTOMER.MB_INDUSTRY sang PG_BRONZE.T24CORE_CUSTOMER.MB_INDUSTRY</t>
        </is>
      </c>
      <c r="J102" s="410" t="inlineStr">
        <is>
          <t>2025-11-26</t>
        </is>
      </c>
      <c r="K102" s="385" t="inlineStr">
        <is>
          <t>1:1</t>
        </is>
      </c>
      <c r="L102" s="385" t="inlineStr">
        <is>
          <t>PG_BRONZE</t>
        </is>
      </c>
      <c r="M102" s="386" t="inlineStr">
        <is>
          <t>T24CORE_CUSTOMER</t>
        </is>
      </c>
      <c r="N102" s="386" t="inlineStr">
        <is>
          <t>MB_INDUSTRY</t>
        </is>
      </c>
      <c r="O102" s="385" t="inlineStr">
        <is>
          <t>VARCHAR2</t>
        </is>
      </c>
      <c r="P102" s="420" t="n">
        <v>100</v>
      </c>
      <c r="Q102" s="386">
        <f>"COMMENT ON COLUMN "&amp;L102&amp;"."&amp;M102&amp;"."&amp;N102&amp;" IS '"&amp;E102&amp;"';"</f>
        <v/>
      </c>
      <c r="R102" s="414" t="inlineStr">
        <is>
          <t>Map 1:1 nguyên bản từ T24CORE.CUSTOMER.MB_INDUSTRY -&gt; PG_BRONZE.T24CORE_CUSTOMER.MB_INDUSTRY</t>
        </is>
      </c>
    </row>
    <row r="103" ht="14.25" customHeight="1" s="335">
      <c r="A103" s="412">
        <f>B103&amp;C103&amp;D103</f>
        <v/>
      </c>
      <c r="B103" s="412" t="inlineStr">
        <is>
          <t>T24CORE</t>
        </is>
      </c>
      <c r="C103" s="412" t="inlineStr">
        <is>
          <t>CUSTOMER</t>
        </is>
      </c>
      <c r="D103" s="412" t="inlineStr">
        <is>
          <t>MB_RM_BANCHEO</t>
        </is>
      </c>
      <c r="E103" s="412" t="inlineStr">
        <is>
          <t>Mã nhân sự bán chéo sản phẩm</t>
        </is>
      </c>
      <c r="F103" s="410" t="inlineStr">
        <is>
          <t>X</t>
        </is>
      </c>
      <c r="G103" s="412" t="inlineStr">
        <is>
          <t>Customer / Individual / Organization Profile / SAOKE_TINDUNG</t>
        </is>
      </c>
      <c r="H103" s="412" t="inlineStr">
        <is>
          <t>Mb Rm Bancheo</t>
        </is>
      </c>
      <c r="I103" s="412" t="inlineStr">
        <is>
          <t>Map 1:1 từ T24CORE.CUSTOMER.MB_RM_BANCHEO sang PG_BRONZE.T24CORE_CUSTOMER.MB_RM_BANCHEO</t>
        </is>
      </c>
      <c r="J103" s="419" t="inlineStr">
        <is>
          <t>2025-11-26</t>
        </is>
      </c>
      <c r="K103" s="385" t="inlineStr">
        <is>
          <t>1:1</t>
        </is>
      </c>
      <c r="L103" s="385" t="inlineStr">
        <is>
          <t>PG_BRONZE</t>
        </is>
      </c>
      <c r="M103" s="386" t="inlineStr">
        <is>
          <t>T24CORE_CUSTOMER</t>
        </is>
      </c>
      <c r="N103" s="386" t="inlineStr">
        <is>
          <t>MB_RM_BANCHEO</t>
        </is>
      </c>
      <c r="O103" s="385" t="inlineStr">
        <is>
          <t>VARCHAR2</t>
        </is>
      </c>
      <c r="P103" s="420" t="n">
        <v>100</v>
      </c>
      <c r="Q103" s="386">
        <f>"COMMENT ON COLUMN "&amp;L103&amp;"."&amp;M103&amp;"."&amp;N103&amp;" IS '"&amp;E103&amp;"';"</f>
        <v/>
      </c>
      <c r="R103" s="414" t="inlineStr">
        <is>
          <t>Map 1:1 nguyên bản từ T24CORE.CUSTOMER.MB_RM_BANCHEO -&gt; PG_BRONZE.T24CORE_CUSTOMER.MB_RM_BANCHEO</t>
        </is>
      </c>
    </row>
    <row r="104" ht="14.25" customHeight="1" s="335">
      <c r="A104" s="412">
        <f>B104&amp;C104&amp;D104</f>
        <v/>
      </c>
      <c r="B104" s="412" t="inlineStr">
        <is>
          <t>T24CORE</t>
        </is>
      </c>
      <c r="C104" s="412" t="inlineStr">
        <is>
          <t>CUSTOMER</t>
        </is>
      </c>
      <c r="D104" s="412" t="inlineStr">
        <is>
          <t>MOBILE_BANKING_SERVICE</t>
        </is>
      </c>
      <c r="E104" s="412" t="inlineStr">
        <is>
          <t>Dịch vụ sử dụng sản phẩm mobile banking</t>
        </is>
      </c>
      <c r="F104" s="410" t="inlineStr">
        <is>
          <t>X</t>
        </is>
      </c>
      <c r="G104" s="412" t="inlineStr">
        <is>
          <t>Individual Profile / Organization Profile</t>
        </is>
      </c>
      <c r="H104" s="412" t="inlineStr">
        <is>
          <t>Mobile Banking Flag</t>
        </is>
      </c>
      <c r="I104" s="412" t="inlineStr">
        <is>
          <t>Map 1:1 từ T24CORE.CUSTOMER.MOBILE_BANKING_SERVICE sang PG_BRONZE.T24CORE_CUSTOMER.MOBILE_BANKING_SERVICE</t>
        </is>
      </c>
      <c r="J104" s="410" t="inlineStr">
        <is>
          <t>2025-11-26</t>
        </is>
      </c>
      <c r="K104" s="385" t="inlineStr">
        <is>
          <t>1:1</t>
        </is>
      </c>
      <c r="L104" s="385" t="inlineStr">
        <is>
          <t>PG_BRONZE</t>
        </is>
      </c>
      <c r="M104" s="386" t="inlineStr">
        <is>
          <t>T24CORE_CUSTOMER</t>
        </is>
      </c>
      <c r="N104" s="386" t="inlineStr">
        <is>
          <t>MOBILE_BANKING_SERVICE</t>
        </is>
      </c>
      <c r="O104" s="385" t="inlineStr">
        <is>
          <t>VARCHAR2</t>
        </is>
      </c>
      <c r="P104" s="420" t="n">
        <v>100</v>
      </c>
      <c r="Q104" s="386">
        <f>"COMMENT ON COLUMN "&amp;L104&amp;"."&amp;M104&amp;"."&amp;N104&amp;" IS '"&amp;E104&amp;"';"</f>
        <v/>
      </c>
      <c r="R104" s="414" t="inlineStr">
        <is>
          <t>Map 1:1 nguyên bản từ T24CORE.CUSTOMER.MOBILE_BANKING_SERVICE -&gt; PG_BRONZE.T24CORE_CUSTOMER.MOBILE_BANKING_SERVICE</t>
        </is>
      </c>
    </row>
    <row r="105" ht="14.25" customHeight="1" s="335">
      <c r="A105" s="412">
        <f>B105&amp;C105&amp;D105</f>
        <v/>
      </c>
      <c r="B105" s="412" t="inlineStr">
        <is>
          <t>T24CORE</t>
        </is>
      </c>
      <c r="C105" s="412" t="inlineStr">
        <is>
          <t>CUSTOMER</t>
        </is>
      </c>
      <c r="D105" s="412" t="inlineStr">
        <is>
          <t>MOBILE_NUMBER</t>
        </is>
      </c>
      <c r="E105" s="412" t="inlineStr">
        <is>
          <t>Số điện thoại di động</t>
        </is>
      </c>
      <c r="F105" s="410" t="inlineStr">
        <is>
          <t>X</t>
        </is>
      </c>
      <c r="G105" s="412" t="inlineStr">
        <is>
          <t>Involved Party Electronic Address</t>
        </is>
      </c>
      <c r="H105" s="412" t="inlineStr">
        <is>
          <t>Electronic Address Value</t>
        </is>
      </c>
      <c r="I105" s="412" t="inlineStr">
        <is>
          <t>Map 1:1 từ T24CORE.CUSTOMER.MOBILE_NUMBER sang PG_BRONZE.T24CORE_CUSTOMER.MOBILE_NUMBER</t>
        </is>
      </c>
      <c r="J105" s="419" t="inlineStr">
        <is>
          <t>2025-11-26</t>
        </is>
      </c>
      <c r="K105" s="385" t="inlineStr">
        <is>
          <t>1:1</t>
        </is>
      </c>
      <c r="L105" s="385" t="inlineStr">
        <is>
          <t>PG_BRONZE</t>
        </is>
      </c>
      <c r="M105" s="386" t="inlineStr">
        <is>
          <t>T24CORE_CUSTOMER</t>
        </is>
      </c>
      <c r="N105" s="386" t="inlineStr">
        <is>
          <t>MOBILE_NUMBER</t>
        </is>
      </c>
      <c r="O105" s="385" t="inlineStr">
        <is>
          <t>VARCHAR2</t>
        </is>
      </c>
      <c r="P105" s="420" t="n">
        <v>100</v>
      </c>
      <c r="Q105" s="386">
        <f>"COMMENT ON COLUMN "&amp;L105&amp;"."&amp;M105&amp;"."&amp;N105&amp;" IS '"&amp;E105&amp;"';"</f>
        <v/>
      </c>
      <c r="R105" s="414" t="inlineStr">
        <is>
          <t>Map 1:1 nguyên bản từ T24CORE.CUSTOMER.MOBILE_NUMBER -&gt; PG_BRONZE.T24CORE_CUSTOMER.MOBILE_NUMBER</t>
        </is>
      </c>
    </row>
    <row r="106" ht="14.25" customHeight="1" s="335">
      <c r="A106" s="412">
        <f>B106&amp;C106&amp;D106</f>
        <v/>
      </c>
      <c r="B106" s="412" t="inlineStr">
        <is>
          <t>T24CORE</t>
        </is>
      </c>
      <c r="C106" s="412" t="inlineStr">
        <is>
          <t>CUSTOMER</t>
        </is>
      </c>
      <c r="D106" s="412" t="inlineStr">
        <is>
          <t>NAT_ID_EXP_DATE</t>
        </is>
      </c>
      <c r="E106" s="412" t="inlineStr">
        <is>
          <t>Ngày hêt hạn CC</t>
        </is>
      </c>
      <c r="F106" s="410" t="inlineStr">
        <is>
          <t>X</t>
        </is>
      </c>
      <c r="G106" s="412" t="inlineStr">
        <is>
          <t>Involved Party Alternative Identification</t>
        </is>
      </c>
      <c r="H106" s="412" t="inlineStr">
        <is>
          <t>Expiry date</t>
        </is>
      </c>
      <c r="I106" s="412" t="inlineStr">
        <is>
          <t>Map 1:1 từ T24CORE.CUSTOMER.NAT_ID_EXP_DATE sang PG_BRONZE.T24CORE_CUSTOMER.NAT_ID_EXP_DATE</t>
        </is>
      </c>
      <c r="J106" s="410" t="inlineStr">
        <is>
          <t>2025-11-26</t>
        </is>
      </c>
      <c r="K106" s="385" t="inlineStr">
        <is>
          <t>1:1</t>
        </is>
      </c>
      <c r="L106" s="385" t="inlineStr">
        <is>
          <t>PG_BRONZE</t>
        </is>
      </c>
      <c r="M106" s="386" t="inlineStr">
        <is>
          <t>T24CORE_CUSTOMER</t>
        </is>
      </c>
      <c r="N106" s="386" t="inlineStr">
        <is>
          <t>NAT_ID_EXP_DATE</t>
        </is>
      </c>
      <c r="O106" s="385" t="inlineStr">
        <is>
          <t>DATE</t>
        </is>
      </c>
      <c r="P106" s="420" t="n">
        <v>8</v>
      </c>
      <c r="Q106" s="386">
        <f>"COMMENT ON COLUMN "&amp;L106&amp;"."&amp;M106&amp;"."&amp;N106&amp;" IS '"&amp;E106&amp;"';"</f>
        <v/>
      </c>
      <c r="R106" s="414" t="inlineStr">
        <is>
          <t>Map 1:1 nguyên bản từ T24CORE.CUSTOMER.NAT_ID_EXP_DATE -&gt; PG_BRONZE.T24CORE_CUSTOMER.NAT_ID_EXP_DATE</t>
        </is>
      </c>
    </row>
    <row r="107" ht="14.25" customHeight="1" s="335">
      <c r="A107" s="412">
        <f>B107&amp;C107&amp;D107</f>
        <v/>
      </c>
      <c r="B107" s="412" t="inlineStr">
        <is>
          <t>T24CORE</t>
        </is>
      </c>
      <c r="C107" s="412" t="inlineStr">
        <is>
          <t>CUSTOMER</t>
        </is>
      </c>
      <c r="D107" s="412" t="inlineStr">
        <is>
          <t>NAT_ID_ISS_DATE</t>
        </is>
      </c>
      <c r="E107" s="412" t="inlineStr">
        <is>
          <t>Ngày cấp Căn cước</t>
        </is>
      </c>
      <c r="F107" s="410" t="inlineStr">
        <is>
          <t>X</t>
        </is>
      </c>
      <c r="G107" s="412" t="inlineStr">
        <is>
          <t>Involved Party Alternative Identification</t>
        </is>
      </c>
      <c r="H107" s="412" t="inlineStr">
        <is>
          <t>Issue Date</t>
        </is>
      </c>
      <c r="I107" s="412" t="inlineStr">
        <is>
          <t>Map 1:1 từ T24CORE.CUSTOMER.NAT_ID_ISS_DATE sang PG_BRONZE.T24CORE_CUSTOMER.NAT_ID_ISS_DATE</t>
        </is>
      </c>
      <c r="J107" s="410" t="inlineStr">
        <is>
          <t>2025-11-26</t>
        </is>
      </c>
      <c r="K107" s="385" t="inlineStr">
        <is>
          <t>1:1</t>
        </is>
      </c>
      <c r="L107" s="385" t="inlineStr">
        <is>
          <t>PG_BRONZE</t>
        </is>
      </c>
      <c r="M107" s="386" t="inlineStr">
        <is>
          <t>T24CORE_CUSTOMER</t>
        </is>
      </c>
      <c r="N107" s="386" t="inlineStr">
        <is>
          <t>NAT_ID_ISS_DATE</t>
        </is>
      </c>
      <c r="O107" s="385" t="inlineStr">
        <is>
          <t>DATE</t>
        </is>
      </c>
      <c r="P107" s="420" t="n">
        <v>8</v>
      </c>
      <c r="Q107" s="386">
        <f>"COMMENT ON COLUMN "&amp;L107&amp;"."&amp;M107&amp;"."&amp;N107&amp;" IS '"&amp;E107&amp;"';"</f>
        <v/>
      </c>
      <c r="R107" s="414" t="inlineStr">
        <is>
          <t>Map 1:1 nguyên bản từ T24CORE.CUSTOMER.NAT_ID_ISS_DATE -&gt; PG_BRONZE.T24CORE_CUSTOMER.NAT_ID_ISS_DATE</t>
        </is>
      </c>
    </row>
    <row r="108" ht="14.25" customHeight="1" s="335">
      <c r="A108" s="412">
        <f>B108&amp;C108&amp;D108</f>
        <v/>
      </c>
      <c r="B108" s="412" t="inlineStr">
        <is>
          <t>T24CORE</t>
        </is>
      </c>
      <c r="C108" s="412" t="inlineStr">
        <is>
          <t>CUSTOMER</t>
        </is>
      </c>
      <c r="D108" s="412" t="inlineStr">
        <is>
          <t>NAT_ID_ISS_PLC</t>
        </is>
      </c>
      <c r="E108" s="412" t="inlineStr">
        <is>
          <t>Nơi cấp Căn cước</t>
        </is>
      </c>
      <c r="F108" s="410" t="inlineStr">
        <is>
          <t>X</t>
        </is>
      </c>
      <c r="G108" s="412" t="inlineStr">
        <is>
          <t>Involved Party Alternative Identification</t>
        </is>
      </c>
      <c r="H108" s="412" t="inlineStr">
        <is>
          <t>Issue Place Code</t>
        </is>
      </c>
      <c r="I108" s="412" t="inlineStr">
        <is>
          <t>Map 1:1 từ T24CORE.CUSTOMER.NAT_ID_ISS_PLC sang PG_BRONZE.T24CORE_CUSTOMER.NAT_ID_ISS_PLC</t>
        </is>
      </c>
      <c r="J108" s="410" t="inlineStr">
        <is>
          <t>2025-11-26</t>
        </is>
      </c>
      <c r="K108" s="385" t="inlineStr">
        <is>
          <t>1:1</t>
        </is>
      </c>
      <c r="L108" s="385" t="inlineStr">
        <is>
          <t>PG_BRONZE</t>
        </is>
      </c>
      <c r="M108" s="386" t="inlineStr">
        <is>
          <t>T24CORE_CUSTOMER</t>
        </is>
      </c>
      <c r="N108" s="386" t="inlineStr">
        <is>
          <t>NAT_ID_ISS_PLC</t>
        </is>
      </c>
      <c r="O108" s="385" t="inlineStr">
        <is>
          <t>VARCHAR2</t>
        </is>
      </c>
      <c r="P108" s="420" t="n">
        <v>100</v>
      </c>
      <c r="Q108" s="386">
        <f>"COMMENT ON COLUMN "&amp;L108&amp;"."&amp;M108&amp;"."&amp;N108&amp;" IS '"&amp;E108&amp;"';"</f>
        <v/>
      </c>
      <c r="R108" s="414" t="inlineStr">
        <is>
          <t>Map 1:1 nguyên bản từ T24CORE.CUSTOMER.NAT_ID_ISS_PLC -&gt; PG_BRONZE.T24CORE_CUSTOMER.NAT_ID_ISS_PLC</t>
        </is>
      </c>
    </row>
    <row r="109" ht="14.25" customHeight="1" s="335">
      <c r="A109" s="412">
        <f>B109&amp;C109&amp;D109</f>
        <v/>
      </c>
      <c r="B109" s="412" t="inlineStr">
        <is>
          <t>T24CORE</t>
        </is>
      </c>
      <c r="C109" s="412" t="inlineStr">
        <is>
          <t>CUSTOMER</t>
        </is>
      </c>
      <c r="D109" s="412" t="inlineStr">
        <is>
          <t>NAT_ID_TYPE</t>
        </is>
      </c>
      <c r="E109" s="412" t="inlineStr">
        <is>
          <t>Loại căn cước</t>
        </is>
      </c>
      <c r="F109" s="410" t="inlineStr">
        <is>
          <t>X</t>
        </is>
      </c>
      <c r="G109" s="412" t="inlineStr">
        <is>
          <t>Involved Party Alternative Identification</t>
        </is>
      </c>
      <c r="H109" s="412" t="inlineStr">
        <is>
          <t>Identification Type Code</t>
        </is>
      </c>
      <c r="I109" s="412" t="inlineStr">
        <is>
          <t>Map 1:1 từ T24CORE.CUSTOMER.NAT_ID_TYPE sang PG_BRONZE.T24CORE_CUSTOMER.NAT_ID_TYPE</t>
        </is>
      </c>
      <c r="J109" s="410" t="inlineStr">
        <is>
          <t>2025-11-26</t>
        </is>
      </c>
      <c r="K109" s="385" t="inlineStr">
        <is>
          <t>1:1</t>
        </is>
      </c>
      <c r="L109" s="385" t="inlineStr">
        <is>
          <t>PG_BRONZE</t>
        </is>
      </c>
      <c r="M109" s="386" t="inlineStr">
        <is>
          <t>T24CORE_CUSTOMER</t>
        </is>
      </c>
      <c r="N109" s="386" t="inlineStr">
        <is>
          <t>NAT_ID_TYPE</t>
        </is>
      </c>
      <c r="O109" s="385" t="inlineStr">
        <is>
          <t>VARCHAR2</t>
        </is>
      </c>
      <c r="P109" s="420" t="n">
        <v>100</v>
      </c>
      <c r="Q109" s="386">
        <f>"COMMENT ON COLUMN "&amp;L109&amp;"."&amp;M109&amp;"."&amp;N109&amp;" IS '"&amp;E109&amp;"';"</f>
        <v/>
      </c>
      <c r="R109" s="414" t="inlineStr">
        <is>
          <t>Map 1:1 nguyên bản từ T24CORE.CUSTOMER.NAT_ID_TYPE -&gt; PG_BRONZE.T24CORE_CUSTOMER.NAT_ID_TYPE</t>
        </is>
      </c>
    </row>
    <row r="110" ht="14.25" customHeight="1" s="335">
      <c r="A110" s="412">
        <f>B110&amp;C110&amp;D110</f>
        <v/>
      </c>
      <c r="B110" s="412" t="inlineStr">
        <is>
          <t>T24CORE</t>
        </is>
      </c>
      <c r="C110" s="412" t="inlineStr">
        <is>
          <t>CUSTOMER</t>
        </is>
      </c>
      <c r="D110" s="412" t="inlineStr">
        <is>
          <t>NATIONAL_ID</t>
        </is>
      </c>
      <c r="E110" s="412" t="inlineStr">
        <is>
          <t>Số giấy tờ định danh quốc gia (CCCD/CMND)</t>
        </is>
      </c>
      <c r="F110" s="410" t="inlineStr">
        <is>
          <t>X</t>
        </is>
      </c>
      <c r="G110" s="412" t="inlineStr">
        <is>
          <t>Involved Party Alternative Identification</t>
        </is>
      </c>
      <c r="H110" s="412" t="inlineStr">
        <is>
          <t>Identification Number</t>
        </is>
      </c>
      <c r="I110" s="412" t="inlineStr">
        <is>
          <t>Map 1:1 từ T24CORE.CUSTOMER.NATIONAL_ID sang PG_BRONZE.T24CORE_CUSTOMER.NATIONAL_ID</t>
        </is>
      </c>
      <c r="J110" s="410" t="inlineStr">
        <is>
          <t>2025-11-26</t>
        </is>
      </c>
      <c r="K110" s="385" t="inlineStr">
        <is>
          <t>1:1</t>
        </is>
      </c>
      <c r="L110" s="385" t="inlineStr">
        <is>
          <t>PG_BRONZE</t>
        </is>
      </c>
      <c r="M110" s="386" t="inlineStr">
        <is>
          <t>T24CORE_CUSTOMER</t>
        </is>
      </c>
      <c r="N110" s="386" t="inlineStr">
        <is>
          <t>NATIONAL_ID</t>
        </is>
      </c>
      <c r="O110" s="385" t="inlineStr">
        <is>
          <t>VARCHAR2</t>
        </is>
      </c>
      <c r="P110" s="420" t="n">
        <v>100</v>
      </c>
      <c r="Q110" s="386">
        <f>"COMMENT ON COLUMN "&amp;L110&amp;"."&amp;M110&amp;"."&amp;N110&amp;" IS '"&amp;E110&amp;"';"</f>
        <v/>
      </c>
      <c r="R110" s="414" t="inlineStr">
        <is>
          <t>Map 1:1 nguyên bản từ T24CORE.CUSTOMER.NATIONAL_ID -&gt; PG_BRONZE.T24CORE_CUSTOMER.NATIONAL_ID</t>
        </is>
      </c>
    </row>
    <row r="111" ht="14.25" customHeight="1" s="335">
      <c r="A111" s="412">
        <f>B111&amp;C111&amp;D111</f>
        <v/>
      </c>
      <c r="B111" s="412" t="inlineStr">
        <is>
          <t>T24CORE</t>
        </is>
      </c>
      <c r="C111" s="412" t="inlineStr">
        <is>
          <t>CUSTOMER</t>
        </is>
      </c>
      <c r="D111" s="412" t="inlineStr">
        <is>
          <t>NATIONALITY</t>
        </is>
      </c>
      <c r="E111" s="412" t="inlineStr">
        <is>
          <t>Quốc tịch</t>
        </is>
      </c>
      <c r="F111" s="410" t="inlineStr">
        <is>
          <t>X</t>
        </is>
      </c>
      <c r="G111" s="412" t="inlineStr">
        <is>
          <t>Individual Profile</t>
        </is>
      </c>
      <c r="H111" s="412" t="inlineStr">
        <is>
          <t>Country Of Citizenship Code</t>
        </is>
      </c>
      <c r="I111" s="412" t="inlineStr">
        <is>
          <t>Map 1:1 từ T24CORE.CUSTOMER.NATIONALITY sang PG_BRONZE.T24CORE_CUSTOMER.NATIONALITY</t>
        </is>
      </c>
      <c r="J111" s="410" t="inlineStr">
        <is>
          <t>2025-11-26</t>
        </is>
      </c>
      <c r="K111" s="385" t="inlineStr">
        <is>
          <t>1:1</t>
        </is>
      </c>
      <c r="L111" s="385" t="inlineStr">
        <is>
          <t>PG_BRONZE</t>
        </is>
      </c>
      <c r="M111" s="386" t="inlineStr">
        <is>
          <t>T24CORE_CUSTOMER</t>
        </is>
      </c>
      <c r="N111" s="386" t="inlineStr">
        <is>
          <t>NATIONALITY</t>
        </is>
      </c>
      <c r="O111" s="385" t="inlineStr">
        <is>
          <t>VARCHAR2</t>
        </is>
      </c>
      <c r="P111" s="420" t="n">
        <v>100</v>
      </c>
      <c r="Q111" s="386">
        <f>"COMMENT ON COLUMN "&amp;L111&amp;"."&amp;M111&amp;"."&amp;N111&amp;" IS '"&amp;E111&amp;"';"</f>
        <v/>
      </c>
      <c r="R111" s="414" t="inlineStr">
        <is>
          <t>Map 1:1 nguyên bản từ T24CORE.CUSTOMER.NATIONALITY -&gt; PG_BRONZE.T24CORE_CUSTOMER.NATIONALITY</t>
        </is>
      </c>
    </row>
    <row r="112" ht="14.25" customHeight="1" s="335">
      <c r="A112" s="412">
        <f>B112&amp;C112&amp;D112</f>
        <v/>
      </c>
      <c r="B112" s="412" t="inlineStr">
        <is>
          <t>T24CORE</t>
        </is>
      </c>
      <c r="C112" s="412" t="inlineStr">
        <is>
          <t>CUSTOMER</t>
        </is>
      </c>
      <c r="D112" s="412" t="inlineStr">
        <is>
          <t>NET_MONTHLY_IN</t>
        </is>
      </c>
      <c r="E112" s="412" t="inlineStr">
        <is>
          <t>Thu nhập theo tháng</t>
        </is>
      </c>
      <c r="F112" s="410" t="inlineStr">
        <is>
          <t>X</t>
        </is>
      </c>
      <c r="G112" s="412" t="inlineStr">
        <is>
          <t>Individual Employment Status</t>
        </is>
      </c>
      <c r="H112" s="412" t="inlineStr">
        <is>
          <t>Annual Income</t>
        </is>
      </c>
      <c r="I112" s="412" t="inlineStr">
        <is>
          <t>Map 1:1 từ T24CORE.CUSTOMER.NET_MONTHLY_IN sang PG_BRONZE.T24CORE_CUSTOMER.NET_MONTHLY_IN</t>
        </is>
      </c>
      <c r="J112" s="419" t="inlineStr">
        <is>
          <t>2025-11-26</t>
        </is>
      </c>
      <c r="K112" s="385" t="inlineStr">
        <is>
          <t>1:1</t>
        </is>
      </c>
      <c r="L112" s="385" t="inlineStr">
        <is>
          <t>PG_BRONZE</t>
        </is>
      </c>
      <c r="M112" s="386" t="inlineStr">
        <is>
          <t>T24CORE_CUSTOMER</t>
        </is>
      </c>
      <c r="N112" s="386" t="inlineStr">
        <is>
          <t>NET_MONTHLY_IN</t>
        </is>
      </c>
      <c r="O112" s="385" t="inlineStr">
        <is>
          <t>NUMBER</t>
        </is>
      </c>
      <c r="P112" s="420" t="n">
        <v>25.5</v>
      </c>
      <c r="Q112" s="386">
        <f>"COMMENT ON COLUMN "&amp;L112&amp;"."&amp;M112&amp;"."&amp;N112&amp;" IS '"&amp;E112&amp;"';"</f>
        <v/>
      </c>
      <c r="R112" s="414" t="inlineStr">
        <is>
          <t>Map 1:1 nguyên bản từ T24CORE.CUSTOMER.NET_MONTHLY_IN -&gt; PG_BRONZE.T24CORE_CUSTOMER.NET_MONTHLY_IN</t>
        </is>
      </c>
    </row>
    <row r="113" ht="14.25" customHeight="1" s="335">
      <c r="A113" s="412">
        <f>B113&amp;C113&amp;D113</f>
        <v/>
      </c>
      <c r="B113" s="412" t="inlineStr">
        <is>
          <t>T24CORE</t>
        </is>
      </c>
      <c r="C113" s="412" t="inlineStr">
        <is>
          <t>CUSTOMER</t>
        </is>
      </c>
      <c r="D113" s="412" t="inlineStr">
        <is>
          <t>NO_LIEN_DOI</t>
        </is>
      </c>
      <c r="E113" s="412" t="inlineStr">
        <is>
          <t>Nợ liên đới</t>
        </is>
      </c>
      <c r="F113" s="410" t="inlineStr">
        <is>
          <t>X</t>
        </is>
      </c>
      <c r="G113" s="412" t="inlineStr">
        <is>
          <t>Individual Profile / Organization Profile</t>
        </is>
      </c>
      <c r="H113" s="412" t="inlineStr">
        <is>
          <t>Joint liability Flag</t>
        </is>
      </c>
      <c r="I113" s="412" t="inlineStr">
        <is>
          <t>Map 1:1 từ T24CORE.CUSTOMER.NO_LIEN_DOI sang PG_BRONZE.T24CORE_CUSTOMER.NO_LIEN_DOI</t>
        </is>
      </c>
      <c r="J113" s="410" t="inlineStr">
        <is>
          <t>2025-11-26</t>
        </is>
      </c>
      <c r="K113" s="385" t="inlineStr">
        <is>
          <t>1:1</t>
        </is>
      </c>
      <c r="L113" s="385" t="inlineStr">
        <is>
          <t>PG_BRONZE</t>
        </is>
      </c>
      <c r="M113" s="386" t="inlineStr">
        <is>
          <t>T24CORE_CUSTOMER</t>
        </is>
      </c>
      <c r="N113" s="386" t="inlineStr">
        <is>
          <t>NO_LIEN_DOI</t>
        </is>
      </c>
      <c r="O113" s="385" t="inlineStr">
        <is>
          <t>VARCHAR2</t>
        </is>
      </c>
      <c r="P113" s="420" t="n">
        <v>100</v>
      </c>
      <c r="Q113" s="386">
        <f>"COMMENT ON COLUMN "&amp;L113&amp;"."&amp;M113&amp;"."&amp;N113&amp;" IS '"&amp;E113&amp;"';"</f>
        <v/>
      </c>
      <c r="R113" s="414" t="inlineStr">
        <is>
          <t>Map 1:1 nguyên bản từ T24CORE.CUSTOMER.NO_LIEN_DOI -&gt; PG_BRONZE.T24CORE_CUSTOMER.NO_LIEN_DOI</t>
        </is>
      </c>
    </row>
    <row r="114" ht="14.25" customHeight="1" s="335">
      <c r="A114" s="412">
        <f>B114&amp;C114&amp;D114</f>
        <v/>
      </c>
      <c r="B114" s="412" t="inlineStr">
        <is>
          <t>T24CORE</t>
        </is>
      </c>
      <c r="C114" s="412" t="inlineStr">
        <is>
          <t>CUSTOMER</t>
        </is>
      </c>
      <c r="D114" s="412" t="inlineStr">
        <is>
          <t>OCCUPATION</t>
        </is>
      </c>
      <c r="E114" s="412" t="inlineStr">
        <is>
          <t>Nghề nghiệp của khách hàng</t>
        </is>
      </c>
      <c r="F114" s="410" t="inlineStr">
        <is>
          <t>X</t>
        </is>
      </c>
      <c r="G114" s="412" t="inlineStr">
        <is>
          <t>Individual Employment Status</t>
        </is>
      </c>
      <c r="H114" s="412" t="inlineStr">
        <is>
          <t>Occupation Code</t>
        </is>
      </c>
      <c r="I114" s="412" t="inlineStr">
        <is>
          <t>Map 1:1 từ T24CORE.CUSTOMER.OCCUPATION sang PG_BRONZE.T24CORE_CUSTOMER.OCCUPATION</t>
        </is>
      </c>
      <c r="J114" s="419" t="inlineStr">
        <is>
          <t>2025-11-26</t>
        </is>
      </c>
      <c r="K114" s="385" t="inlineStr">
        <is>
          <t>1:1</t>
        </is>
      </c>
      <c r="L114" s="385" t="inlineStr">
        <is>
          <t>PG_BRONZE</t>
        </is>
      </c>
      <c r="M114" s="386" t="inlineStr">
        <is>
          <t>T24CORE_CUSTOMER</t>
        </is>
      </c>
      <c r="N114" s="386" t="inlineStr">
        <is>
          <t>OCCUPATION</t>
        </is>
      </c>
      <c r="O114" s="385" t="inlineStr">
        <is>
          <t>VARCHAR2</t>
        </is>
      </c>
      <c r="P114" s="420" t="n">
        <v>100</v>
      </c>
      <c r="Q114" s="386">
        <f>"COMMENT ON COLUMN "&amp;L114&amp;"."&amp;M114&amp;"."&amp;N114&amp;" IS '"&amp;E114&amp;"';"</f>
        <v/>
      </c>
      <c r="R114" s="414" t="inlineStr">
        <is>
          <t>Map 1:1 nguyên bản từ T24CORE.CUSTOMER.OCCUPATION -&gt; PG_BRONZE.T24CORE_CUSTOMER.OCCUPATION</t>
        </is>
      </c>
    </row>
    <row r="115" ht="14.25" customHeight="1" s="335">
      <c r="A115" s="412">
        <f>B115&amp;C115&amp;D115</f>
        <v/>
      </c>
      <c r="B115" s="412" t="inlineStr">
        <is>
          <t>T24CORE</t>
        </is>
      </c>
      <c r="C115" s="412" t="inlineStr">
        <is>
          <t>CUSTOMER</t>
        </is>
      </c>
      <c r="D115" s="412" t="inlineStr">
        <is>
          <t>OPEN_COMPANY</t>
        </is>
      </c>
      <c r="E115" s="412" t="inlineStr">
        <is>
          <t>Chi nhánh mở</t>
        </is>
      </c>
      <c r="F115" s="410" t="inlineStr">
        <is>
          <t>X</t>
        </is>
      </c>
      <c r="G115" s="412" t="inlineStr">
        <is>
          <t>Customer</t>
        </is>
      </c>
      <c r="H115" s="412" t="inlineStr">
        <is>
          <t>First Organization Unit Code</t>
        </is>
      </c>
      <c r="I115" s="412" t="inlineStr">
        <is>
          <t>Map 1:1 từ T24CORE.CUSTOMER.OPEN_COMPANY sang PG_BRONZE.T24CORE_CUSTOMER.OPEN_COMPANY</t>
        </is>
      </c>
      <c r="J115" s="410" t="inlineStr">
        <is>
          <t>2025-11-26</t>
        </is>
      </c>
      <c r="K115" s="385" t="inlineStr">
        <is>
          <t>1:1</t>
        </is>
      </c>
      <c r="L115" s="385" t="inlineStr">
        <is>
          <t>PG_BRONZE</t>
        </is>
      </c>
      <c r="M115" s="386" t="inlineStr">
        <is>
          <t>T24CORE_CUSTOMER</t>
        </is>
      </c>
      <c r="N115" s="386" t="inlineStr">
        <is>
          <t>OPEN_COMPANY</t>
        </is>
      </c>
      <c r="O115" s="385" t="inlineStr">
        <is>
          <t>VARCHAR2</t>
        </is>
      </c>
      <c r="P115" s="420" t="n">
        <v>100</v>
      </c>
      <c r="Q115" s="386">
        <f>"COMMENT ON COLUMN "&amp;L115&amp;"."&amp;M115&amp;"."&amp;N115&amp;" IS '"&amp;E115&amp;"';"</f>
        <v/>
      </c>
      <c r="R115" s="414" t="inlineStr">
        <is>
          <t>Map 1:1 nguyên bản từ T24CORE.CUSTOMER.OPEN_COMPANY -&gt; PG_BRONZE.T24CORE_CUSTOMER.OPEN_COMPANY</t>
        </is>
      </c>
    </row>
    <row r="116" ht="14.25" customHeight="1" s="335">
      <c r="A116" s="412">
        <f>B116&amp;C116&amp;D116</f>
        <v/>
      </c>
      <c r="B116" s="412" t="inlineStr">
        <is>
          <t>T24CORE</t>
        </is>
      </c>
      <c r="C116" s="412" t="inlineStr">
        <is>
          <t>CUSTOMER</t>
        </is>
      </c>
      <c r="D116" s="412" t="inlineStr">
        <is>
          <t>PHONE_CONT_PER</t>
        </is>
      </c>
      <c r="E116" s="412" t="inlineStr">
        <is>
          <t>Số điện thoại của người liên hệ chính - KH tổ chức</t>
        </is>
      </c>
      <c r="F116" s="410" t="inlineStr">
        <is>
          <t>X</t>
        </is>
      </c>
      <c r="G116" s="412" t="inlineStr">
        <is>
          <t>Involved Party Electronic Address</t>
        </is>
      </c>
      <c r="H116" s="412" t="inlineStr">
        <is>
          <t>Electronic Address Value</t>
        </is>
      </c>
      <c r="I116" s="412" t="inlineStr">
        <is>
          <t>Type : MOBILE_NUMBER</t>
        </is>
      </c>
      <c r="J116" s="410" t="inlineStr">
        <is>
          <t>2025-11-26</t>
        </is>
      </c>
      <c r="K116" s="385" t="inlineStr">
        <is>
          <t>1:1</t>
        </is>
      </c>
      <c r="L116" s="385" t="inlineStr">
        <is>
          <t>PG_BRONZE</t>
        </is>
      </c>
      <c r="M116" s="386" t="inlineStr">
        <is>
          <t>T24CORE_CUSTOMER</t>
        </is>
      </c>
      <c r="N116" s="386" t="inlineStr">
        <is>
          <t>PHONE_CONT_PER</t>
        </is>
      </c>
      <c r="O116" s="385" t="inlineStr">
        <is>
          <t>VARCHAR2</t>
        </is>
      </c>
      <c r="P116" s="420" t="n">
        <v>100</v>
      </c>
      <c r="Q116" s="386">
        <f>"COMMENT ON COLUMN "&amp;L116&amp;"."&amp;M116&amp;"."&amp;N116&amp;" IS '"&amp;E116&amp;"';"</f>
        <v/>
      </c>
      <c r="R116" s="414" t="inlineStr">
        <is>
          <t>Map 1:1 nguyên bản từ T24CORE.CUSTOMER.PHONE_CONT_PER -&gt; PG_BRONZE.T24CORE_CUSTOMER.PHONE_CONT_PER</t>
        </is>
      </c>
    </row>
    <row r="117" ht="14.25" customHeight="1" s="335">
      <c r="A117" s="412">
        <f>B117&amp;C117&amp;D117</f>
        <v/>
      </c>
      <c r="B117" s="412" t="inlineStr">
        <is>
          <t>T24CORE</t>
        </is>
      </c>
      <c r="C117" s="412" t="inlineStr">
        <is>
          <t>CUSTOMER</t>
        </is>
      </c>
      <c r="D117" s="412" t="inlineStr">
        <is>
          <t>RECID</t>
        </is>
      </c>
      <c r="E117" s="412" t="inlineStr">
        <is>
          <t>Mã CIF</t>
        </is>
      </c>
      <c r="F117" s="410" t="inlineStr">
        <is>
          <t>X</t>
        </is>
      </c>
      <c r="G117" s="412" t="inlineStr">
        <is>
          <t>Customer</t>
        </is>
      </c>
      <c r="H117" s="412" t="inlineStr">
        <is>
          <t>Customer Code</t>
        </is>
      </c>
      <c r="I117" s="412" t="inlineStr">
        <is>
          <t>Map 1:1 từ T24CORE.CUSTOMER.RECID sang PG_BRONZE.T24CORE_CUSTOMER.RECID</t>
        </is>
      </c>
      <c r="J117" s="419" t="inlineStr">
        <is>
          <t>2025-11-26</t>
        </is>
      </c>
      <c r="K117" s="385" t="inlineStr">
        <is>
          <t>1:1</t>
        </is>
      </c>
      <c r="L117" s="385" t="inlineStr">
        <is>
          <t>PG_BRONZE</t>
        </is>
      </c>
      <c r="M117" s="386" t="inlineStr">
        <is>
          <t>T24CORE_CUSTOMER</t>
        </is>
      </c>
      <c r="N117" s="386" t="inlineStr">
        <is>
          <t>RECID</t>
        </is>
      </c>
      <c r="O117" s="385" t="inlineStr">
        <is>
          <t>VARCHAR2</t>
        </is>
      </c>
      <c r="P117" s="420" t="n">
        <v>100</v>
      </c>
      <c r="Q117" s="386">
        <f>"COMMENT ON COLUMN "&amp;L117&amp;"."&amp;M117&amp;"."&amp;N117&amp;" IS '"&amp;E117&amp;"';"</f>
        <v/>
      </c>
      <c r="R117" s="414" t="inlineStr">
        <is>
          <t>Map 1:1 nguyên bản từ T24CORE.CUSTOMER.RECID -&gt; PG_BRONZE.T24CORE_CUSTOMER.RECID</t>
        </is>
      </c>
    </row>
    <row r="118" ht="14.25" customHeight="1" s="335">
      <c r="A118" s="412">
        <f>B118&amp;C118&amp;D118</f>
        <v/>
      </c>
      <c r="B118" s="412" t="inlineStr">
        <is>
          <t>T24CORE</t>
        </is>
      </c>
      <c r="C118" s="412" t="inlineStr">
        <is>
          <t>CUSTOMER</t>
        </is>
      </c>
      <c r="D118" s="412" t="inlineStr">
        <is>
          <t>REFERRED_BY</t>
        </is>
      </c>
      <c r="E118" s="412" t="inlineStr">
        <is>
          <t>Mã người tham chiếu/giới thiệu</t>
        </is>
      </c>
      <c r="F118" s="410" t="inlineStr">
        <is>
          <t>X</t>
        </is>
      </c>
      <c r="G118" s="412" t="inlineStr">
        <is>
          <t>Customer</t>
        </is>
      </c>
      <c r="H118" s="412" t="inlineStr">
        <is>
          <t>Reference Code</t>
        </is>
      </c>
      <c r="I118" s="412" t="inlineStr">
        <is>
          <t>Map 1:1 từ T24CORE.CUSTOMER.REFERRED_BY sang PG_BRONZE.T24CORE_CUSTOMER.REFERRED_BY</t>
        </is>
      </c>
      <c r="J118" s="410" t="inlineStr">
        <is>
          <t>2025-11-26</t>
        </is>
      </c>
      <c r="K118" s="385" t="inlineStr">
        <is>
          <t>1:1</t>
        </is>
      </c>
      <c r="L118" s="385" t="inlineStr">
        <is>
          <t>PG_BRONZE</t>
        </is>
      </c>
      <c r="M118" s="386" t="inlineStr">
        <is>
          <t>T24CORE_CUSTOMER</t>
        </is>
      </c>
      <c r="N118" s="386" t="inlineStr">
        <is>
          <t>REFERRED_BY</t>
        </is>
      </c>
      <c r="O118" s="385" t="inlineStr">
        <is>
          <t>VARCHAR2</t>
        </is>
      </c>
      <c r="P118" s="420" t="n">
        <v>100</v>
      </c>
      <c r="Q118" s="386">
        <f>"COMMENT ON COLUMN "&amp;L118&amp;"."&amp;M118&amp;"."&amp;N118&amp;" IS '"&amp;E118&amp;"';"</f>
        <v/>
      </c>
      <c r="R118" s="414" t="inlineStr">
        <is>
          <t>Map 1:1 nguyên bản từ T24CORE.CUSTOMER.REFERRED_BY -&gt; PG_BRONZE.T24CORE_CUSTOMER.REFERRED_BY</t>
        </is>
      </c>
    </row>
    <row r="119" ht="14.25" customHeight="1" s="335">
      <c r="A119" s="412">
        <f>B119&amp;C119&amp;D119</f>
        <v/>
      </c>
      <c r="B119" s="412" t="inlineStr">
        <is>
          <t>T24CORE</t>
        </is>
      </c>
      <c r="C119" s="412" t="inlineStr">
        <is>
          <t>CUSTOMER</t>
        </is>
      </c>
      <c r="D119" s="412" t="inlineStr">
        <is>
          <t>RESID_PROVINCE</t>
        </is>
      </c>
      <c r="E119" s="412" t="inlineStr">
        <is>
          <t>Tỉnh/thành phố nơi cư trú</t>
        </is>
      </c>
      <c r="F119" s="410" t="inlineStr">
        <is>
          <t>X</t>
        </is>
      </c>
      <c r="G119" s="412" t="inlineStr">
        <is>
          <t>Involved Party Postal Address</t>
        </is>
      </c>
      <c r="H119" s="412" t="inlineStr">
        <is>
          <t>City Name</t>
        </is>
      </c>
      <c r="I119" s="412" t="inlineStr">
        <is>
          <t>Map 1:1 từ T24CORE.CUSTOMER.RESID_PROVINCE sang PG_BRONZE.T24CORE_CUSTOMER.RESID_PROVINCE</t>
        </is>
      </c>
      <c r="J119" s="410" t="inlineStr">
        <is>
          <t>2025-11-26</t>
        </is>
      </c>
      <c r="K119" s="385" t="inlineStr">
        <is>
          <t>1:1</t>
        </is>
      </c>
      <c r="L119" s="385" t="inlineStr">
        <is>
          <t>PG_BRONZE</t>
        </is>
      </c>
      <c r="M119" s="386" t="inlineStr">
        <is>
          <t>T24CORE_CUSTOMER</t>
        </is>
      </c>
      <c r="N119" s="386" t="inlineStr">
        <is>
          <t>RESID_PROVINCE</t>
        </is>
      </c>
      <c r="O119" s="385" t="inlineStr">
        <is>
          <t>VARCHAR2</t>
        </is>
      </c>
      <c r="P119" s="420" t="n">
        <v>100</v>
      </c>
      <c r="Q119" s="386">
        <f>"COMMENT ON COLUMN "&amp;L119&amp;"."&amp;M119&amp;"."&amp;N119&amp;" IS '"&amp;E119&amp;"';"</f>
        <v/>
      </c>
      <c r="R119" s="414" t="inlineStr">
        <is>
          <t>Map 1:1 nguyên bản từ T24CORE.CUSTOMER.RESID_PROVINCE -&gt; PG_BRONZE.T24CORE_CUSTOMER.RESID_PROVINCE</t>
        </is>
      </c>
    </row>
    <row r="120" ht="14.25" customHeight="1" s="335">
      <c r="A120" s="412">
        <f>B120&amp;C120&amp;D120</f>
        <v/>
      </c>
      <c r="B120" s="412" t="inlineStr">
        <is>
          <t>T24CORE</t>
        </is>
      </c>
      <c r="C120" s="412" t="inlineStr">
        <is>
          <t>CUSTOMER</t>
        </is>
      </c>
      <c r="D120" s="412" t="inlineStr">
        <is>
          <t>RESIDENCE</t>
        </is>
      </c>
      <c r="E120" s="412" t="inlineStr">
        <is>
          <t>Quốc gia cư trú</t>
        </is>
      </c>
      <c r="F120" s="410" t="inlineStr">
        <is>
          <t>X</t>
        </is>
      </c>
      <c r="G120" s="412" t="inlineStr">
        <is>
          <t>Involved Party Postal Address</t>
        </is>
      </c>
      <c r="H120" s="412" t="inlineStr">
        <is>
          <t>Country Name</t>
        </is>
      </c>
      <c r="I120" s="412" t="inlineStr">
        <is>
          <t>Map 1:1 từ T24CORE.CUSTOMER.RESIDENCE sang PG_BRONZE.T24CORE_CUSTOMER.RESIDENCE</t>
        </is>
      </c>
      <c r="J120" s="410" t="inlineStr">
        <is>
          <t>2025-11-26</t>
        </is>
      </c>
      <c r="K120" s="385" t="inlineStr">
        <is>
          <t>1:1</t>
        </is>
      </c>
      <c r="L120" s="385" t="inlineStr">
        <is>
          <t>PG_BRONZE</t>
        </is>
      </c>
      <c r="M120" s="386" t="inlineStr">
        <is>
          <t>T24CORE_CUSTOMER</t>
        </is>
      </c>
      <c r="N120" s="386" t="inlineStr">
        <is>
          <t>RESIDENCE</t>
        </is>
      </c>
      <c r="O120" s="385" t="inlineStr">
        <is>
          <t>VARCHAR2</t>
        </is>
      </c>
      <c r="P120" s="420" t="n">
        <v>100</v>
      </c>
      <c r="Q120" s="386">
        <f>"COMMENT ON COLUMN "&amp;L120&amp;"."&amp;M120&amp;"."&amp;N120&amp;" IS '"&amp;E120&amp;"';"</f>
        <v/>
      </c>
      <c r="R120" s="414" t="inlineStr">
        <is>
          <t>Map 1:1 nguyên bản từ T24CORE.CUSTOMER.RESIDENCE -&gt; PG_BRONZE.T24CORE_CUSTOMER.RESIDENCE</t>
        </is>
      </c>
    </row>
    <row r="121" ht="14.25" customHeight="1" s="335">
      <c r="A121" s="412">
        <f>B121&amp;C121&amp;D121</f>
        <v/>
      </c>
      <c r="B121" s="412" t="inlineStr">
        <is>
          <t>T24CORE</t>
        </is>
      </c>
      <c r="C121" s="412" t="inlineStr">
        <is>
          <t>CUSTOMER</t>
        </is>
      </c>
      <c r="D121" s="412" t="inlineStr">
        <is>
          <t>SECOND_OFFICER</t>
        </is>
      </c>
      <c r="E121" s="412" t="inlineStr">
        <is>
          <t>Mã nhân viên hạch toán thứ 2</t>
        </is>
      </c>
      <c r="F121" s="410" t="inlineStr">
        <is>
          <t>X</t>
        </is>
      </c>
      <c r="G121" s="412" t="inlineStr">
        <is>
          <t>Customer</t>
        </is>
      </c>
      <c r="H121" s="412" t="inlineStr">
        <is>
          <t>Checker Officer</t>
        </is>
      </c>
      <c r="I121" s="412" t="inlineStr">
        <is>
          <t>Map 1:1 từ T24CORE.CUSTOMER.SECOND_OFFICER sang PG_BRONZE.T24CORE_CUSTOMER.SECOND_OFFICER</t>
        </is>
      </c>
      <c r="J121" s="410" t="inlineStr">
        <is>
          <t>2025-11-26</t>
        </is>
      </c>
      <c r="K121" s="385" t="inlineStr">
        <is>
          <t>1:1</t>
        </is>
      </c>
      <c r="L121" s="385" t="inlineStr">
        <is>
          <t>PG_BRONZE</t>
        </is>
      </c>
      <c r="M121" s="386" t="inlineStr">
        <is>
          <t>T24CORE_CUSTOMER</t>
        </is>
      </c>
      <c r="N121" s="386" t="inlineStr">
        <is>
          <t>SECOND_OFFICER</t>
        </is>
      </c>
      <c r="O121" s="385" t="inlineStr">
        <is>
          <t>VARCHAR2</t>
        </is>
      </c>
      <c r="P121" s="420" t="n">
        <v>100</v>
      </c>
      <c r="Q121" s="386">
        <f>"COMMENT ON COLUMN "&amp;L121&amp;"."&amp;M121&amp;"."&amp;N121&amp;" IS '"&amp;E121&amp;"';"</f>
        <v/>
      </c>
      <c r="R121" s="414" t="inlineStr">
        <is>
          <t>Map 1:1 nguyên bản từ T24CORE.CUSTOMER.SECOND_OFFICER -&gt; PG_BRONZE.T24CORE_CUSTOMER.SECOND_OFFICER</t>
        </is>
      </c>
    </row>
    <row r="122" ht="14.25" customHeight="1" s="335">
      <c r="A122" s="412">
        <f>B122&amp;C122&amp;D122</f>
        <v/>
      </c>
      <c r="B122" s="412" t="inlineStr">
        <is>
          <t>T24CORE</t>
        </is>
      </c>
      <c r="C122" s="412" t="inlineStr">
        <is>
          <t>CUSTOMER</t>
        </is>
      </c>
      <c r="D122" s="412" t="inlineStr">
        <is>
          <t>SECTOR</t>
        </is>
      </c>
      <c r="E122" s="412" t="inlineStr">
        <is>
          <t>Mã phân loại hình khách hàng</t>
        </is>
      </c>
      <c r="F122" s="410" t="inlineStr">
        <is>
          <t>X</t>
        </is>
      </c>
      <c r="G122" s="412" t="inlineStr">
        <is>
          <t>Customer</t>
        </is>
      </c>
      <c r="H122" s="412" t="inlineStr">
        <is>
          <t>Sector Code</t>
        </is>
      </c>
      <c r="I122" s="412" t="inlineStr">
        <is>
          <t>Map 1:1 từ T24CORE.CUSTOMER.SECTOR sang PG_BRONZE.T24CORE_CUSTOMER.SECTOR</t>
        </is>
      </c>
      <c r="J122" s="410" t="inlineStr">
        <is>
          <t>2025-11-26</t>
        </is>
      </c>
      <c r="K122" s="385" t="inlineStr">
        <is>
          <t>1:1</t>
        </is>
      </c>
      <c r="L122" s="385" t="inlineStr">
        <is>
          <t>PG_BRONZE</t>
        </is>
      </c>
      <c r="M122" s="386" t="inlineStr">
        <is>
          <t>T24CORE_CUSTOMER</t>
        </is>
      </c>
      <c r="N122" s="386" t="inlineStr">
        <is>
          <t>SECTOR</t>
        </is>
      </c>
      <c r="O122" s="385" t="inlineStr">
        <is>
          <t>VARCHAR2</t>
        </is>
      </c>
      <c r="P122" s="420" t="n">
        <v>100</v>
      </c>
      <c r="Q122" s="386">
        <f>"COMMENT ON COLUMN "&amp;L122&amp;"."&amp;M122&amp;"."&amp;N122&amp;" IS '"&amp;E122&amp;"';"</f>
        <v/>
      </c>
      <c r="R122" s="414" t="inlineStr">
        <is>
          <t>Map 1:1 nguyên bản từ T24CORE.CUSTOMER.SECTOR -&gt; PG_BRONZE.T24CORE_CUSTOMER.SECTOR</t>
        </is>
      </c>
    </row>
    <row r="123" ht="14.25" customHeight="1" s="335">
      <c r="A123" s="412">
        <f>B123&amp;C123&amp;D123</f>
        <v/>
      </c>
      <c r="B123" s="412" t="inlineStr">
        <is>
          <t>T24CORE</t>
        </is>
      </c>
      <c r="C123" s="412" t="inlineStr">
        <is>
          <t>CUSTOMER</t>
        </is>
      </c>
      <c r="D123" s="412" t="inlineStr">
        <is>
          <t>SHORT_NAME</t>
        </is>
      </c>
      <c r="E123" s="412" t="inlineStr">
        <is>
          <t>Tên viết tắt khách hàng</t>
        </is>
      </c>
      <c r="F123" s="410" t="inlineStr">
        <is>
          <t>X</t>
        </is>
      </c>
      <c r="G123" s="412" t="inlineStr">
        <is>
          <t>Customer</t>
        </is>
      </c>
      <c r="H123" s="412" t="inlineStr">
        <is>
          <t>Short Name</t>
        </is>
      </c>
      <c r="I123" s="412" t="inlineStr">
        <is>
          <t>Map 1:1 từ T24CORE.CUSTOMER.SHORT_NAME sang PG_BRONZE.T24CORE_CUSTOMER.SHORT_NAME</t>
        </is>
      </c>
      <c r="J123" s="410" t="inlineStr">
        <is>
          <t>2025-11-26</t>
        </is>
      </c>
      <c r="K123" s="385" t="inlineStr">
        <is>
          <t>1:1</t>
        </is>
      </c>
      <c r="L123" s="385" t="inlineStr">
        <is>
          <t>PG_BRONZE</t>
        </is>
      </c>
      <c r="M123" s="386" t="inlineStr">
        <is>
          <t>T24CORE_CUSTOMER</t>
        </is>
      </c>
      <c r="N123" s="386" t="inlineStr">
        <is>
          <t>SHORT_NAME</t>
        </is>
      </c>
      <c r="O123" s="385" t="inlineStr">
        <is>
          <t>VARCHAR2</t>
        </is>
      </c>
      <c r="P123" s="420" t="n">
        <v>255</v>
      </c>
      <c r="Q123" s="386">
        <f>"COMMENT ON COLUMN "&amp;L123&amp;"."&amp;M123&amp;"."&amp;N123&amp;" IS '"&amp;E123&amp;"';"</f>
        <v/>
      </c>
      <c r="R123" s="414" t="inlineStr">
        <is>
          <t>Map 1:1 nguyên bản từ T24CORE.CUSTOMER.SHORT_NAME -&gt; PG_BRONZE.T24CORE_CUSTOMER.SHORT_NAME</t>
        </is>
      </c>
    </row>
    <row r="124" ht="14.25" customHeight="1" s="335">
      <c r="A124" s="412">
        <f>B124&amp;C124&amp;D124</f>
        <v/>
      </c>
      <c r="B124" s="412" t="inlineStr">
        <is>
          <t>T24CORE</t>
        </is>
      </c>
      <c r="C124" s="412" t="inlineStr">
        <is>
          <t>CUSTOMER</t>
        </is>
      </c>
      <c r="D124" s="412" t="inlineStr">
        <is>
          <t>STREET</t>
        </is>
      </c>
      <c r="E124" s="412" t="inlineStr">
        <is>
          <t>Tên đường theo địa chỉ</t>
        </is>
      </c>
      <c r="F124" s="410" t="inlineStr">
        <is>
          <t>X</t>
        </is>
      </c>
      <c r="G124" s="412" t="inlineStr">
        <is>
          <t>Customer / Individual / Organization Profile / SAOKE_TINDUNG</t>
        </is>
      </c>
      <c r="H124" s="412" t="inlineStr">
        <is>
          <t>Street</t>
        </is>
      </c>
      <c r="I124" s="412" t="inlineStr">
        <is>
          <t>Map 1:1 từ T24CORE.CUSTOMER.STREET sang PG_BRONZE.T24CORE_CUSTOMER.STREET</t>
        </is>
      </c>
      <c r="J124" s="410" t="inlineStr">
        <is>
          <t>2025-11-26</t>
        </is>
      </c>
      <c r="K124" s="385" t="inlineStr">
        <is>
          <t>1:1</t>
        </is>
      </c>
      <c r="L124" s="385" t="inlineStr">
        <is>
          <t>PG_BRONZE</t>
        </is>
      </c>
      <c r="M124" s="386" t="inlineStr">
        <is>
          <t>T24CORE_CUSTOMER</t>
        </is>
      </c>
      <c r="N124" s="386" t="inlineStr">
        <is>
          <t>STREET</t>
        </is>
      </c>
      <c r="O124" s="385" t="inlineStr">
        <is>
          <t>VARCHAR2</t>
        </is>
      </c>
      <c r="P124" s="420" t="n">
        <v>255</v>
      </c>
      <c r="Q124" s="386">
        <f>"COMMENT ON COLUMN "&amp;L124&amp;"."&amp;M124&amp;"."&amp;N124&amp;" IS '"&amp;E124&amp;"';"</f>
        <v/>
      </c>
      <c r="R124" s="414" t="inlineStr">
        <is>
          <t>Map 1:1 nguyên bản từ T24CORE.CUSTOMER.STREET -&gt; PG_BRONZE.T24CORE_CUSTOMER.STREET</t>
        </is>
      </c>
    </row>
    <row r="125" ht="14.25" customHeight="1" s="335">
      <c r="A125" s="412">
        <f>B125&amp;C125&amp;D125</f>
        <v/>
      </c>
      <c r="B125" s="412" t="inlineStr">
        <is>
          <t>T24CORE</t>
        </is>
      </c>
      <c r="C125" s="412" t="inlineStr">
        <is>
          <t>CUSTOMER</t>
        </is>
      </c>
      <c r="D125" s="412" t="inlineStr">
        <is>
          <t>TARGET</t>
        </is>
      </c>
      <c r="E125" s="412" t="inlineStr">
        <is>
          <t>Mã phân khúc đối tượng khách hàng mục tiêu (Target Code)</t>
        </is>
      </c>
      <c r="F125" s="410" t="inlineStr">
        <is>
          <t>X</t>
        </is>
      </c>
      <c r="G125" s="412" t="inlineStr">
        <is>
          <t>Customer / Individual / Organization Profile / SAOKE_TINDUNG</t>
        </is>
      </c>
      <c r="H125" s="412" t="inlineStr">
        <is>
          <t>Target</t>
        </is>
      </c>
      <c r="I125" s="412" t="inlineStr">
        <is>
          <t>Map 1:1 từ T24CORE.CUSTOMER.TARGET sang PG_BRONZE.T24CORE_CUSTOMER.TARGET</t>
        </is>
      </c>
      <c r="J125" s="410" t="inlineStr">
        <is>
          <t>2025-11-26</t>
        </is>
      </c>
      <c r="K125" s="385" t="inlineStr">
        <is>
          <t>1:1</t>
        </is>
      </c>
      <c r="L125" s="385" t="inlineStr">
        <is>
          <t>PG_BRONZE</t>
        </is>
      </c>
      <c r="M125" s="386" t="inlineStr">
        <is>
          <t>T24CORE_CUSTOMER</t>
        </is>
      </c>
      <c r="N125" s="386" t="inlineStr">
        <is>
          <t>TARGET</t>
        </is>
      </c>
      <c r="O125" s="385" t="inlineStr">
        <is>
          <t>VARCHAR2</t>
        </is>
      </c>
      <c r="P125" s="420" t="n">
        <v>100</v>
      </c>
      <c r="Q125" s="386">
        <f>"COMMENT ON COLUMN "&amp;L125&amp;"."&amp;M125&amp;"."&amp;N125&amp;" IS '"&amp;E125&amp;"';"</f>
        <v/>
      </c>
      <c r="R125" s="414" t="inlineStr">
        <is>
          <t>Map 1:1 nguyên bản từ T24CORE.CUSTOMER.TARGET -&gt; PG_BRONZE.T24CORE_CUSTOMER.TARGET</t>
        </is>
      </c>
    </row>
    <row r="126" ht="14.25" customHeight="1" s="335">
      <c r="A126" s="412">
        <f>B126&amp;C126&amp;D126</f>
        <v/>
      </c>
      <c r="B126" s="412" t="inlineStr">
        <is>
          <t>T24CORE</t>
        </is>
      </c>
      <c r="C126" s="412" t="inlineStr">
        <is>
          <t>CUSTOMER</t>
        </is>
      </c>
      <c r="D126" s="412" t="inlineStr">
        <is>
          <t>TAX_SERIAL</t>
        </is>
      </c>
      <c r="E126" s="412" t="inlineStr">
        <is>
          <t>Mã số thuế</t>
        </is>
      </c>
      <c r="F126" s="410" t="inlineStr">
        <is>
          <t>X</t>
        </is>
      </c>
      <c r="G126" s="412" t="inlineStr">
        <is>
          <t>Individual Profile / Organization Profile</t>
        </is>
      </c>
      <c r="H126" s="412" t="inlineStr">
        <is>
          <t>Tax Identification Number</t>
        </is>
      </c>
      <c r="I126" s="412" t="inlineStr">
        <is>
          <t>Map 1:1 từ T24CORE.CUSTOMER.TAX_SERIAL sang PG_BRONZE.T24CORE_CUSTOMER.TAX_SERIAL</t>
        </is>
      </c>
      <c r="J126" s="410" t="inlineStr">
        <is>
          <t>2025-11-26</t>
        </is>
      </c>
      <c r="K126" s="385" t="inlineStr">
        <is>
          <t>1:1</t>
        </is>
      </c>
      <c r="L126" s="385" t="inlineStr">
        <is>
          <t>PG_BRONZE</t>
        </is>
      </c>
      <c r="M126" s="386" t="inlineStr">
        <is>
          <t>T24CORE_CUSTOMER</t>
        </is>
      </c>
      <c r="N126" s="386" t="inlineStr">
        <is>
          <t>TAX_SERIAL</t>
        </is>
      </c>
      <c r="O126" s="385" t="inlineStr">
        <is>
          <t>VARCHAR2</t>
        </is>
      </c>
      <c r="P126" s="420" t="n">
        <v>100</v>
      </c>
      <c r="Q126" s="386">
        <f>"COMMENT ON COLUMN "&amp;L126&amp;"."&amp;M126&amp;"."&amp;N126&amp;" IS '"&amp;E126&amp;"';"</f>
        <v/>
      </c>
      <c r="R126" s="414" t="inlineStr">
        <is>
          <t>Map 1:1 nguyên bản từ T24CORE.CUSTOMER.TAX_SERIAL -&gt; PG_BRONZE.T24CORE_CUSTOMER.TAX_SERIAL</t>
        </is>
      </c>
    </row>
    <row r="127" ht="14.25" customHeight="1" s="335">
      <c r="A127" s="412">
        <f>B127&amp;C127&amp;D127</f>
        <v/>
      </c>
      <c r="B127" s="412" t="inlineStr">
        <is>
          <t>T24CORE</t>
        </is>
      </c>
      <c r="C127" s="412" t="inlineStr">
        <is>
          <t>CUSTOMER</t>
        </is>
      </c>
      <c r="D127" s="412" t="inlineStr">
        <is>
          <t>TXN_DATE</t>
        </is>
      </c>
      <c r="E127" s="412" t="inlineStr">
        <is>
          <t>Ngày giao dịch / ngày cập nhật dữ liệu khách hàng</t>
        </is>
      </c>
      <c r="F127" s="410" t="inlineStr">
        <is>
          <t>X</t>
        </is>
      </c>
      <c r="G127" s="412" t="inlineStr">
        <is>
          <t>Customer / Individual / Organization Profile / SAOKE_TINDUNG</t>
        </is>
      </c>
      <c r="H127" s="412" t="inlineStr">
        <is>
          <t>Txn Date</t>
        </is>
      </c>
      <c r="I127" s="412" t="inlineStr">
        <is>
          <t>Map 1:1 từ T24CORE.CUSTOMER.TXN_DATE sang PG_BRONZE.T24CORE_CUSTOMER.TXN_DATE</t>
        </is>
      </c>
      <c r="J127" s="419" t="inlineStr">
        <is>
          <t>2025-11-26</t>
        </is>
      </c>
      <c r="K127" s="385" t="inlineStr">
        <is>
          <t>1:1</t>
        </is>
      </c>
      <c r="L127" s="385" t="inlineStr">
        <is>
          <t>PG_BRONZE</t>
        </is>
      </c>
      <c r="M127" s="386" t="inlineStr">
        <is>
          <t>T24CORE_CUSTOMER</t>
        </is>
      </c>
      <c r="N127" s="386" t="inlineStr">
        <is>
          <t>TXN_DATE</t>
        </is>
      </c>
      <c r="O127" s="385" t="inlineStr">
        <is>
          <t>DATE</t>
        </is>
      </c>
      <c r="P127" s="420" t="n">
        <v>8</v>
      </c>
      <c r="Q127" s="386">
        <f>"COMMENT ON COLUMN "&amp;L127&amp;"."&amp;M127&amp;"."&amp;N127&amp;" IS '"&amp;E127&amp;"';"</f>
        <v/>
      </c>
      <c r="R127" s="414" t="inlineStr">
        <is>
          <t>Map 1:1 nguyên bản từ T24CORE.CUSTOMER.TXN_DATE -&gt; PG_BRONZE.T24CORE_CUSTOMER.TXN_DATE</t>
        </is>
      </c>
    </row>
    <row r="128" ht="14.25" customHeight="1" s="335">
      <c r="A128" s="412">
        <f>B128&amp;C128&amp;D128</f>
        <v/>
      </c>
      <c r="B128" s="412" t="inlineStr">
        <is>
          <t>T24CORE</t>
        </is>
      </c>
      <c r="C128" s="412" t="inlineStr">
        <is>
          <t>CUSTOMER</t>
        </is>
      </c>
      <c r="D128" s="412" t="inlineStr">
        <is>
          <t>VAT_INV_DATE</t>
        </is>
      </c>
      <c r="E128" s="412" t="inlineStr">
        <is>
          <t>Ngày phát hành hóa đơn</t>
        </is>
      </c>
      <c r="F128" s="410" t="inlineStr">
        <is>
          <t>X</t>
        </is>
      </c>
      <c r="G128" s="412" t="inlineStr">
        <is>
          <t>Customer / Individual / Organization Profile / SAOKE_TINDUNG</t>
        </is>
      </c>
      <c r="H128" s="412" t="inlineStr">
        <is>
          <t>Vat Inv Date</t>
        </is>
      </c>
      <c r="I128" s="412" t="inlineStr">
        <is>
          <t>Map 1:1 từ T24CORE.CUSTOMER.VAT_INV_DATE sang PG_BRONZE.T24CORE_CUSTOMER.VAT_INV_DATE</t>
        </is>
      </c>
      <c r="J128" s="410" t="inlineStr">
        <is>
          <t>2025-11-26</t>
        </is>
      </c>
      <c r="K128" s="385" t="inlineStr">
        <is>
          <t>1:1</t>
        </is>
      </c>
      <c r="L128" s="385" t="inlineStr">
        <is>
          <t>PG_BRONZE</t>
        </is>
      </c>
      <c r="M128" s="386" t="inlineStr">
        <is>
          <t>T24CORE_CUSTOMER</t>
        </is>
      </c>
      <c r="N128" s="386" t="inlineStr">
        <is>
          <t>VAT_INV_DATE</t>
        </is>
      </c>
      <c r="O128" s="385" t="inlineStr">
        <is>
          <t>DATE</t>
        </is>
      </c>
      <c r="P128" s="420" t="n">
        <v>8</v>
      </c>
      <c r="Q128" s="386">
        <f>"COMMENT ON COLUMN "&amp;L128&amp;"."&amp;M128&amp;"."&amp;N128&amp;" IS '"&amp;E128&amp;"';"</f>
        <v/>
      </c>
      <c r="R128" s="414" t="inlineStr">
        <is>
          <t>Map 1:1 nguyên bản từ T24CORE.CUSTOMER.VAT_INV_DATE -&gt; PG_BRONZE.T24CORE_CUSTOMER.VAT_INV_DATE</t>
        </is>
      </c>
    </row>
    <row r="129" ht="14.25" customHeight="1" s="335">
      <c r="A129" s="412">
        <f>B129&amp;C129&amp;D129</f>
        <v/>
      </c>
      <c r="B129" s="412" t="inlineStr">
        <is>
          <t>T24CORE</t>
        </is>
      </c>
      <c r="C129" s="412" t="inlineStr">
        <is>
          <t>CUSTOMER</t>
        </is>
      </c>
      <c r="D129" s="412" t="inlineStr">
        <is>
          <t>VAT_INV_SERIAL</t>
        </is>
      </c>
      <c r="E129" s="412" t="inlineStr">
        <is>
          <t>Số seri hóa đơn</t>
        </is>
      </c>
      <c r="F129" s="410" t="inlineStr">
        <is>
          <t>X</t>
        </is>
      </c>
      <c r="G129" s="412" t="inlineStr">
        <is>
          <t>Customer / Individual / Organization Profile / SAOKE_TINDUNG</t>
        </is>
      </c>
      <c r="H129" s="412" t="inlineStr">
        <is>
          <t>Vat Inv Serial</t>
        </is>
      </c>
      <c r="I129" s="412" t="inlineStr">
        <is>
          <t>Map 1:1 từ T24CORE.CUSTOMER.VAT_INV_SERIAL sang PG_BRONZE.T24CORE_CUSTOMER.VAT_INV_SERIAL</t>
        </is>
      </c>
      <c r="J129" s="410" t="inlineStr">
        <is>
          <t>2025-11-26</t>
        </is>
      </c>
      <c r="K129" s="385" t="inlineStr">
        <is>
          <t>1:1</t>
        </is>
      </c>
      <c r="L129" s="385" t="inlineStr">
        <is>
          <t>PG_BRONZE</t>
        </is>
      </c>
      <c r="M129" s="386" t="inlineStr">
        <is>
          <t>T24CORE_CUSTOMER</t>
        </is>
      </c>
      <c r="N129" s="386" t="inlineStr">
        <is>
          <t>VAT_INV_SERIAL</t>
        </is>
      </c>
      <c r="O129" s="385" t="inlineStr">
        <is>
          <t>VARCHAR2</t>
        </is>
      </c>
      <c r="P129" s="420" t="n">
        <v>100</v>
      </c>
      <c r="Q129" s="386">
        <f>"COMMENT ON COLUMN "&amp;L129&amp;"."&amp;M129&amp;"."&amp;N129&amp;" IS '"&amp;E129&amp;"';"</f>
        <v/>
      </c>
      <c r="R129" s="414" t="inlineStr">
        <is>
          <t>Map 1:1 nguyên bản từ T24CORE.CUSTOMER.VAT_INV_SERIAL -&gt; PG_BRONZE.T24CORE_CUSTOMER.VAT_INV_SERIAL</t>
        </is>
      </c>
    </row>
    <row r="130" ht="14.25" customHeight="1" s="335">
      <c r="A130" s="412">
        <f>B130&amp;C130&amp;D130</f>
        <v/>
      </c>
      <c r="B130" s="412" t="inlineStr">
        <is>
          <t>T24CORE</t>
        </is>
      </c>
      <c r="C130" s="412" t="inlineStr">
        <is>
          <t>CUSTOMER</t>
        </is>
      </c>
      <c r="D130" s="412" t="inlineStr">
        <is>
          <t>VIP_CUSTOMER</t>
        </is>
      </c>
      <c r="E130" s="412" t="inlineStr">
        <is>
          <t>Đánh dấu khách hàng ưu tiên</t>
        </is>
      </c>
      <c r="F130" s="410" t="inlineStr">
        <is>
          <t>X</t>
        </is>
      </c>
      <c r="G130" s="412" t="inlineStr">
        <is>
          <t>Individual Profile / Organization Profile</t>
        </is>
      </c>
      <c r="H130" s="412" t="inlineStr">
        <is>
          <t>VIP Flag</t>
        </is>
      </c>
      <c r="I130" s="412" t="inlineStr">
        <is>
          <t>Map 1:1 từ T24CORE.CUSTOMER.VIP_CUSTOMER sang PG_BRONZE.T24CORE_CUSTOMER.VIP_CUSTOMER</t>
        </is>
      </c>
      <c r="J130" s="410" t="inlineStr">
        <is>
          <t>2025-11-26</t>
        </is>
      </c>
      <c r="K130" s="385" t="inlineStr">
        <is>
          <t>1:1</t>
        </is>
      </c>
      <c r="L130" s="385" t="inlineStr">
        <is>
          <t>PG_BRONZE</t>
        </is>
      </c>
      <c r="M130" s="386" t="inlineStr">
        <is>
          <t>T24CORE_CUSTOMER</t>
        </is>
      </c>
      <c r="N130" s="386" t="inlineStr">
        <is>
          <t>VIP_CUSTOMER</t>
        </is>
      </c>
      <c r="O130" s="385" t="inlineStr">
        <is>
          <t>VARCHAR2</t>
        </is>
      </c>
      <c r="P130" s="420" t="n">
        <v>100</v>
      </c>
      <c r="Q130" s="386">
        <f>"COMMENT ON COLUMN "&amp;L130&amp;"."&amp;M130&amp;"."&amp;N130&amp;" IS '"&amp;E130&amp;"';"</f>
        <v/>
      </c>
      <c r="R130" s="414" t="inlineStr">
        <is>
          <t>Map 1:1 nguyên bản từ T24CORE.CUSTOMER.VIP_CUSTOMER -&gt; PG_BRONZE.T24CORE_CUSTOMER.VIP_CUSTOMER</t>
        </is>
      </c>
    </row>
    <row r="131" ht="14.25" customHeight="1" s="335">
      <c r="A131" s="412">
        <f>B131&amp;C131&amp;D131</f>
        <v/>
      </c>
      <c r="B131" s="412" t="inlineStr">
        <is>
          <t>T24CORE</t>
        </is>
      </c>
      <c r="C131" s="412" t="inlineStr">
        <is>
          <t>CUSTOMER</t>
        </is>
      </c>
      <c r="D131" s="412" t="inlineStr">
        <is>
          <t>VN_FULL_NAME</t>
        </is>
      </c>
      <c r="E131" s="412" t="inlineStr">
        <is>
          <t>Tên khách hàng đầy đủ</t>
        </is>
      </c>
      <c r="F131" s="410" t="inlineStr">
        <is>
          <t>X</t>
        </is>
      </c>
      <c r="G131" s="412" t="inlineStr">
        <is>
          <t>Customer</t>
        </is>
      </c>
      <c r="H131" s="412" t="inlineStr">
        <is>
          <t>Customer Name</t>
        </is>
      </c>
      <c r="I131" s="412" t="inlineStr">
        <is>
          <t>Map 1:1 từ T24CORE.CUSTOMER.VN_FULL_NAME sang PG_BRONZE.T24CORE_CUSTOMER.VN_FULL_NAME</t>
        </is>
      </c>
      <c r="J131" s="419" t="inlineStr">
        <is>
          <t>2025-11-26</t>
        </is>
      </c>
      <c r="K131" s="385" t="inlineStr">
        <is>
          <t>1:1</t>
        </is>
      </c>
      <c r="L131" s="385" t="inlineStr">
        <is>
          <t>PG_BRONZE</t>
        </is>
      </c>
      <c r="M131" s="386" t="inlineStr">
        <is>
          <t>T24CORE_CUSTOMER</t>
        </is>
      </c>
      <c r="N131" s="386" t="inlineStr">
        <is>
          <t>VN_FULL_NAME</t>
        </is>
      </c>
      <c r="O131" s="385" t="inlineStr">
        <is>
          <t>VARCHAR2</t>
        </is>
      </c>
      <c r="P131" s="420" t="n">
        <v>255</v>
      </c>
      <c r="Q131" s="386">
        <f>"COMMENT ON COLUMN "&amp;L131&amp;"."&amp;M131&amp;"."&amp;N131&amp;" IS '"&amp;E131&amp;"';"</f>
        <v/>
      </c>
      <c r="R131" s="414" t="inlineStr">
        <is>
          <t>Map 1:1 nguyên bản từ T24CORE.CUSTOMER.VN_FULL_NAME -&gt; PG_BRONZE.T24CORE_CUSTOMER.VN_FULL_NAME</t>
        </is>
      </c>
    </row>
    <row r="132" ht="14.25" customHeight="1" s="335">
      <c r="A132" s="412">
        <f>B132&amp;C132&amp;D132</f>
        <v/>
      </c>
      <c r="B132" s="412" t="inlineStr">
        <is>
          <t>T24CORE</t>
        </is>
      </c>
      <c r="C132" s="412" t="inlineStr">
        <is>
          <t>CUSTOMER</t>
        </is>
      </c>
      <c r="D132" s="412" t="inlineStr">
        <is>
          <t>VN_GENDER</t>
        </is>
      </c>
      <c r="E132" s="412" t="inlineStr">
        <is>
          <t>Giới tính</t>
        </is>
      </c>
      <c r="F132" s="410" t="inlineStr">
        <is>
          <t>X</t>
        </is>
      </c>
      <c r="G132" s="412" t="inlineStr">
        <is>
          <t>Individual Profile</t>
        </is>
      </c>
      <c r="H132" s="412" t="inlineStr">
        <is>
          <t>Gender</t>
        </is>
      </c>
      <c r="I132" s="412" t="inlineStr">
        <is>
          <t>Map 1:1 từ T24CORE.CUSTOMER.VN_GENDER sang PG_BRONZE.T24CORE_CUSTOMER.VN_GENDER</t>
        </is>
      </c>
      <c r="J132" s="410" t="inlineStr">
        <is>
          <t>2025-11-26</t>
        </is>
      </c>
      <c r="K132" s="385" t="inlineStr">
        <is>
          <t>1:1</t>
        </is>
      </c>
      <c r="L132" s="385" t="inlineStr">
        <is>
          <t>PG_BRONZE</t>
        </is>
      </c>
      <c r="M132" s="386" t="inlineStr">
        <is>
          <t>T24CORE_CUSTOMER</t>
        </is>
      </c>
      <c r="N132" s="386" t="inlineStr">
        <is>
          <t>VN_GENDER</t>
        </is>
      </c>
      <c r="O132" s="385" t="inlineStr">
        <is>
          <t>VARCHAR2</t>
        </is>
      </c>
      <c r="P132" s="420" t="n">
        <v>100</v>
      </c>
      <c r="Q132" s="386">
        <f>"COMMENT ON COLUMN "&amp;L132&amp;"."&amp;M132&amp;"."&amp;N132&amp;" IS '"&amp;E132&amp;"';"</f>
        <v/>
      </c>
      <c r="R132" s="414" t="inlineStr">
        <is>
          <t>Map 1:1 nguyên bản từ T24CORE.CUSTOMER.VN_GENDER -&gt; PG_BRONZE.T24CORE_CUSTOMER.VN_GENDER</t>
        </is>
      </c>
    </row>
    <row r="133" ht="14.25" customHeight="1" s="335">
      <c r="A133" s="412">
        <f>B133&amp;C133&amp;D133</f>
        <v/>
      </c>
      <c r="B133" s="412" t="inlineStr">
        <is>
          <t>T24CORE</t>
        </is>
      </c>
      <c r="C133" s="412" t="inlineStr">
        <is>
          <t>CUSTOMER</t>
        </is>
      </c>
      <c r="D133" s="412" t="inlineStr">
        <is>
          <t>VN_STREET</t>
        </is>
      </c>
      <c r="E133" s="412" t="inlineStr">
        <is>
          <t>Tên đường theo địa chỉ</t>
        </is>
      </c>
      <c r="F133" s="410" t="inlineStr">
        <is>
          <t>X</t>
        </is>
      </c>
      <c r="G133" s="412" t="inlineStr">
        <is>
          <t>Involved Party Postal Address</t>
        </is>
      </c>
      <c r="H133" s="412" t="inlineStr">
        <is>
          <t>Street Name</t>
        </is>
      </c>
      <c r="I133" s="412" t="inlineStr">
        <is>
          <t>Map 1:1 từ T24CORE.CUSTOMER.VN_STREET sang PG_BRONZE.T24CORE_CUSTOMER.VN_STREET</t>
        </is>
      </c>
      <c r="J133" s="419" t="inlineStr">
        <is>
          <t>2025-11-26</t>
        </is>
      </c>
      <c r="K133" s="385" t="inlineStr">
        <is>
          <t>1:1</t>
        </is>
      </c>
      <c r="L133" s="385" t="inlineStr">
        <is>
          <t>PG_BRONZE</t>
        </is>
      </c>
      <c r="M133" s="386" t="inlineStr">
        <is>
          <t>T24CORE_CUSTOMER</t>
        </is>
      </c>
      <c r="N133" s="386" t="inlineStr">
        <is>
          <t>VN_STREET</t>
        </is>
      </c>
      <c r="O133" s="385" t="inlineStr">
        <is>
          <t>VARCHAR2</t>
        </is>
      </c>
      <c r="P133" s="420" t="n">
        <v>255</v>
      </c>
      <c r="Q133" s="386">
        <f>"COMMENT ON COLUMN "&amp;L133&amp;"."&amp;M133&amp;"."&amp;N133&amp;" IS '"&amp;E133&amp;"';"</f>
        <v/>
      </c>
      <c r="R133" s="414" t="inlineStr">
        <is>
          <t>Map 1:1 nguyên bản từ T24CORE.CUSTOMER.VN_STREET -&gt; PG_BRONZE.T24CORE_CUSTOMER.VN_STREET</t>
        </is>
      </c>
    </row>
    <row r="134" ht="14.25" customHeight="1" s="335">
      <c r="A134" s="412">
        <f>B134&amp;C134&amp;D134</f>
        <v/>
      </c>
      <c r="B134" s="412" t="inlineStr">
        <is>
          <t>T24CORE</t>
        </is>
      </c>
      <c r="C134" s="412" t="inlineStr">
        <is>
          <t>CUSTOMER</t>
        </is>
      </c>
      <c r="D134" s="412" t="inlineStr">
        <is>
          <t>VN_TOWN</t>
        </is>
      </c>
      <c r="E134" s="412" t="inlineStr">
        <is>
          <t>Tên thành phố theo địa chỉ</t>
        </is>
      </c>
      <c r="F134" s="410" t="inlineStr">
        <is>
          <t>X</t>
        </is>
      </c>
      <c r="G134" s="412" t="inlineStr">
        <is>
          <t>Involved Party Postal Address</t>
        </is>
      </c>
      <c r="H134" s="412" t="inlineStr">
        <is>
          <t>City Name</t>
        </is>
      </c>
      <c r="I134" s="412" t="inlineStr">
        <is>
          <t>Map 1:1 từ T24CORE.CUSTOMER.VN_TOWN sang PG_BRONZE.T24CORE_CUSTOMER.VN_TOWN</t>
        </is>
      </c>
      <c r="J134" s="410" t="inlineStr">
        <is>
          <t>2025-11-26</t>
        </is>
      </c>
      <c r="K134" s="385" t="inlineStr">
        <is>
          <t>1:1</t>
        </is>
      </c>
      <c r="L134" s="385" t="inlineStr">
        <is>
          <t>PG_BRONZE</t>
        </is>
      </c>
      <c r="M134" s="386" t="inlineStr">
        <is>
          <t>T24CORE_CUSTOMER</t>
        </is>
      </c>
      <c r="N134" s="386" t="inlineStr">
        <is>
          <t>VN_TOWN</t>
        </is>
      </c>
      <c r="O134" s="385" t="inlineStr">
        <is>
          <t>VARCHAR2</t>
        </is>
      </c>
      <c r="P134" s="420" t="n">
        <v>255</v>
      </c>
      <c r="Q134" s="386">
        <f>"COMMENT ON COLUMN "&amp;L134&amp;"."&amp;M134&amp;"."&amp;N134&amp;" IS '"&amp;E134&amp;"';"</f>
        <v/>
      </c>
      <c r="R134" s="414" t="inlineStr">
        <is>
          <t>Map 1:1 nguyên bản từ T24CORE.CUSTOMER.VN_TOWN -&gt; PG_BRONZE.T24CORE_CUSTOMER.VN_TOWN</t>
        </is>
      </c>
    </row>
    <row r="135" ht="14.25" customHeight="1" s="335">
      <c r="A135" s="412">
        <f>B135&amp;C135&amp;D135</f>
        <v/>
      </c>
      <c r="B135" s="412" t="inlineStr">
        <is>
          <t>T24CORE</t>
        </is>
      </c>
      <c r="C135" s="412" t="inlineStr">
        <is>
          <t>DEPT_ACCT_OFFICER</t>
        </is>
      </c>
      <c r="D135" s="412" t="inlineStr">
        <is>
          <t>NAME</t>
        </is>
      </c>
      <c r="E135" s="412" t="inlineStr">
        <is>
          <t>Tên nhân viên hạch toán</t>
        </is>
      </c>
      <c r="F135" s="410" t="inlineStr">
        <is>
          <t>X</t>
        </is>
      </c>
      <c r="G135" s="412" t="inlineStr">
        <is>
          <t>Employee / SAOKE_TINDUNG</t>
        </is>
      </c>
      <c r="H135" s="412" t="inlineStr">
        <is>
          <t>Name</t>
        </is>
      </c>
      <c r="I135" s="412" t="inlineStr">
        <is>
          <t>Map 1:1 từ T24CORE.DEPT_ACCT_OFFICER.NAME sang PG_BRONZE.T24CORE_DEPT_ACCT_OFFICER.NAME</t>
        </is>
      </c>
      <c r="J135" s="410" t="inlineStr">
        <is>
          <t>2025-11-26</t>
        </is>
      </c>
      <c r="K135" s="385" t="inlineStr">
        <is>
          <t>1:1</t>
        </is>
      </c>
      <c r="L135" s="385" t="inlineStr">
        <is>
          <t>PG_BRONZE</t>
        </is>
      </c>
      <c r="M135" s="386" t="inlineStr">
        <is>
          <t>T24CORE_DEPT_ACCT_OFFICER</t>
        </is>
      </c>
      <c r="N135" s="386" t="inlineStr">
        <is>
          <t>NAME</t>
        </is>
      </c>
      <c r="O135" s="385" t="inlineStr">
        <is>
          <t>VARCHAR2</t>
        </is>
      </c>
      <c r="P135" s="420" t="n">
        <v>255</v>
      </c>
      <c r="Q135" s="386">
        <f>"COMMENT ON COLUMN "&amp;L135&amp;"."&amp;M135&amp;"."&amp;N135&amp;" IS '"&amp;E135&amp;"';"</f>
        <v/>
      </c>
      <c r="R135" s="414" t="inlineStr">
        <is>
          <t>Map 1:1 nguyên bản từ T24CORE.DEPT_ACCT_OFFICER.NAME -&gt; PG_BRONZE.T24CORE_DEPT_ACCT_OFFICER.NAME</t>
        </is>
      </c>
    </row>
    <row r="136" ht="14.25" customHeight="1" s="335">
      <c r="A136" s="412">
        <f>B136&amp;C136&amp;D136</f>
        <v/>
      </c>
      <c r="B136" s="421" t="inlineStr">
        <is>
          <t>T24CORE</t>
        </is>
      </c>
      <c r="C136" s="421" t="inlineStr">
        <is>
          <t>DEPT_ACCT_OFFICER</t>
        </is>
      </c>
      <c r="D136" s="412" t="inlineStr">
        <is>
          <t>RECID</t>
        </is>
      </c>
      <c r="E136" s="412" t="inlineStr">
        <is>
          <t>Mã nhân viên hạch toán thứ 2</t>
        </is>
      </c>
      <c r="F136" s="410" t="inlineStr">
        <is>
          <t>X</t>
        </is>
      </c>
      <c r="G136" s="412" t="inlineStr">
        <is>
          <t>Employee / SAOKE_TINDUNG</t>
        </is>
      </c>
      <c r="H136" s="412" t="inlineStr">
        <is>
          <t>Recid</t>
        </is>
      </c>
      <c r="I136" s="412" t="inlineStr">
        <is>
          <t>Map 1:1 từ T24CORE.DEPT_ACCT_OFFICER.RECID sang PG_BRONZE.T24CORE_DEPT_ACCT_OFFICER.RECID</t>
        </is>
      </c>
      <c r="J136" s="410" t="inlineStr">
        <is>
          <t>2025-11-26</t>
        </is>
      </c>
      <c r="K136" s="385" t="inlineStr">
        <is>
          <t>1:1</t>
        </is>
      </c>
      <c r="L136" s="385" t="inlineStr">
        <is>
          <t>PG_BRONZE</t>
        </is>
      </c>
      <c r="M136" s="386" t="inlineStr">
        <is>
          <t>T24CORE_DEPT_ACCT_OFFICER</t>
        </is>
      </c>
      <c r="N136" s="386" t="inlineStr">
        <is>
          <t>RECID</t>
        </is>
      </c>
      <c r="O136" s="385" t="inlineStr">
        <is>
          <t>VARCHAR2</t>
        </is>
      </c>
      <c r="P136" s="420" t="n">
        <v>100</v>
      </c>
      <c r="Q136" s="386">
        <f>"COMMENT ON COLUMN "&amp;L136&amp;"."&amp;M136&amp;"."&amp;N136&amp;" IS '"&amp;E136&amp;"';"</f>
        <v/>
      </c>
      <c r="R136" s="414" t="inlineStr">
        <is>
          <t>Map 1:1 nguyên bản từ T24CORE.DEPT_ACCT_OFFICER.RECID -&gt; PG_BRONZE.T24CORE_DEPT_ACCT_OFFICER.RECID</t>
        </is>
      </c>
    </row>
    <row r="137" ht="14.25" customHeight="1" s="335">
      <c r="A137" s="412">
        <f>B137&amp;C137&amp;D137</f>
        <v/>
      </c>
      <c r="B137" s="412" t="inlineStr">
        <is>
          <t>T24CORE</t>
        </is>
      </c>
      <c r="C137" s="412" t="inlineStr">
        <is>
          <t>LD_LOANS_AND_DEPOSITS</t>
        </is>
      </c>
      <c r="D137" s="412" t="inlineStr">
        <is>
          <t>ACC_FCC</t>
        </is>
      </c>
      <c r="E137" s="412" t="inlineStr">
        <is>
          <t>Mã hợp đồng FlexCube</t>
        </is>
      </c>
      <c r="F137" s="410" t="inlineStr">
        <is>
          <t>X</t>
        </is>
      </c>
      <c r="G137" s="412" t="inlineStr">
        <is>
          <t>Loan Arrangement</t>
        </is>
      </c>
      <c r="H137" s="412" t="inlineStr">
        <is>
          <t>FCC Arrangement Code</t>
        </is>
      </c>
      <c r="I137" s="412" t="inlineStr">
        <is>
          <t>Map 1:1 từ T24CORE.LD_LOANS_AND_DEPOSITS.ACC_FCC sang PG_BRONZE.T24CORE_LD_LOANS_AND_DEPOSITS.ACC_FCC</t>
        </is>
      </c>
      <c r="J137" s="410" t="inlineStr">
        <is>
          <t>2025-11-26</t>
        </is>
      </c>
      <c r="K137" s="385" t="inlineStr">
        <is>
          <t>1:1</t>
        </is>
      </c>
      <c r="L137" s="385" t="inlineStr">
        <is>
          <t>PG_BRONZE</t>
        </is>
      </c>
      <c r="M137" s="386" t="inlineStr">
        <is>
          <t>T24CORE_LD_LOANS_AND_DEPOSITS</t>
        </is>
      </c>
      <c r="N137" s="386" t="inlineStr">
        <is>
          <t>ACC_FCC</t>
        </is>
      </c>
      <c r="O137" s="385" t="inlineStr">
        <is>
          <t>VARCHAR2</t>
        </is>
      </c>
      <c r="P137" s="420" t="n">
        <v>100</v>
      </c>
      <c r="Q137" s="386">
        <f>"COMMENT ON COLUMN "&amp;L137&amp;"."&amp;M137&amp;"."&amp;N137&amp;" IS '"&amp;E137&amp;"';"</f>
        <v/>
      </c>
      <c r="R137" s="414" t="inlineStr">
        <is>
          <t>Map 1:1 nguyên bản từ T24CORE.LD_LOANS_AND_DEPOSITS.ACC_FCC -&gt; PG_BRONZE.T24CORE_LD_LOANS_AND_DEPOSITS.ACC_FCC</t>
        </is>
      </c>
    </row>
    <row r="138" ht="14.25" customHeight="1" s="335">
      <c r="A138" s="412">
        <f>B138&amp;C138&amp;D138</f>
        <v/>
      </c>
      <c r="B138" s="412" t="inlineStr">
        <is>
          <t>T24CORE</t>
        </is>
      </c>
      <c r="C138" s="412" t="inlineStr">
        <is>
          <t>LD_LOANS_AND_DEPOSITS</t>
        </is>
      </c>
      <c r="D138" s="412" t="inlineStr">
        <is>
          <t>AMOUNT</t>
        </is>
      </c>
      <c r="E138" s="412" t="inlineStr">
        <is>
          <t>Dự nợ hợp đồng</t>
        </is>
      </c>
      <c r="F138" s="410" t="inlineStr">
        <is>
          <t>X</t>
        </is>
      </c>
      <c r="G138" s="412" t="inlineStr">
        <is>
          <t>Loan Arrangement / Profile / SAOKE_TINDUNG</t>
        </is>
      </c>
      <c r="H138" s="412" t="inlineStr">
        <is>
          <t>Amount</t>
        </is>
      </c>
      <c r="I138" s="412" t="inlineStr">
        <is>
          <t>Map 1:1 từ T24CORE.LD_LOANS_AND_DEPOSITS.AMOUNT sang PG_BRONZE.T24CORE_LD_LOANS_AND_DEPOSITS.AMOUNT</t>
        </is>
      </c>
      <c r="J138" s="410" t="inlineStr">
        <is>
          <t>2025-11-26</t>
        </is>
      </c>
      <c r="K138" s="385" t="inlineStr">
        <is>
          <t>1:1</t>
        </is>
      </c>
      <c r="L138" s="385" t="inlineStr">
        <is>
          <t>PG_BRONZE</t>
        </is>
      </c>
      <c r="M138" s="386" t="inlineStr">
        <is>
          <t>T24CORE_LD_LOANS_AND_DEPOSITS</t>
        </is>
      </c>
      <c r="N138" s="386" t="inlineStr">
        <is>
          <t>AMOUNT</t>
        </is>
      </c>
      <c r="O138" s="385" t="inlineStr">
        <is>
          <t>NUMBER</t>
        </is>
      </c>
      <c r="P138" s="420" t="n">
        <v>25.5</v>
      </c>
      <c r="Q138" s="386">
        <f>"COMMENT ON COLUMN "&amp;L138&amp;"."&amp;M138&amp;"."&amp;N138&amp;" IS '"&amp;E138&amp;"';"</f>
        <v/>
      </c>
      <c r="R138" s="414" t="inlineStr">
        <is>
          <t>Map 1:1 nguyên bản từ T24CORE.LD_LOANS_AND_DEPOSITS.AMOUNT -&gt; PG_BRONZE.T24CORE_LD_LOANS_AND_DEPOSITS.AMOUNT</t>
        </is>
      </c>
    </row>
    <row r="139" ht="14.25" customHeight="1" s="335">
      <c r="A139" s="412">
        <f>B139&amp;C139&amp;D139</f>
        <v/>
      </c>
      <c r="B139" s="421" t="inlineStr">
        <is>
          <t>T24CORE</t>
        </is>
      </c>
      <c r="C139" s="421" t="inlineStr">
        <is>
          <t>LD_LOANS_AND_DEPOSITS</t>
        </is>
      </c>
      <c r="D139" s="412" t="inlineStr">
        <is>
          <t>APPROVE_AMOUNT</t>
        </is>
      </c>
      <c r="E139" s="412" t="inlineStr">
        <is>
          <t>Giá trị phê duyệt</t>
        </is>
      </c>
      <c r="F139" s="410" t="inlineStr">
        <is>
          <t>X</t>
        </is>
      </c>
      <c r="G139" s="412" t="inlineStr">
        <is>
          <t>Loan Arrangement</t>
        </is>
      </c>
      <c r="H139" s="412" t="inlineStr">
        <is>
          <t>Original Amount FCY</t>
        </is>
      </c>
      <c r="I139" s="412" t="inlineStr">
        <is>
          <t>Map 1:1 từ T24CORE.LD_LOANS_AND_DEPOSITS.APPROVE_AMOUNT sang PG_BRONZE.T24CORE_LD_LOANS_AND_DEPOSITS.APPROVE_AMOUNT</t>
        </is>
      </c>
      <c r="J139" s="410" t="inlineStr">
        <is>
          <t>2025-11-26</t>
        </is>
      </c>
      <c r="K139" s="385" t="inlineStr">
        <is>
          <t>1:1</t>
        </is>
      </c>
      <c r="L139" s="385" t="inlineStr">
        <is>
          <t>PG_BRONZE</t>
        </is>
      </c>
      <c r="M139" s="386" t="inlineStr">
        <is>
          <t>T24CORE_LD_LOANS_AND_DEPOSITS</t>
        </is>
      </c>
      <c r="N139" s="386" t="inlineStr">
        <is>
          <t>APPROVE_AMOUNT</t>
        </is>
      </c>
      <c r="O139" s="385" t="inlineStr">
        <is>
          <t>NUMBER</t>
        </is>
      </c>
      <c r="P139" s="420" t="n">
        <v>25.5</v>
      </c>
      <c r="Q139" s="386">
        <f>"COMMENT ON COLUMN "&amp;L139&amp;"."&amp;M139&amp;"."&amp;N139&amp;" IS '"&amp;E139&amp;"';"</f>
        <v/>
      </c>
      <c r="R139" s="414" t="inlineStr">
        <is>
          <t>Map 1:1 nguyên bản từ T24CORE.LD_LOANS_AND_DEPOSITS.APPROVE_AMOUNT -&gt; PG_BRONZE.T24CORE_LD_LOANS_AND_DEPOSITS.APPROVE_AMOUNT</t>
        </is>
      </c>
    </row>
    <row r="140" ht="14.25" customHeight="1" s="335">
      <c r="A140" s="412">
        <f>B140&amp;C140&amp;D140</f>
        <v/>
      </c>
      <c r="B140" s="412" t="inlineStr">
        <is>
          <t>T24CORE</t>
        </is>
      </c>
      <c r="C140" s="412" t="inlineStr">
        <is>
          <t>LD_LOANS_AND_DEPOSITS</t>
        </is>
      </c>
      <c r="D140" s="412" t="inlineStr">
        <is>
          <t>AUTHORISER</t>
        </is>
      </c>
      <c r="E140" s="412" t="inlineStr">
        <is>
          <t>Mã người phê duyệt</t>
        </is>
      </c>
      <c r="F140" s="410" t="inlineStr">
        <is>
          <t>X</t>
        </is>
      </c>
      <c r="G140" s="412" t="inlineStr">
        <is>
          <t>Arrangement x Involved Party Relationship</t>
        </is>
      </c>
      <c r="H140" s="412" t="inlineStr">
        <is>
          <t>Checker Officer</t>
        </is>
      </c>
      <c r="I140" s="412" t="inlineStr">
        <is>
          <t>Map 1:1 từ T24CORE.LD_LOANS_AND_DEPOSITS.AUTHORISER sang PG_BRONZE.T24CORE_LD_LOANS_AND_DEPOSITS.AUTHORISER</t>
        </is>
      </c>
      <c r="J140" s="410" t="inlineStr">
        <is>
          <t>2025-11-26</t>
        </is>
      </c>
      <c r="K140" s="385" t="inlineStr">
        <is>
          <t>1:1</t>
        </is>
      </c>
      <c r="L140" s="385" t="inlineStr">
        <is>
          <t>PG_BRONZE</t>
        </is>
      </c>
      <c r="M140" s="386" t="inlineStr">
        <is>
          <t>T24CORE_LD_LOANS_AND_DEPOSITS</t>
        </is>
      </c>
      <c r="N140" s="386" t="inlineStr">
        <is>
          <t>AUTHORISER</t>
        </is>
      </c>
      <c r="O140" s="385" t="inlineStr">
        <is>
          <t>VARCHAR2</t>
        </is>
      </c>
      <c r="P140" s="420" t="n">
        <v>100</v>
      </c>
      <c r="Q140" s="386">
        <f>"COMMENT ON COLUMN "&amp;L140&amp;"."&amp;M140&amp;"."&amp;N140&amp;" IS '"&amp;E140&amp;"';"</f>
        <v/>
      </c>
      <c r="R140" s="414" t="inlineStr">
        <is>
          <t>Map 1:1 nguyên bản từ T24CORE.LD_LOANS_AND_DEPOSITS.AUTHORISER -&gt; PG_BRONZE.T24CORE_LD_LOANS_AND_DEPOSITS.AUTHORISER</t>
        </is>
      </c>
    </row>
    <row r="141" ht="14.25" customHeight="1" s="335">
      <c r="A141" s="412">
        <f>B141&amp;C141&amp;D141</f>
        <v/>
      </c>
      <c r="B141" s="412" t="inlineStr">
        <is>
          <t>T24CORE</t>
        </is>
      </c>
      <c r="C141" s="412" t="inlineStr">
        <is>
          <t>LD_LOANS_AND_DEPOSITS</t>
        </is>
      </c>
      <c r="D141" s="412" t="inlineStr">
        <is>
          <t>CATEGORY</t>
        </is>
      </c>
      <c r="E141" s="412" t="inlineStr">
        <is>
          <t>Mã phân loại sản phẩm</t>
        </is>
      </c>
      <c r="F141" s="410" t="inlineStr">
        <is>
          <t>X</t>
        </is>
      </c>
      <c r="G141" s="412" t="inlineStr">
        <is>
          <t>Loan Arrangement</t>
        </is>
      </c>
      <c r="H141" s="412" t="inlineStr">
        <is>
          <t>Product Category Code</t>
        </is>
      </c>
      <c r="I141" s="412" t="inlineStr">
        <is>
          <t>Map 1:1 từ T24CORE.LD_LOANS_AND_DEPOSITS.CATEGORY sang PG_BRONZE.T24CORE_LD_LOANS_AND_DEPOSITS.CATEGORY</t>
        </is>
      </c>
      <c r="J141" s="410" t="inlineStr">
        <is>
          <t>2025-11-26</t>
        </is>
      </c>
      <c r="K141" s="385" t="inlineStr">
        <is>
          <t>1:1</t>
        </is>
      </c>
      <c r="L141" s="385" t="inlineStr">
        <is>
          <t>PG_BRONZE</t>
        </is>
      </c>
      <c r="M141" s="386" t="inlineStr">
        <is>
          <t>T24CORE_LD_LOANS_AND_DEPOSITS</t>
        </is>
      </c>
      <c r="N141" s="386" t="inlineStr">
        <is>
          <t>CATEGORY</t>
        </is>
      </c>
      <c r="O141" s="385" t="inlineStr">
        <is>
          <t>VARCHAR2</t>
        </is>
      </c>
      <c r="P141" s="420" t="n">
        <v>100</v>
      </c>
      <c r="Q141" s="386">
        <f>"COMMENT ON COLUMN "&amp;L141&amp;"."&amp;M141&amp;"."&amp;N141&amp;" IS '"&amp;E141&amp;"';"</f>
        <v/>
      </c>
      <c r="R141" s="414" t="inlineStr">
        <is>
          <t>Map 1:1 nguyên bản từ T24CORE.LD_LOANS_AND_DEPOSITS.CATEGORY -&gt; PG_BRONZE.T24CORE_LD_LOANS_AND_DEPOSITS.CATEGORY</t>
        </is>
      </c>
    </row>
    <row r="142" ht="14.25" customHeight="1" s="335">
      <c r="A142" s="412">
        <f>B142&amp;C142&amp;D142</f>
        <v/>
      </c>
      <c r="B142" s="412" t="inlineStr">
        <is>
          <t>T24CORE</t>
        </is>
      </c>
      <c r="C142" s="412" t="inlineStr">
        <is>
          <t>LD_LOANS_AND_DEPOSITS</t>
        </is>
      </c>
      <c r="D142" s="412" t="inlineStr">
        <is>
          <t>CO_CODE</t>
        </is>
      </c>
      <c r="E142" s="412" t="inlineStr">
        <is>
          <t>Mã chi nhánh quản lý hiện tại</t>
        </is>
      </c>
      <c r="F142" s="410" t="inlineStr">
        <is>
          <t>X</t>
        </is>
      </c>
      <c r="G142" s="412" t="inlineStr">
        <is>
          <t>Loan Arrangement, Loan Arrangement Profile</t>
        </is>
      </c>
      <c r="H142" s="412" t="inlineStr">
        <is>
          <t>First Organization Unit Code , Organization Unit Code</t>
        </is>
      </c>
      <c r="I142" s="412" t="inlineStr">
        <is>
          <t>Map 1:1 từ T24CORE.LD_LOANS_AND_DEPOSITS.CO_CODE sang PG_BRONZE.T24CORE_LD_LOANS_AND_DEPOSITS.CO_CODE</t>
        </is>
      </c>
      <c r="J142" s="419" t="inlineStr">
        <is>
          <t>2025-11-26</t>
        </is>
      </c>
      <c r="K142" s="385" t="inlineStr">
        <is>
          <t>1:1</t>
        </is>
      </c>
      <c r="L142" s="385" t="inlineStr">
        <is>
          <t>PG_BRONZE</t>
        </is>
      </c>
      <c r="M142" s="386" t="inlineStr">
        <is>
          <t>T24CORE_LD_LOANS_AND_DEPOSITS</t>
        </is>
      </c>
      <c r="N142" s="386" t="inlineStr">
        <is>
          <t>CO_CODE</t>
        </is>
      </c>
      <c r="O142" s="385" t="inlineStr">
        <is>
          <t>VARCHAR2</t>
        </is>
      </c>
      <c r="P142" s="420" t="n">
        <v>100</v>
      </c>
      <c r="Q142" s="386">
        <f>"COMMENT ON COLUMN "&amp;L142&amp;"."&amp;M142&amp;"."&amp;N142&amp;" IS '"&amp;E142&amp;"';"</f>
        <v/>
      </c>
      <c r="R142" s="414" t="inlineStr">
        <is>
          <t>Map 1:1 nguyên bản từ T24CORE.LD_LOANS_AND_DEPOSITS.CO_CODE -&gt; PG_BRONZE.T24CORE_LD_LOANS_AND_DEPOSITS.CO_CODE</t>
        </is>
      </c>
    </row>
    <row r="143" ht="14.25" customHeight="1" s="335">
      <c r="A143" s="412">
        <f>B143&amp;C143&amp;D143</f>
        <v/>
      </c>
      <c r="B143" s="412" t="inlineStr">
        <is>
          <t>T24CORE</t>
        </is>
      </c>
      <c r="C143" s="412" t="inlineStr">
        <is>
          <t>LD_LOANS_AND_DEPOSITS</t>
        </is>
      </c>
      <c r="D143" s="412" t="inlineStr">
        <is>
          <t>COMMIT_ACTION</t>
        </is>
      </c>
      <c r="E143" s="412" t="inlineStr">
        <is>
          <t>Trường COMMIT_ACTION của bảng nguồn T24CORE.LD_LOANS_AND_DEPOSITS</t>
        </is>
      </c>
      <c r="F143" s="410" t="inlineStr">
        <is>
          <t>X</t>
        </is>
      </c>
      <c r="G143" s="412" t="inlineStr">
        <is>
          <t>Loan Arrangement / Profile / SAOKE_TINDUNG</t>
        </is>
      </c>
      <c r="H143" s="412" t="inlineStr">
        <is>
          <t>Commit Action</t>
        </is>
      </c>
      <c r="I143" s="412" t="inlineStr">
        <is>
          <t>Map 1:1 từ T24CORE.LD_LOANS_AND_DEPOSITS.COMMIT_ACTION sang PG_BRONZE.T24CORE_LD_LOANS_AND_DEPOSITS.COMMIT_ACTION</t>
        </is>
      </c>
      <c r="J143" s="410" t="inlineStr">
        <is>
          <t>2025-11-26</t>
        </is>
      </c>
      <c r="K143" s="385" t="inlineStr">
        <is>
          <t>1:1</t>
        </is>
      </c>
      <c r="L143" s="385" t="inlineStr">
        <is>
          <t>PG_BRONZE</t>
        </is>
      </c>
      <c r="M143" s="386" t="inlineStr">
        <is>
          <t>T24CORE_LD_LOANS_AND_DEPOSITS</t>
        </is>
      </c>
      <c r="N143" s="386" t="inlineStr">
        <is>
          <t>COMMIT_ACTION</t>
        </is>
      </c>
      <c r="O143" s="385" t="inlineStr">
        <is>
          <t>VARCHAR2</t>
        </is>
      </c>
      <c r="P143" s="420" t="n">
        <v>100</v>
      </c>
      <c r="Q143" s="386">
        <f>"COMMENT ON COLUMN "&amp;L143&amp;"."&amp;M143&amp;"."&amp;N143&amp;" IS '"&amp;E143&amp;"';"</f>
        <v/>
      </c>
      <c r="R143" s="414" t="inlineStr">
        <is>
          <t>Map 1:1 nguyên bản từ T24CORE.LD_LOANS_AND_DEPOSITS.COMMIT_ACTION -&gt; PG_BRONZE.T24CORE_LD_LOANS_AND_DEPOSITS.COMMIT_ACTION</t>
        </is>
      </c>
    </row>
    <row r="144" ht="14.25" customHeight="1" s="335">
      <c r="A144" s="412">
        <f>B144&amp;C144&amp;D144</f>
        <v/>
      </c>
      <c r="B144" s="412" t="inlineStr">
        <is>
          <t>T24CORE</t>
        </is>
      </c>
      <c r="C144" s="412" t="inlineStr">
        <is>
          <t>LD_LOANS_AND_DEPOSITS</t>
        </is>
      </c>
      <c r="D144" s="412" t="inlineStr">
        <is>
          <t>CRA_LD</t>
        </is>
      </c>
      <c r="E144" s="412" t="inlineStr">
        <is>
          <t>Số hồ sơ giải ngân</t>
        </is>
      </c>
      <c r="F144" s="410" t="inlineStr">
        <is>
          <t>X</t>
        </is>
      </c>
      <c r="G144" s="412" t="inlineStr">
        <is>
          <t>Loan Arrangement</t>
        </is>
      </c>
      <c r="H144" s="412" t="inlineStr">
        <is>
          <t>Paper Contract Number</t>
        </is>
      </c>
      <c r="I144" s="412" t="inlineStr">
        <is>
          <t>Map 1:1 từ T24CORE.LD_LOANS_AND_DEPOSITS.CRA_LD sang PG_BRONZE.T24CORE_LD_LOANS_AND_DEPOSITS.CRA_LD</t>
        </is>
      </c>
      <c r="J144" s="410" t="inlineStr">
        <is>
          <t>2025-11-26</t>
        </is>
      </c>
      <c r="K144" s="385" t="inlineStr">
        <is>
          <t>1:1</t>
        </is>
      </c>
      <c r="L144" s="385" t="inlineStr">
        <is>
          <t>PG_BRONZE</t>
        </is>
      </c>
      <c r="M144" s="386" t="inlineStr">
        <is>
          <t>T24CORE_LD_LOANS_AND_DEPOSITS</t>
        </is>
      </c>
      <c r="N144" s="386" t="inlineStr">
        <is>
          <t>CRA_LD</t>
        </is>
      </c>
      <c r="O144" s="385" t="inlineStr">
        <is>
          <t>VARCHAR2</t>
        </is>
      </c>
      <c r="P144" s="420" t="n">
        <v>100</v>
      </c>
      <c r="Q144" s="386">
        <f>"COMMENT ON COLUMN "&amp;L144&amp;"."&amp;M144&amp;"."&amp;N144&amp;" IS '"&amp;E144&amp;"';"</f>
        <v/>
      </c>
      <c r="R144" s="414" t="inlineStr">
        <is>
          <t>Map 1:1 nguyên bản từ T24CORE.LD_LOANS_AND_DEPOSITS.CRA_LD -&gt; PG_BRONZE.T24CORE_LD_LOANS_AND_DEPOSITS.CRA_LD</t>
        </is>
      </c>
    </row>
    <row r="145" ht="14.25" customHeight="1" s="335">
      <c r="A145" s="412">
        <f>B145&amp;C145&amp;D145</f>
        <v/>
      </c>
      <c r="B145" s="412" t="inlineStr">
        <is>
          <t>T24CORE</t>
        </is>
      </c>
      <c r="C145" s="412" t="inlineStr">
        <is>
          <t>LD_LOANS_AND_DEPOSITS</t>
        </is>
      </c>
      <c r="D145" s="421" t="inlineStr">
        <is>
          <t>CURR_NO</t>
        </is>
      </c>
      <c r="E145" s="421" t="inlineStr">
        <is>
          <t>Version bản ghi hiện tại</t>
        </is>
      </c>
      <c r="F145" s="422" t="inlineStr">
        <is>
          <t>X</t>
        </is>
      </c>
      <c r="G145" s="421" t="inlineStr">
        <is>
          <t>Loan Arrangement / Profile / SAOKE_TINDUNG</t>
        </is>
      </c>
      <c r="H145" s="421" t="inlineStr">
        <is>
          <t>Curr No</t>
        </is>
      </c>
      <c r="I145" s="412" t="inlineStr">
        <is>
          <t>Map 1:1 từ T24CORE.LD_LOANS_AND_DEPOSITS.CURR_NO sang PG_BRONZE.T24CORE_LD_LOANS_AND_DEPOSITS.CURR_NO</t>
        </is>
      </c>
      <c r="J145" s="410" t="inlineStr">
        <is>
          <t>2025-11-26</t>
        </is>
      </c>
      <c r="K145" s="385" t="inlineStr">
        <is>
          <t>1:1</t>
        </is>
      </c>
      <c r="L145" s="385" t="inlineStr">
        <is>
          <t>PG_BRONZE</t>
        </is>
      </c>
      <c r="M145" s="386" t="inlineStr">
        <is>
          <t>T24CORE_LD_LOANS_AND_DEPOSITS</t>
        </is>
      </c>
      <c r="N145" s="386" t="inlineStr">
        <is>
          <t>CURR_NO</t>
        </is>
      </c>
      <c r="O145" s="385" t="inlineStr">
        <is>
          <t>NUMBER</t>
        </is>
      </c>
      <c r="P145" s="420" t="n">
        <v>10</v>
      </c>
      <c r="Q145" s="386">
        <f>"COMMENT ON COLUMN "&amp;L145&amp;"."&amp;M145&amp;"."&amp;N145&amp;" IS '"&amp;E145&amp;"';"</f>
        <v/>
      </c>
      <c r="R145" s="414" t="inlineStr">
        <is>
          <t>Map 1:1 nguyên bản từ T24CORE.LD_LOANS_AND_DEPOSITS.CURR_NO -&gt; PG_BRONZE.T24CORE_LD_LOANS_AND_DEPOSITS.CURR_NO</t>
        </is>
      </c>
    </row>
    <row r="146" ht="14.25" customHeight="1" s="335">
      <c r="A146" s="412">
        <f>B146&amp;C146&amp;D146</f>
        <v/>
      </c>
      <c r="B146" s="412" t="inlineStr">
        <is>
          <t>T24CORE</t>
        </is>
      </c>
      <c r="C146" s="412" t="inlineStr">
        <is>
          <t>LD_LOANS_AND_DEPOSITS</t>
        </is>
      </c>
      <c r="D146" s="412" t="inlineStr">
        <is>
          <t>CURRENCY</t>
        </is>
      </c>
      <c r="E146" s="412" t="inlineStr">
        <is>
          <t>Loại tiền</t>
        </is>
      </c>
      <c r="F146" s="410" t="inlineStr">
        <is>
          <t>X</t>
        </is>
      </c>
      <c r="G146" s="412" t="inlineStr">
        <is>
          <t>Loan Arrangement</t>
        </is>
      </c>
      <c r="H146" s="412" t="inlineStr">
        <is>
          <t>Currency Code</t>
        </is>
      </c>
      <c r="I146" s="412" t="inlineStr">
        <is>
          <t>Map 1:1 từ T24CORE.LD_LOANS_AND_DEPOSITS.CURRENCY sang PG_BRONZE.T24CORE_LD_LOANS_AND_DEPOSITS.CURRENCY</t>
        </is>
      </c>
      <c r="J146" s="410" t="inlineStr">
        <is>
          <t>2025-11-26</t>
        </is>
      </c>
      <c r="K146" s="385" t="inlineStr">
        <is>
          <t>1:1</t>
        </is>
      </c>
      <c r="L146" s="385" t="inlineStr">
        <is>
          <t>PG_BRONZE</t>
        </is>
      </c>
      <c r="M146" s="386" t="inlineStr">
        <is>
          <t>T24CORE_LD_LOANS_AND_DEPOSITS</t>
        </is>
      </c>
      <c r="N146" s="386" t="inlineStr">
        <is>
          <t>CURRENCY</t>
        </is>
      </c>
      <c r="O146" s="385" t="inlineStr">
        <is>
          <t>VARCHAR2</t>
        </is>
      </c>
      <c r="P146" s="420" t="n">
        <v>100</v>
      </c>
      <c r="Q146" s="386">
        <f>"COMMENT ON COLUMN "&amp;L146&amp;"."&amp;M146&amp;"."&amp;N146&amp;" IS '"&amp;E146&amp;"';"</f>
        <v/>
      </c>
      <c r="R146" s="414" t="inlineStr">
        <is>
          <t>Map 1:1 nguyên bản từ T24CORE.LD_LOANS_AND_DEPOSITS.CURRENCY -&gt; PG_BRONZE.T24CORE_LD_LOANS_AND_DEPOSITS.CURRENCY</t>
        </is>
      </c>
    </row>
    <row r="147" ht="14.25" customHeight="1" s="335">
      <c r="A147" s="412">
        <f>B147&amp;C147&amp;D147</f>
        <v/>
      </c>
      <c r="B147" s="412" t="inlineStr">
        <is>
          <t>T24CORE</t>
        </is>
      </c>
      <c r="C147" s="412" t="inlineStr">
        <is>
          <t>LD_LOANS_AND_DEPOSITS</t>
        </is>
      </c>
      <c r="D147" s="412" t="inlineStr">
        <is>
          <t>CUSTOMER_ID</t>
        </is>
      </c>
      <c r="E147" s="412" t="inlineStr">
        <is>
          <t>Mã khách hàng</t>
        </is>
      </c>
      <c r="F147" s="410" t="inlineStr">
        <is>
          <t>X</t>
        </is>
      </c>
      <c r="G147" s="412" t="inlineStr">
        <is>
          <t>Loan Arrangement</t>
        </is>
      </c>
      <c r="H147" s="412" t="inlineStr">
        <is>
          <t>Customer Code/ Customer ID</t>
        </is>
      </c>
      <c r="I147" s="412" t="inlineStr">
        <is>
          <t>Map 1:1 từ T24CORE.LD_LOANS_AND_DEPOSITS.CUSTOMER_ID sang PG_BRONZE.T24CORE_LD_LOANS_AND_DEPOSITS.CUSTOMER_ID</t>
        </is>
      </c>
      <c r="J147" s="410" t="inlineStr">
        <is>
          <t>2025-11-26</t>
        </is>
      </c>
      <c r="K147" s="385" t="inlineStr">
        <is>
          <t>1:1</t>
        </is>
      </c>
      <c r="L147" s="385" t="inlineStr">
        <is>
          <t>PG_BRONZE</t>
        </is>
      </c>
      <c r="M147" s="386" t="inlineStr">
        <is>
          <t>T24CORE_LD_LOANS_AND_DEPOSITS</t>
        </is>
      </c>
      <c r="N147" s="386" t="inlineStr">
        <is>
          <t>CUSTOMER_ID</t>
        </is>
      </c>
      <c r="O147" s="385" t="inlineStr">
        <is>
          <t>VARCHAR2</t>
        </is>
      </c>
      <c r="P147" s="420" t="n">
        <v>100</v>
      </c>
      <c r="Q147" s="386">
        <f>"COMMENT ON COLUMN "&amp;L147&amp;"."&amp;M147&amp;"."&amp;N147&amp;" IS '"&amp;E147&amp;"';"</f>
        <v/>
      </c>
      <c r="R147" s="414" t="inlineStr">
        <is>
          <t>Map 1:1 nguyên bản từ T24CORE.LD_LOANS_AND_DEPOSITS.CUSTOMER_ID -&gt; PG_BRONZE.T24CORE_LD_LOANS_AND_DEPOSITS.CUSTOMER_ID</t>
        </is>
      </c>
    </row>
    <row r="148" ht="14.25" customHeight="1" s="335">
      <c r="A148" s="412">
        <f>B148&amp;C148&amp;D148</f>
        <v/>
      </c>
      <c r="B148" s="412" t="inlineStr">
        <is>
          <t>T24CORE</t>
        </is>
      </c>
      <c r="C148" s="412" t="inlineStr">
        <is>
          <t>LD_LOANS_AND_DEPOSITS</t>
        </is>
      </c>
      <c r="D148" s="412" t="inlineStr">
        <is>
          <t>DATE_TIME</t>
        </is>
      </c>
      <c r="E148" s="412" t="inlineStr">
        <is>
          <t>Ngày nhập liệu Core</t>
        </is>
      </c>
      <c r="F148" s="410" t="inlineStr">
        <is>
          <t>X</t>
        </is>
      </c>
      <c r="G148" s="412" t="inlineStr">
        <is>
          <t>Loan Arrangement / Profile / SAOKE_TINDUNG</t>
        </is>
      </c>
      <c r="H148" s="412" t="inlineStr">
        <is>
          <t>Date Time</t>
        </is>
      </c>
      <c r="I148" s="412" t="inlineStr">
        <is>
          <t>Map 1:1 từ T24CORE.LD_LOANS_AND_DEPOSITS.DATE_TIME sang PG_BRONZE.T24CORE_LD_LOANS_AND_DEPOSITS.DATE_TIME</t>
        </is>
      </c>
      <c r="J148" s="410" t="inlineStr">
        <is>
          <t>2025-11-26</t>
        </is>
      </c>
      <c r="K148" s="385" t="inlineStr">
        <is>
          <t>1:1</t>
        </is>
      </c>
      <c r="L148" s="385" t="inlineStr">
        <is>
          <t>PG_BRONZE</t>
        </is>
      </c>
      <c r="M148" s="386" t="inlineStr">
        <is>
          <t>T24CORE_LD_LOANS_AND_DEPOSITS</t>
        </is>
      </c>
      <c r="N148" s="386" t="inlineStr">
        <is>
          <t>DATE_TIME</t>
        </is>
      </c>
      <c r="O148" s="385" t="inlineStr">
        <is>
          <t>DATE</t>
        </is>
      </c>
      <c r="P148" s="420" t="n">
        <v>8</v>
      </c>
      <c r="Q148" s="386">
        <f>"COMMENT ON COLUMN "&amp;L148&amp;"."&amp;M148&amp;"."&amp;N148&amp;" IS '"&amp;E148&amp;"';"</f>
        <v/>
      </c>
      <c r="R148" s="414" t="inlineStr">
        <is>
          <t>Map 1:1 nguyên bản từ T24CORE.LD_LOANS_AND_DEPOSITS.DATE_TIME -&gt; PG_BRONZE.T24CORE_LD_LOANS_AND_DEPOSITS.DATE_TIME</t>
        </is>
      </c>
    </row>
    <row r="149" ht="14.25" customHeight="1" s="335">
      <c r="A149" s="412">
        <f>B149&amp;C149&amp;D149</f>
        <v/>
      </c>
      <c r="B149" s="412" t="inlineStr">
        <is>
          <t>T24CORE</t>
        </is>
      </c>
      <c r="C149" s="412" t="inlineStr">
        <is>
          <t>LD_LOANS_AND_DEPOSITS</t>
        </is>
      </c>
      <c r="D149" s="412" t="inlineStr">
        <is>
          <t>DRAWDOWN_NET_AMT</t>
        </is>
      </c>
      <c r="E149" s="412" t="inlineStr">
        <is>
          <t>Số tiền thực tế giải ngân</t>
        </is>
      </c>
      <c r="F149" s="410" t="inlineStr">
        <is>
          <t>X</t>
        </is>
      </c>
      <c r="G149" s="412" t="inlineStr">
        <is>
          <t>Loan Arrangement</t>
        </is>
      </c>
      <c r="H149" s="412" t="inlineStr">
        <is>
          <t>Disbursement Amount FCY</t>
        </is>
      </c>
      <c r="I149" s="412" t="inlineStr">
        <is>
          <t>Map 1:1 từ T24CORE.LD_LOANS_AND_DEPOSITS.DRAWDOWN_NET_AMT sang PG_BRONZE.T24CORE_LD_LOANS_AND_DEPOSITS.DRAWDOWN_NET_AMT</t>
        </is>
      </c>
      <c r="J149" s="410" t="inlineStr">
        <is>
          <t>2025-11-26</t>
        </is>
      </c>
      <c r="K149" s="385" t="inlineStr">
        <is>
          <t>1:1</t>
        </is>
      </c>
      <c r="L149" s="385" t="inlineStr">
        <is>
          <t>PG_BRONZE</t>
        </is>
      </c>
      <c r="M149" s="386" t="inlineStr">
        <is>
          <t>T24CORE_LD_LOANS_AND_DEPOSITS</t>
        </is>
      </c>
      <c r="N149" s="386" t="inlineStr">
        <is>
          <t>DRAWDOWN_NET_AMT</t>
        </is>
      </c>
      <c r="O149" s="385" t="inlineStr">
        <is>
          <t>NUMBER</t>
        </is>
      </c>
      <c r="P149" s="420" t="n">
        <v>25.5</v>
      </c>
      <c r="Q149" s="386">
        <f>"COMMENT ON COLUMN "&amp;L149&amp;"."&amp;M149&amp;"."&amp;N149&amp;" IS '"&amp;E149&amp;"';"</f>
        <v/>
      </c>
      <c r="R149" s="414" t="inlineStr">
        <is>
          <t>Map 1:1 nguyên bản từ T24CORE.LD_LOANS_AND_DEPOSITS.DRAWDOWN_NET_AMT -&gt; PG_BRONZE.T24CORE_LD_LOANS_AND_DEPOSITS.DRAWDOWN_NET_AMT</t>
        </is>
      </c>
    </row>
    <row r="150" ht="14.25" customHeight="1" s="335">
      <c r="A150" s="412">
        <f>B150&amp;C150&amp;D150</f>
        <v/>
      </c>
      <c r="B150" s="412" t="inlineStr">
        <is>
          <t>T24CORE</t>
        </is>
      </c>
      <c r="C150" s="412" t="inlineStr">
        <is>
          <t>LD_LOANS_AND_DEPOSITS</t>
        </is>
      </c>
      <c r="D150" s="412" t="inlineStr">
        <is>
          <t>EXCG_RATE</t>
        </is>
      </c>
      <c r="E150" s="412" t="inlineStr">
        <is>
          <t>Tỷ giá quy đổi</t>
        </is>
      </c>
      <c r="F150" s="410" t="inlineStr">
        <is>
          <t>X</t>
        </is>
      </c>
      <c r="G150" s="412" t="inlineStr">
        <is>
          <t>Loan Arrangement</t>
        </is>
      </c>
      <c r="H150" s="412" t="inlineStr">
        <is>
          <t>Exchange Rate To Local Currency</t>
        </is>
      </c>
      <c r="I150" s="412" t="inlineStr">
        <is>
          <t>Map 1:1 từ T24CORE.LD_LOANS_AND_DEPOSITS.EXCG_RATE sang PG_BRONZE.T24CORE_LD_LOANS_AND_DEPOSITS.EXCG_RATE</t>
        </is>
      </c>
      <c r="J150" s="410" t="inlineStr">
        <is>
          <t>2025-11-26</t>
        </is>
      </c>
      <c r="K150" s="385" t="inlineStr">
        <is>
          <t>1:1</t>
        </is>
      </c>
      <c r="L150" s="385" t="inlineStr">
        <is>
          <t>PG_BRONZE</t>
        </is>
      </c>
      <c r="M150" s="386" t="inlineStr">
        <is>
          <t>T24CORE_LD_LOANS_AND_DEPOSITS</t>
        </is>
      </c>
      <c r="N150" s="386" t="inlineStr">
        <is>
          <t>EXCG_RATE</t>
        </is>
      </c>
      <c r="O150" s="385" t="inlineStr">
        <is>
          <t>NUMBER</t>
        </is>
      </c>
      <c r="P150" s="420" t="n">
        <v>13.7</v>
      </c>
      <c r="Q150" s="386">
        <f>"COMMENT ON COLUMN "&amp;L150&amp;"."&amp;M150&amp;"."&amp;N150&amp;" IS '"&amp;E150&amp;"';"</f>
        <v/>
      </c>
      <c r="R150" s="414" t="inlineStr">
        <is>
          <t>Map 1:1 nguyên bản từ T24CORE.LD_LOANS_AND_DEPOSITS.EXCG_RATE -&gt; PG_BRONZE.T24CORE_LD_LOANS_AND_DEPOSITS.EXCG_RATE</t>
        </is>
      </c>
    </row>
    <row r="151" ht="14.25" customHeight="1" s="335">
      <c r="A151" s="412">
        <f>B151&amp;C151&amp;D151</f>
        <v/>
      </c>
      <c r="B151" s="412" t="inlineStr">
        <is>
          <t>T24CORE</t>
        </is>
      </c>
      <c r="C151" s="412" t="inlineStr">
        <is>
          <t>LD_LOANS_AND_DEPOSITS</t>
        </is>
      </c>
      <c r="D151" s="412" t="inlineStr">
        <is>
          <t>FCC_LIMIT</t>
        </is>
      </c>
      <c r="E151" s="412" t="inlineStr">
        <is>
          <t>Mã hạn mức trên Flexcube</t>
        </is>
      </c>
      <c r="F151" s="410" t="inlineStr">
        <is>
          <t>X</t>
        </is>
      </c>
      <c r="G151" s="412" t="inlineStr">
        <is>
          <t>Loan Arrangement</t>
        </is>
      </c>
      <c r="H151" s="412" t="inlineStr">
        <is>
          <t>FCC Limit Code</t>
        </is>
      </c>
      <c r="I151" s="412" t="inlineStr">
        <is>
          <t>Map 1:1 từ T24CORE.LD_LOANS_AND_DEPOSITS.FCC_LIMIT sang PG_BRONZE.T24CORE_LD_LOANS_AND_DEPOSITS.FCC_LIMIT</t>
        </is>
      </c>
      <c r="J151" s="410" t="inlineStr">
        <is>
          <t>2025-11-26</t>
        </is>
      </c>
      <c r="K151" s="385" t="inlineStr">
        <is>
          <t>1:1</t>
        </is>
      </c>
      <c r="L151" s="385" t="inlineStr">
        <is>
          <t>PG_BRONZE</t>
        </is>
      </c>
      <c r="M151" s="386" t="inlineStr">
        <is>
          <t>T24CORE_LD_LOANS_AND_DEPOSITS</t>
        </is>
      </c>
      <c r="N151" s="386" t="inlineStr">
        <is>
          <t>FCC_LIMIT</t>
        </is>
      </c>
      <c r="O151" s="385" t="inlineStr">
        <is>
          <t>VARCHAR2</t>
        </is>
      </c>
      <c r="P151" s="420" t="n">
        <v>100</v>
      </c>
      <c r="Q151" s="386">
        <f>"COMMENT ON COLUMN "&amp;L151&amp;"."&amp;M151&amp;"."&amp;N151&amp;" IS '"&amp;E151&amp;"';"</f>
        <v/>
      </c>
      <c r="R151" s="414" t="inlineStr">
        <is>
          <t>Map 1:1 nguyên bản từ T24CORE.LD_LOANS_AND_DEPOSITS.FCC_LIMIT -&gt; PG_BRONZE.T24CORE_LD_LOANS_AND_DEPOSITS.FCC_LIMIT</t>
        </is>
      </c>
    </row>
    <row r="152" ht="14.25" customHeight="1" s="335">
      <c r="A152" s="412">
        <f>B152&amp;C152&amp;D152</f>
        <v/>
      </c>
      <c r="B152" s="412" t="inlineStr">
        <is>
          <t>T24CORE</t>
        </is>
      </c>
      <c r="C152" s="412" t="inlineStr">
        <is>
          <t>LD_LOANS_AND_DEPOSITS</t>
        </is>
      </c>
      <c r="D152" s="421" t="inlineStr">
        <is>
          <t>FIN_MAT_DATE</t>
        </is>
      </c>
      <c r="E152" s="412" t="inlineStr">
        <is>
          <t>Ngày đáo hạn hợp đồng</t>
        </is>
      </c>
      <c r="F152" s="410" t="inlineStr">
        <is>
          <t>X</t>
        </is>
      </c>
      <c r="G152" s="412" t="inlineStr">
        <is>
          <t>Loan Arrangement</t>
        </is>
      </c>
      <c r="H152" s="412" t="inlineStr">
        <is>
          <t>Maturity Date</t>
        </is>
      </c>
      <c r="I152" s="412" t="inlineStr">
        <is>
          <t>Map 1:1 từ T24CORE.LD_LOANS_AND_DEPOSITS.FIN_MAT_DATE sang PG_BRONZE.T24CORE_LD_LOANS_AND_DEPOSITS.FIN_MAT_DATE</t>
        </is>
      </c>
      <c r="J152" s="410" t="inlineStr">
        <is>
          <t>2025-11-26</t>
        </is>
      </c>
      <c r="K152" s="385" t="inlineStr">
        <is>
          <t>1:1</t>
        </is>
      </c>
      <c r="L152" s="385" t="inlineStr">
        <is>
          <t>PG_BRONZE</t>
        </is>
      </c>
      <c r="M152" s="386" t="inlineStr">
        <is>
          <t>T24CORE_LD_LOANS_AND_DEPOSITS</t>
        </is>
      </c>
      <c r="N152" s="386" t="inlineStr">
        <is>
          <t>FIN_MAT_DATE</t>
        </is>
      </c>
      <c r="O152" s="385" t="inlineStr">
        <is>
          <t>DATE</t>
        </is>
      </c>
      <c r="P152" s="420" t="n">
        <v>8</v>
      </c>
      <c r="Q152" s="386">
        <f>"COMMENT ON COLUMN "&amp;L152&amp;"."&amp;M152&amp;"."&amp;N152&amp;" IS '"&amp;E152&amp;"';"</f>
        <v/>
      </c>
      <c r="R152" s="414" t="inlineStr">
        <is>
          <t>Map 1:1 nguyên bản từ T24CORE.LD_LOANS_AND_DEPOSITS.FIN_MAT_DATE -&gt; PG_BRONZE.T24CORE_LD_LOANS_AND_DEPOSITS.FIN_MAT_DATE</t>
        </is>
      </c>
    </row>
    <row r="153" ht="14.25" customHeight="1" s="335">
      <c r="A153" s="412">
        <f>B153&amp;C153&amp;D153</f>
        <v/>
      </c>
      <c r="B153" s="412" t="inlineStr">
        <is>
          <t>T24CORE</t>
        </is>
      </c>
      <c r="C153" s="412" t="inlineStr">
        <is>
          <t>LD_LOANS_AND_DEPOSITS</t>
        </is>
      </c>
      <c r="D153" s="412" t="inlineStr">
        <is>
          <t>ID</t>
        </is>
      </c>
      <c r="E153" s="412" t="inlineStr">
        <is>
          <t>Thay = trường RECID</t>
        </is>
      </c>
      <c r="F153" s="410" t="inlineStr">
        <is>
          <t>X</t>
        </is>
      </c>
      <c r="G153" s="412" t="inlineStr">
        <is>
          <t>Loan Arrangement / Profile / SAOKE_TINDUNG</t>
        </is>
      </c>
      <c r="H153" s="412" t="inlineStr">
        <is>
          <t>Id</t>
        </is>
      </c>
      <c r="I153" s="412" t="inlineStr">
        <is>
          <t>Map 1:1 từ T24CORE.LD_LOANS_AND_DEPOSITS.ID sang PG_BRONZE.T24CORE_LD_LOANS_AND_DEPOSITS.ID</t>
        </is>
      </c>
      <c r="J153" s="410" t="inlineStr">
        <is>
          <t>2025-11-26</t>
        </is>
      </c>
      <c r="K153" s="385" t="inlineStr">
        <is>
          <t>1:1</t>
        </is>
      </c>
      <c r="L153" s="385" t="inlineStr">
        <is>
          <t>PG_BRONZE</t>
        </is>
      </c>
      <c r="M153" s="386" t="inlineStr">
        <is>
          <t>T24CORE_LD_LOANS_AND_DEPOSITS</t>
        </is>
      </c>
      <c r="N153" s="386" t="inlineStr">
        <is>
          <t>ID</t>
        </is>
      </c>
      <c r="O153" s="385" t="inlineStr">
        <is>
          <t>VARCHAR2</t>
        </is>
      </c>
      <c r="P153" s="420" t="n">
        <v>100</v>
      </c>
      <c r="Q153" s="386">
        <f>"COMMENT ON COLUMN "&amp;L153&amp;"."&amp;M153&amp;"."&amp;N153&amp;" IS '"&amp;E153&amp;"';"</f>
        <v/>
      </c>
      <c r="R153" s="414" t="inlineStr">
        <is>
          <t>Map 1:1 nguyên bản từ T24CORE.LD_LOANS_AND_DEPOSITS.ID -&gt; PG_BRONZE.T24CORE_LD_LOANS_AND_DEPOSITS.ID</t>
        </is>
      </c>
    </row>
    <row r="154" ht="14.25" customHeight="1" s="335">
      <c r="A154" s="412">
        <f>B154&amp;C154&amp;D154</f>
        <v/>
      </c>
      <c r="B154" s="412" t="inlineStr">
        <is>
          <t>T24CORE</t>
        </is>
      </c>
      <c r="C154" s="412" t="inlineStr">
        <is>
          <t>LD_LOANS_AND_DEPOSITS</t>
        </is>
      </c>
      <c r="D154" s="412" t="inlineStr">
        <is>
          <t>INPUTTER</t>
        </is>
      </c>
      <c r="E154" s="412" t="inlineStr">
        <is>
          <t>ID người nhập liệu</t>
        </is>
      </c>
      <c r="F154" s="410" t="inlineStr">
        <is>
          <t>X</t>
        </is>
      </c>
      <c r="G154" s="412" t="inlineStr">
        <is>
          <t>Arrangement x Involved Party Relationship</t>
        </is>
      </c>
      <c r="H154" s="412" t="inlineStr">
        <is>
          <t>Maker Officer</t>
        </is>
      </c>
      <c r="I154" s="412" t="inlineStr">
        <is>
          <t>Map 1:1 từ T24CORE.LD_LOANS_AND_DEPOSITS.INPUTTER sang PG_BRONZE.T24CORE_LD_LOANS_AND_DEPOSITS.INPUTTER</t>
        </is>
      </c>
      <c r="J154" s="410" t="inlineStr">
        <is>
          <t>2025-11-26</t>
        </is>
      </c>
      <c r="K154" s="385" t="inlineStr">
        <is>
          <t>1:1</t>
        </is>
      </c>
      <c r="L154" s="385" t="inlineStr">
        <is>
          <t>PG_BRONZE</t>
        </is>
      </c>
      <c r="M154" s="386" t="inlineStr">
        <is>
          <t>T24CORE_LD_LOANS_AND_DEPOSITS</t>
        </is>
      </c>
      <c r="N154" s="386" t="inlineStr">
        <is>
          <t>INPUTTER</t>
        </is>
      </c>
      <c r="O154" s="385" t="inlineStr">
        <is>
          <t>VARCHAR2</t>
        </is>
      </c>
      <c r="P154" s="420" t="n">
        <v>100</v>
      </c>
      <c r="Q154" s="386">
        <f>"COMMENT ON COLUMN "&amp;L154&amp;"."&amp;M154&amp;"."&amp;N154&amp;" IS '"&amp;E154&amp;"';"</f>
        <v/>
      </c>
      <c r="R154" s="414" t="inlineStr">
        <is>
          <t>Map 1:1 nguyên bản từ T24CORE.LD_LOANS_AND_DEPOSITS.INPUTTER -&gt; PG_BRONZE.T24CORE_LD_LOANS_AND_DEPOSITS.INPUTTER</t>
        </is>
      </c>
    </row>
    <row r="155" ht="14.25" customHeight="1" s="335">
      <c r="A155" s="412">
        <f>B155&amp;C155&amp;D155</f>
        <v/>
      </c>
      <c r="B155" s="412" t="inlineStr">
        <is>
          <t>T24CORE</t>
        </is>
      </c>
      <c r="C155" s="412" t="inlineStr">
        <is>
          <t>LD_LOANS_AND_DEPOSITS</t>
        </is>
      </c>
      <c r="D155" s="412" t="inlineStr">
        <is>
          <t>INT_LIQ_ACCT</t>
        </is>
      </c>
      <c r="E155" s="412" t="inlineStr">
        <is>
          <t>Tài khoản thanh toán lãi</t>
        </is>
      </c>
      <c r="F155" s="410" t="inlineStr">
        <is>
          <t>X</t>
        </is>
      </c>
      <c r="G155" s="412" t="inlineStr">
        <is>
          <t>Loan Arrangement Profile</t>
        </is>
      </c>
      <c r="H155" s="412" t="inlineStr">
        <is>
          <t>Interest Liquid Arrangement Code /Interest Liquid Arrangement Id</t>
        </is>
      </c>
      <c r="I155" s="412" t="inlineStr">
        <is>
          <t>Map 1:1 từ T24CORE.LD_LOANS_AND_DEPOSITS.INT_LIQ_ACCT sang PG_BRONZE.T24CORE_LD_LOANS_AND_DEPOSITS.INT_LIQ_ACCT</t>
        </is>
      </c>
      <c r="J155" s="410" t="inlineStr">
        <is>
          <t>2025-11-26</t>
        </is>
      </c>
      <c r="K155" s="385" t="inlineStr">
        <is>
          <t>1:1</t>
        </is>
      </c>
      <c r="L155" s="385" t="inlineStr">
        <is>
          <t>PG_BRONZE</t>
        </is>
      </c>
      <c r="M155" s="386" t="inlineStr">
        <is>
          <t>T24CORE_LD_LOANS_AND_DEPOSITS</t>
        </is>
      </c>
      <c r="N155" s="386" t="inlineStr">
        <is>
          <t>INT_LIQ_ACCT</t>
        </is>
      </c>
      <c r="O155" s="385" t="inlineStr">
        <is>
          <t>VARCHAR2</t>
        </is>
      </c>
      <c r="P155" s="420" t="n">
        <v>100</v>
      </c>
      <c r="Q155" s="386">
        <f>"COMMENT ON COLUMN "&amp;L155&amp;"."&amp;M155&amp;"."&amp;N155&amp;" IS '"&amp;E155&amp;"';"</f>
        <v/>
      </c>
      <c r="R155" s="414" t="inlineStr">
        <is>
          <t>Map 1:1 nguyên bản từ T24CORE.LD_LOANS_AND_DEPOSITS.INT_LIQ_ACCT -&gt; PG_BRONZE.T24CORE_LD_LOANS_AND_DEPOSITS.INT_LIQ_ACCT</t>
        </is>
      </c>
    </row>
    <row r="156" ht="14.25" customHeight="1" s="335">
      <c r="A156" s="412">
        <f>B156&amp;C156&amp;D156</f>
        <v/>
      </c>
      <c r="B156" s="412" t="inlineStr">
        <is>
          <t>T24CORE</t>
        </is>
      </c>
      <c r="C156" s="412" t="inlineStr">
        <is>
          <t>LD_LOANS_AND_DEPOSITS</t>
        </is>
      </c>
      <c r="D156" s="412" t="inlineStr">
        <is>
          <t>INT_RATE_TYPE</t>
        </is>
      </c>
      <c r="E156" s="412" t="inlineStr">
        <is>
          <t>Loại lãi suất : Fix , float</t>
        </is>
      </c>
      <c r="F156" s="410" t="inlineStr">
        <is>
          <t>X</t>
        </is>
      </c>
      <c r="G156" s="412" t="inlineStr">
        <is>
          <t>Arrangement Rate History</t>
        </is>
      </c>
      <c r="H156" s="412" t="inlineStr">
        <is>
          <t>Interest Rate Variablity Type Code</t>
        </is>
      </c>
      <c r="I156" s="412" t="inlineStr">
        <is>
          <t>Map 1:1 từ T24CORE.LD_LOANS_AND_DEPOSITS.INT_RATE_TYPE sang PG_BRONZE.T24CORE_LD_LOANS_AND_DEPOSITS.INT_RATE_TYPE</t>
        </is>
      </c>
      <c r="J156" s="410" t="inlineStr">
        <is>
          <t>2025-11-26</t>
        </is>
      </c>
      <c r="K156" s="385" t="inlineStr">
        <is>
          <t>1:1</t>
        </is>
      </c>
      <c r="L156" s="385" t="inlineStr">
        <is>
          <t>PG_BRONZE</t>
        </is>
      </c>
      <c r="M156" s="386" t="inlineStr">
        <is>
          <t>T24CORE_LD_LOANS_AND_DEPOSITS</t>
        </is>
      </c>
      <c r="N156" s="386" t="inlineStr">
        <is>
          <t>INT_RATE_TYPE</t>
        </is>
      </c>
      <c r="O156" s="385" t="inlineStr">
        <is>
          <t>VARCHAR2</t>
        </is>
      </c>
      <c r="P156" s="420" t="n">
        <v>20</v>
      </c>
      <c r="Q156" s="386">
        <f>"COMMENT ON COLUMN "&amp;L156&amp;"."&amp;M156&amp;"."&amp;N156&amp;" IS '"&amp;E156&amp;"';"</f>
        <v/>
      </c>
      <c r="R156" s="414" t="inlineStr">
        <is>
          <t>Map 1:1 nguyên bản từ T24CORE.LD_LOANS_AND_DEPOSITS.INT_RATE_TYPE -&gt; PG_BRONZE.T24CORE_LD_LOANS_AND_DEPOSITS.INT_RATE_TYPE</t>
        </is>
      </c>
    </row>
    <row r="157" ht="14.25" customHeight="1" s="335">
      <c r="A157" s="412">
        <f>B157&amp;C157&amp;D157</f>
        <v/>
      </c>
      <c r="B157" s="412" t="inlineStr">
        <is>
          <t>T24CORE</t>
        </is>
      </c>
      <c r="C157" s="412" t="inlineStr">
        <is>
          <t>LD_LOANS_AND_DEPOSITS</t>
        </is>
      </c>
      <c r="D157" s="412" t="inlineStr">
        <is>
          <t>INT_VALUE_DATE</t>
        </is>
      </c>
      <c r="E157" s="412" t="inlineStr">
        <is>
          <t>Ngày hiệu lực lãi suất</t>
        </is>
      </c>
      <c r="F157" s="410" t="inlineStr">
        <is>
          <t>X</t>
        </is>
      </c>
      <c r="G157" s="412" t="inlineStr">
        <is>
          <t>Arrangement Rate History</t>
        </is>
      </c>
      <c r="H157" s="412" t="inlineStr">
        <is>
          <t>Interest Rate Effective Date</t>
        </is>
      </c>
      <c r="I157" s="412" t="inlineStr">
        <is>
          <t>Map 1:1 từ T24CORE.LD_LOANS_AND_DEPOSITS.INT_VALUE_DATE sang PG_BRONZE.T24CORE_LD_LOANS_AND_DEPOSITS.INT_VALUE_DATE</t>
        </is>
      </c>
      <c r="J157" s="410" t="inlineStr">
        <is>
          <t>2025-11-26</t>
        </is>
      </c>
      <c r="K157" s="385" t="inlineStr">
        <is>
          <t>1:1</t>
        </is>
      </c>
      <c r="L157" s="385" t="inlineStr">
        <is>
          <t>PG_BRONZE</t>
        </is>
      </c>
      <c r="M157" s="386" t="inlineStr">
        <is>
          <t>T24CORE_LD_LOANS_AND_DEPOSITS</t>
        </is>
      </c>
      <c r="N157" s="386" t="inlineStr">
        <is>
          <t>INT_VALUE_DATE</t>
        </is>
      </c>
      <c r="O157" s="385" t="inlineStr">
        <is>
          <t>DATE</t>
        </is>
      </c>
      <c r="P157" s="420" t="n">
        <v>8</v>
      </c>
      <c r="Q157" s="386">
        <f>"COMMENT ON COLUMN "&amp;L157&amp;"."&amp;M157&amp;"."&amp;N157&amp;" IS '"&amp;E157&amp;"';"</f>
        <v/>
      </c>
      <c r="R157" s="414" t="inlineStr">
        <is>
          <t>Map 1:1 nguyên bản từ T24CORE.LD_LOANS_AND_DEPOSITS.INT_VALUE_DATE -&gt; PG_BRONZE.T24CORE_LD_LOANS_AND_DEPOSITS.INT_VALUE_DATE</t>
        </is>
      </c>
    </row>
    <row r="158" ht="14.25" customHeight="1" s="335">
      <c r="A158" s="412">
        <f>B158&amp;C158&amp;D158</f>
        <v/>
      </c>
      <c r="B158" s="412" t="inlineStr">
        <is>
          <t>T24CORE</t>
        </is>
      </c>
      <c r="C158" s="412" t="inlineStr">
        <is>
          <t>LD_LOANS_AND_DEPOSITS</t>
        </is>
      </c>
      <c r="D158" s="412" t="inlineStr">
        <is>
          <t>INTEREST_RATE</t>
        </is>
      </c>
      <c r="E158" s="412" t="inlineStr">
        <is>
          <t>Giá trị lãi suất</t>
        </is>
      </c>
      <c r="F158" s="410" t="inlineStr">
        <is>
          <t>X</t>
        </is>
      </c>
      <c r="G158" s="412" t="inlineStr">
        <is>
          <t>Arrangement Rate History</t>
        </is>
      </c>
      <c r="H158" s="412" t="inlineStr">
        <is>
          <t>Effective Rate Percentage</t>
        </is>
      </c>
      <c r="I158" s="412" t="inlineStr">
        <is>
          <t>Map 1:1 từ T24CORE.LD_LOANS_AND_DEPOSITS.INTEREST_RATE sang PG_BRONZE.T24CORE_LD_LOANS_AND_DEPOSITS.INTEREST_RATE</t>
        </is>
      </c>
      <c r="J158" s="410" t="inlineStr">
        <is>
          <t>2025-11-26</t>
        </is>
      </c>
      <c r="K158" s="385" t="inlineStr">
        <is>
          <t>1:1</t>
        </is>
      </c>
      <c r="L158" s="385" t="inlineStr">
        <is>
          <t>PG_BRONZE</t>
        </is>
      </c>
      <c r="M158" s="386" t="inlineStr">
        <is>
          <t>T24CORE_LD_LOANS_AND_DEPOSITS</t>
        </is>
      </c>
      <c r="N158" s="386" t="inlineStr">
        <is>
          <t>INTEREST_RATE</t>
        </is>
      </c>
      <c r="O158" s="385" t="inlineStr">
        <is>
          <t>NUMBER</t>
        </is>
      </c>
      <c r="P158" s="420" t="n">
        <v>13.7</v>
      </c>
      <c r="Q158" s="386">
        <f>"COMMENT ON COLUMN "&amp;L158&amp;"."&amp;M158&amp;"."&amp;N158&amp;" IS '"&amp;E158&amp;"';"</f>
        <v/>
      </c>
      <c r="R158" s="414" t="inlineStr">
        <is>
          <t>Map 1:1 nguyên bản từ T24CORE.LD_LOANS_AND_DEPOSITS.INTEREST_RATE -&gt; PG_BRONZE.T24CORE_LD_LOANS_AND_DEPOSITS.INTEREST_RATE</t>
        </is>
      </c>
    </row>
    <row r="159" ht="14.25" customHeight="1" s="335">
      <c r="A159" s="412">
        <f>B159&amp;C159&amp;D159</f>
        <v/>
      </c>
      <c r="B159" s="412" t="inlineStr">
        <is>
          <t>T24CORE</t>
        </is>
      </c>
      <c r="C159" s="412" t="inlineStr">
        <is>
          <t>LD_LOANS_AND_DEPOSITS</t>
        </is>
      </c>
      <c r="D159" s="412" t="inlineStr">
        <is>
          <t>INTEREST_SPREAD</t>
        </is>
      </c>
      <c r="E159" s="412" t="inlineStr">
        <is>
          <t>Biên độ lãi suất</t>
        </is>
      </c>
      <c r="F159" s="410" t="inlineStr">
        <is>
          <t>X</t>
        </is>
      </c>
      <c r="G159" s="412" t="inlineStr">
        <is>
          <t>Arrangement Rate History</t>
        </is>
      </c>
      <c r="H159" s="412" t="inlineStr">
        <is>
          <t>Spread Rate Percentage</t>
        </is>
      </c>
      <c r="I159" s="412" t="inlineStr">
        <is>
          <t>Map 1:1 từ T24CORE.LD_LOANS_AND_DEPOSITS.INTEREST_SPREAD sang PG_BRONZE.T24CORE_LD_LOANS_AND_DEPOSITS.INTEREST_SPREAD</t>
        </is>
      </c>
      <c r="J159" s="410" t="inlineStr">
        <is>
          <t>2025-11-26</t>
        </is>
      </c>
      <c r="K159" s="385" t="inlineStr">
        <is>
          <t>1:1</t>
        </is>
      </c>
      <c r="L159" s="385" t="inlineStr">
        <is>
          <t>PG_BRONZE</t>
        </is>
      </c>
      <c r="M159" s="386" t="inlineStr">
        <is>
          <t>T24CORE_LD_LOANS_AND_DEPOSITS</t>
        </is>
      </c>
      <c r="N159" s="386" t="inlineStr">
        <is>
          <t>INTEREST_SPREAD</t>
        </is>
      </c>
      <c r="O159" s="385" t="inlineStr">
        <is>
          <t>NUMBER</t>
        </is>
      </c>
      <c r="P159" s="420" t="n">
        <v>13.7</v>
      </c>
      <c r="Q159" s="386">
        <f>"COMMENT ON COLUMN "&amp;L159&amp;"."&amp;M159&amp;"."&amp;N159&amp;" IS '"&amp;E159&amp;"';"</f>
        <v/>
      </c>
      <c r="R159" s="414" t="inlineStr">
        <is>
          <t>Map 1:1 nguyên bản từ T24CORE.LD_LOANS_AND_DEPOSITS.INTEREST_SPREAD -&gt; PG_BRONZE.T24CORE_LD_LOANS_AND_DEPOSITS.INTEREST_SPREAD</t>
        </is>
      </c>
    </row>
    <row r="160" ht="14.25" customHeight="1" s="335">
      <c r="A160" s="412">
        <f>B160&amp;C160&amp;D160</f>
        <v/>
      </c>
      <c r="B160" s="412" t="inlineStr">
        <is>
          <t>T24CORE</t>
        </is>
      </c>
      <c r="C160" s="412" t="inlineStr">
        <is>
          <t>LD_LOANS_AND_DEPOSITS</t>
        </is>
      </c>
      <c r="D160" s="412" t="inlineStr">
        <is>
          <t>LIMIT_REFERENCE</t>
        </is>
      </c>
      <c r="E160" s="412" t="inlineStr">
        <is>
          <t>Mã tham chiếu hạn mức</t>
        </is>
      </c>
      <c r="F160" s="410" t="inlineStr">
        <is>
          <t>X</t>
        </is>
      </c>
      <c r="G160" s="412" t="inlineStr">
        <is>
          <t>Loan Arrangement</t>
        </is>
      </c>
      <c r="H160" s="412" t="inlineStr">
        <is>
          <t>Limit Id/  Limit Code</t>
        </is>
      </c>
      <c r="I160" s="412" t="inlineStr">
        <is>
          <t>Map 1:1 từ T24CORE.LD_LOANS_AND_DEPOSITS.LIMIT_REFERENCE sang PG_BRONZE.T24CORE_LD_LOANS_AND_DEPOSITS.LIMIT_REFERENCE</t>
        </is>
      </c>
      <c r="J160" s="410" t="inlineStr">
        <is>
          <t>2025-11-26</t>
        </is>
      </c>
      <c r="K160" s="385" t="inlineStr">
        <is>
          <t>1:1</t>
        </is>
      </c>
      <c r="L160" s="385" t="inlineStr">
        <is>
          <t>PG_BRONZE</t>
        </is>
      </c>
      <c r="M160" s="386" t="inlineStr">
        <is>
          <t>T24CORE_LD_LOANS_AND_DEPOSITS</t>
        </is>
      </c>
      <c r="N160" s="386" t="inlineStr">
        <is>
          <t>LIMIT_REFERENCE</t>
        </is>
      </c>
      <c r="O160" s="385" t="inlineStr">
        <is>
          <t>VARCHAR2</t>
        </is>
      </c>
      <c r="P160" s="420" t="n">
        <v>100</v>
      </c>
      <c r="Q160" s="386">
        <f>"COMMENT ON COLUMN "&amp;L160&amp;"."&amp;M160&amp;"."&amp;N160&amp;" IS '"&amp;E160&amp;"';"</f>
        <v/>
      </c>
      <c r="R160" s="414" t="inlineStr">
        <is>
          <t>Map 1:1 nguyên bản từ T24CORE.LD_LOANS_AND_DEPOSITS.LIMIT_REFERENCE -&gt; PG_BRONZE.T24CORE_LD_LOANS_AND_DEPOSITS.LIMIT_REFERENCE</t>
        </is>
      </c>
    </row>
    <row r="161" ht="14.25" customHeight="1" s="335">
      <c r="A161" s="412">
        <f>B161&amp;C161&amp;D161</f>
        <v/>
      </c>
      <c r="B161" s="412" t="inlineStr">
        <is>
          <t>T24CORE</t>
        </is>
      </c>
      <c r="C161" s="412" t="inlineStr">
        <is>
          <t>LD_LOANS_AND_DEPOSITS</t>
        </is>
      </c>
      <c r="D161" s="412" t="inlineStr">
        <is>
          <t>LOC_TERM</t>
        </is>
      </c>
      <c r="E161" s="412" t="inlineStr">
        <is>
          <t>Kỳ hạn</t>
        </is>
      </c>
      <c r="F161" s="410" t="inlineStr">
        <is>
          <t>X</t>
        </is>
      </c>
      <c r="G161" s="412" t="inlineStr">
        <is>
          <t>Loan Arrangement</t>
        </is>
      </c>
      <c r="H161" s="412" t="inlineStr">
        <is>
          <t>Term Code</t>
        </is>
      </c>
      <c r="I161" s="412" t="inlineStr">
        <is>
          <t>Map 1:1 từ T24CORE.LD_LOANS_AND_DEPOSITS.LOC_TERM sang PG_BRONZE.T24CORE_LD_LOANS_AND_DEPOSITS.LOC_TERM</t>
        </is>
      </c>
      <c r="J161" s="410" t="inlineStr">
        <is>
          <t>2025-11-26</t>
        </is>
      </c>
      <c r="K161" s="385" t="inlineStr">
        <is>
          <t>1:1</t>
        </is>
      </c>
      <c r="L161" s="385" t="inlineStr">
        <is>
          <t>PG_BRONZE</t>
        </is>
      </c>
      <c r="M161" s="386" t="inlineStr">
        <is>
          <t>T24CORE_LD_LOANS_AND_DEPOSITS</t>
        </is>
      </c>
      <c r="N161" s="386" t="inlineStr">
        <is>
          <t>LOC_TERM</t>
        </is>
      </c>
      <c r="O161" s="385" t="inlineStr">
        <is>
          <t>VARCHAR2</t>
        </is>
      </c>
      <c r="P161" s="420" t="n">
        <v>100</v>
      </c>
      <c r="Q161" s="386">
        <f>"COMMENT ON COLUMN "&amp;L161&amp;"."&amp;M161&amp;"."&amp;N161&amp;" IS '"&amp;E161&amp;"';"</f>
        <v/>
      </c>
      <c r="R161" s="414" t="inlineStr">
        <is>
          <t>Map 1:1 nguyên bản từ T24CORE.LD_LOANS_AND_DEPOSITS.LOC_TERM -&gt; PG_BRONZE.T24CORE_LD_LOANS_AND_DEPOSITS.LOC_TERM</t>
        </is>
      </c>
    </row>
    <row r="162" ht="14.25" customHeight="1" s="335">
      <c r="A162" s="412">
        <f>B162&amp;C162&amp;D162</f>
        <v/>
      </c>
      <c r="B162" s="412" t="inlineStr">
        <is>
          <t>T24CORE</t>
        </is>
      </c>
      <c r="C162" s="412" t="inlineStr">
        <is>
          <t>LD_LOANS_AND_DEPOSITS</t>
        </is>
      </c>
      <c r="D162" s="412" t="inlineStr">
        <is>
          <t>LOS_FAC_CODE</t>
        </is>
      </c>
      <c r="E162" s="412" t="inlineStr">
        <is>
          <t>Số hồ sơ</t>
        </is>
      </c>
      <c r="F162" s="410" t="inlineStr">
        <is>
          <t>X</t>
        </is>
      </c>
      <c r="G162" s="412" t="inlineStr">
        <is>
          <t>Loan Arrangement</t>
        </is>
      </c>
      <c r="H162" s="412" t="inlineStr">
        <is>
          <t>LOS Contract Number</t>
        </is>
      </c>
      <c r="I162" s="412" t="inlineStr">
        <is>
          <t>Map 1:1 từ T24CORE.LD_LOANS_AND_DEPOSITS.LOS_FAC_CODE sang PG_BRONZE.T24CORE_LD_LOANS_AND_DEPOSITS.LOS_FAC_CODE</t>
        </is>
      </c>
      <c r="J162" s="410" t="inlineStr">
        <is>
          <t>2025-11-26</t>
        </is>
      </c>
      <c r="K162" s="385" t="inlineStr">
        <is>
          <t>1:1</t>
        </is>
      </c>
      <c r="L162" s="385" t="inlineStr">
        <is>
          <t>PG_BRONZE</t>
        </is>
      </c>
      <c r="M162" s="386" t="inlineStr">
        <is>
          <t>T24CORE_LD_LOANS_AND_DEPOSITS</t>
        </is>
      </c>
      <c r="N162" s="386" t="inlineStr">
        <is>
          <t>LOS_FAC_CODE</t>
        </is>
      </c>
      <c r="O162" s="385" t="inlineStr">
        <is>
          <t>VARCHAR2</t>
        </is>
      </c>
      <c r="P162" s="420" t="n">
        <v>100</v>
      </c>
      <c r="Q162" s="386">
        <f>"COMMENT ON COLUMN "&amp;L162&amp;"."&amp;M162&amp;"."&amp;N162&amp;" IS '"&amp;E162&amp;"';"</f>
        <v/>
      </c>
      <c r="R162" s="414" t="inlineStr">
        <is>
          <t>Map 1:1 nguyên bản từ T24CORE.LD_LOANS_AND_DEPOSITS.LOS_FAC_CODE -&gt; PG_BRONZE.T24CORE_LD_LOANS_AND_DEPOSITS.LOS_FAC_CODE</t>
        </is>
      </c>
    </row>
    <row r="163" ht="14.25" customHeight="1" s="335">
      <c r="A163" s="412">
        <f>B163&amp;C163&amp;D163</f>
        <v/>
      </c>
      <c r="B163" s="412" t="inlineStr">
        <is>
          <t>T24CORE</t>
        </is>
      </c>
      <c r="C163" s="412" t="inlineStr">
        <is>
          <t>LD_LOANS_AND_DEPOSITS</t>
        </is>
      </c>
      <c r="D163" s="421" t="inlineStr">
        <is>
          <t>MB_RM_BANCHEO</t>
        </is>
      </c>
      <c r="E163" s="421" t="inlineStr">
        <is>
          <t>ID nhân viên giới thiệu</t>
        </is>
      </c>
      <c r="F163" s="422" t="inlineStr">
        <is>
          <t>X</t>
        </is>
      </c>
      <c r="G163" s="421" t="inlineStr">
        <is>
          <t>Arrangement x Involved Party Relationship</t>
        </is>
      </c>
      <c r="H163" s="421" t="inlineStr">
        <is>
          <t>Referrer Officer</t>
        </is>
      </c>
      <c r="I163" s="412" t="inlineStr">
        <is>
          <t>Map 1:1 từ T24CORE.LD_LOANS_AND_DEPOSITS.MB_RM_BANCHEO sang PG_BRONZE.T24CORE_LD_LOANS_AND_DEPOSITS.MB_RM_BANCHEO</t>
        </is>
      </c>
      <c r="J163" s="410" t="inlineStr">
        <is>
          <t>2025-11-26</t>
        </is>
      </c>
      <c r="K163" s="385" t="inlineStr">
        <is>
          <t>1:1</t>
        </is>
      </c>
      <c r="L163" s="385" t="inlineStr">
        <is>
          <t>PG_BRONZE</t>
        </is>
      </c>
      <c r="M163" s="386" t="inlineStr">
        <is>
          <t>T24CORE_LD_LOANS_AND_DEPOSITS</t>
        </is>
      </c>
      <c r="N163" s="386" t="inlineStr">
        <is>
          <t>MB_RM_BANCHEO</t>
        </is>
      </c>
      <c r="O163" s="385" t="inlineStr">
        <is>
          <t>VARCHAR2</t>
        </is>
      </c>
      <c r="P163" s="420" t="n">
        <v>100</v>
      </c>
      <c r="Q163" s="386">
        <f>"COMMENT ON COLUMN "&amp;L163&amp;"."&amp;M163&amp;"."&amp;N163&amp;" IS '"&amp;E163&amp;"';"</f>
        <v/>
      </c>
      <c r="R163" s="414" t="inlineStr">
        <is>
          <t>Map 1:1 nguyên bản từ T24CORE.LD_LOANS_AND_DEPOSITS.MB_RM_BANCHEO -&gt; PG_BRONZE.T24CORE_LD_LOANS_AND_DEPOSITS.MB_RM_BANCHEO</t>
        </is>
      </c>
    </row>
    <row r="164" ht="14.25" customHeight="1" s="335">
      <c r="A164" s="412">
        <f>B164&amp;C164&amp;D164</f>
        <v/>
      </c>
      <c r="B164" s="412" t="inlineStr">
        <is>
          <t>T24CORE</t>
        </is>
      </c>
      <c r="C164" s="412" t="inlineStr">
        <is>
          <t>LD_LOANS_AND_DEPOSITS</t>
        </is>
      </c>
      <c r="D164" s="412" t="inlineStr">
        <is>
          <t>ORIG_VAL_DATE</t>
        </is>
      </c>
      <c r="E164" s="412" t="inlineStr">
        <is>
          <t>Ngày hiệu lực đầu tiên của hợp đồng</t>
        </is>
      </c>
      <c r="F164" s="410" t="inlineStr">
        <is>
          <t>X</t>
        </is>
      </c>
      <c r="G164" s="412" t="inlineStr">
        <is>
          <t>Loan Arrangement</t>
        </is>
      </c>
      <c r="H164" s="412" t="inlineStr">
        <is>
          <t>Value Date</t>
        </is>
      </c>
      <c r="I164" s="412" t="inlineStr">
        <is>
          <t>Map 1:1 từ T24CORE.LD_LOANS_AND_DEPOSITS.ORIG_VAL_DATE sang PG_BRONZE.T24CORE_LD_LOANS_AND_DEPOSITS.ORIG_VAL_DATE</t>
        </is>
      </c>
      <c r="J164" s="410" t="inlineStr">
        <is>
          <t>2025-11-26</t>
        </is>
      </c>
      <c r="K164" s="385" t="inlineStr">
        <is>
          <t>1:1</t>
        </is>
      </c>
      <c r="L164" s="385" t="inlineStr">
        <is>
          <t>PG_BRONZE</t>
        </is>
      </c>
      <c r="M164" s="386" t="inlineStr">
        <is>
          <t>T24CORE_LD_LOANS_AND_DEPOSITS</t>
        </is>
      </c>
      <c r="N164" s="386" t="inlineStr">
        <is>
          <t>ORIG_VAL_DATE</t>
        </is>
      </c>
      <c r="O164" s="385" t="inlineStr">
        <is>
          <t>DATE</t>
        </is>
      </c>
      <c r="P164" s="420" t="n">
        <v>8</v>
      </c>
      <c r="Q164" s="386">
        <f>"COMMENT ON COLUMN "&amp;L164&amp;"."&amp;M164&amp;"."&amp;N164&amp;" IS '"&amp;E164&amp;"';"</f>
        <v/>
      </c>
      <c r="R164" s="414" t="inlineStr">
        <is>
          <t>Map 1:1 nguyên bản từ T24CORE.LD_LOANS_AND_DEPOSITS.ORIG_VAL_DATE -&gt; PG_BRONZE.T24CORE_LD_LOANS_AND_DEPOSITS.ORIG_VAL_DATE</t>
        </is>
      </c>
    </row>
    <row r="165" ht="14.25" customHeight="1" s="335">
      <c r="A165" s="412">
        <f>B165&amp;C165&amp;D165</f>
        <v/>
      </c>
      <c r="B165" s="412" t="inlineStr">
        <is>
          <t>T24CORE</t>
        </is>
      </c>
      <c r="C165" s="412" t="inlineStr">
        <is>
          <t>LD_LOANS_AND_DEPOSITS</t>
        </is>
      </c>
      <c r="D165" s="412" t="inlineStr">
        <is>
          <t>PE_RATE</t>
        </is>
      </c>
      <c r="E165" s="412" t="inlineStr">
        <is>
          <t>Lãi phạt penalty rate</t>
        </is>
      </c>
      <c r="F165" s="410" t="inlineStr">
        <is>
          <t>X</t>
        </is>
      </c>
      <c r="G165" s="412" t="inlineStr">
        <is>
          <t>Arrangement Rate History</t>
        </is>
      </c>
      <c r="H165" s="412" t="inlineStr">
        <is>
          <t>Penalty Rate</t>
        </is>
      </c>
      <c r="I165" s="412" t="inlineStr">
        <is>
          <t>Map 1:1 từ T24CORE.LD_LOANS_AND_DEPOSITS.PE_RATE sang PG_BRONZE.T24CORE_LD_LOANS_AND_DEPOSITS.PE_RATE</t>
        </is>
      </c>
      <c r="J165" s="410" t="inlineStr">
        <is>
          <t>2025-11-26</t>
        </is>
      </c>
      <c r="K165" s="385" t="inlineStr">
        <is>
          <t>1:1</t>
        </is>
      </c>
      <c r="L165" s="385" t="inlineStr">
        <is>
          <t>PG_BRONZE</t>
        </is>
      </c>
      <c r="M165" s="386" t="inlineStr">
        <is>
          <t>T24CORE_LD_LOANS_AND_DEPOSITS</t>
        </is>
      </c>
      <c r="N165" s="386" t="inlineStr">
        <is>
          <t>PE_RATE</t>
        </is>
      </c>
      <c r="O165" s="385" t="inlineStr">
        <is>
          <t>NUMBER</t>
        </is>
      </c>
      <c r="P165" s="420" t="n">
        <v>13.7</v>
      </c>
      <c r="Q165" s="386">
        <f>"COMMENT ON COLUMN "&amp;L165&amp;"."&amp;M165&amp;"."&amp;N165&amp;" IS '"&amp;E165&amp;"';"</f>
        <v/>
      </c>
      <c r="R165" s="414" t="inlineStr">
        <is>
          <t>Map 1:1 nguyên bản từ T24CORE.LD_LOANS_AND_DEPOSITS.PE_RATE -&gt; PG_BRONZE.T24CORE_LD_LOANS_AND_DEPOSITS.PE_RATE</t>
        </is>
      </c>
    </row>
    <row r="166" ht="14.25" customHeight="1" s="335">
      <c r="A166" s="412">
        <f>B166&amp;C166&amp;D166</f>
        <v/>
      </c>
      <c r="B166" s="412" t="inlineStr">
        <is>
          <t>T24CORE</t>
        </is>
      </c>
      <c r="C166" s="412" t="inlineStr">
        <is>
          <t>LD_LOANS_AND_DEPOSITS</t>
        </is>
      </c>
      <c r="D166" s="412" t="inlineStr">
        <is>
          <t>PRIN_LIQ_ACCT</t>
        </is>
      </c>
      <c r="E166" s="412" t="inlineStr">
        <is>
          <t>Tài khoản thanh toán gốc</t>
        </is>
      </c>
      <c r="F166" s="410" t="inlineStr">
        <is>
          <t>X</t>
        </is>
      </c>
      <c r="G166" s="412" t="inlineStr">
        <is>
          <t>Loan Arrangement Profile</t>
        </is>
      </c>
      <c r="H166" s="412" t="inlineStr">
        <is>
          <t>Principal Liquid Arrangement Code / Principal Liquid Arrangement Id</t>
        </is>
      </c>
      <c r="I166" s="412" t="inlineStr">
        <is>
          <t>Map 1:1 từ T24CORE.LD_LOANS_AND_DEPOSITS.PRIN_LIQ_ACCT sang PG_BRONZE.T24CORE_LD_LOANS_AND_DEPOSITS.PRIN_LIQ_ACCT</t>
        </is>
      </c>
      <c r="J166" s="410" t="inlineStr">
        <is>
          <t>2025-11-26</t>
        </is>
      </c>
      <c r="K166" s="385" t="inlineStr">
        <is>
          <t>1:1</t>
        </is>
      </c>
      <c r="L166" s="385" t="inlineStr">
        <is>
          <t>PG_BRONZE</t>
        </is>
      </c>
      <c r="M166" s="386" t="inlineStr">
        <is>
          <t>T24CORE_LD_LOANS_AND_DEPOSITS</t>
        </is>
      </c>
      <c r="N166" s="386" t="inlineStr">
        <is>
          <t>PRIN_LIQ_ACCT</t>
        </is>
      </c>
      <c r="O166" s="385" t="inlineStr">
        <is>
          <t>VARCHAR2</t>
        </is>
      </c>
      <c r="P166" s="420" t="n">
        <v>100</v>
      </c>
      <c r="Q166" s="386">
        <f>"COMMENT ON COLUMN "&amp;L166&amp;"."&amp;M166&amp;"."&amp;N166&amp;" IS '"&amp;E166&amp;"';"</f>
        <v/>
      </c>
      <c r="R166" s="414" t="inlineStr">
        <is>
          <t>Map 1:1 nguyên bản từ T24CORE.LD_LOANS_AND_DEPOSITS.PRIN_LIQ_ACCT -&gt; PG_BRONZE.T24CORE_LD_LOANS_AND_DEPOSITS.PRIN_LIQ_ACCT</t>
        </is>
      </c>
    </row>
    <row r="167" ht="14.25" customHeight="1" s="335">
      <c r="A167" s="412">
        <f>B167&amp;C167&amp;D167</f>
        <v/>
      </c>
      <c r="B167" s="412" t="inlineStr">
        <is>
          <t>T24CORE</t>
        </is>
      </c>
      <c r="C167" s="412" t="inlineStr">
        <is>
          <t>LD_LOANS_AND_DEPOSITS</t>
        </is>
      </c>
      <c r="D167" s="412" t="inlineStr">
        <is>
          <t>PRODUCTGR_CODE</t>
        </is>
      </c>
      <c r="E167" s="412" t="inlineStr">
        <is>
          <t>Mã nhóm sản phẩm</t>
        </is>
      </c>
      <c r="F167" s="410" t="inlineStr">
        <is>
          <t>X</t>
        </is>
      </c>
      <c r="G167" s="412" t="inlineStr">
        <is>
          <t>Loan Arrangement</t>
        </is>
      </c>
      <c r="H167" s="412" t="inlineStr">
        <is>
          <t>Product Code</t>
        </is>
      </c>
      <c r="I167" s="412" t="inlineStr">
        <is>
          <t>Map 1:1 từ T24CORE.LD_LOANS_AND_DEPOSITS.PRODUCTGR_CODE sang PG_BRONZE.T24CORE_LD_LOANS_AND_DEPOSITS.PRODUCTGR_CODE</t>
        </is>
      </c>
      <c r="J167" s="410" t="inlineStr">
        <is>
          <t>2025-11-26</t>
        </is>
      </c>
      <c r="K167" s="385" t="inlineStr">
        <is>
          <t>1:1</t>
        </is>
      </c>
      <c r="L167" s="385" t="inlineStr">
        <is>
          <t>PG_BRONZE</t>
        </is>
      </c>
      <c r="M167" s="386" t="inlineStr">
        <is>
          <t>T24CORE_LD_LOANS_AND_DEPOSITS</t>
        </is>
      </c>
      <c r="N167" s="386" t="inlineStr">
        <is>
          <t>PRODUCTGR_CODE</t>
        </is>
      </c>
      <c r="O167" s="385" t="inlineStr">
        <is>
          <t>VARCHAR2</t>
        </is>
      </c>
      <c r="P167" s="420" t="n">
        <v>100</v>
      </c>
      <c r="Q167" s="386">
        <f>"COMMENT ON COLUMN "&amp;L167&amp;"."&amp;M167&amp;"."&amp;N167&amp;" IS '"&amp;E167&amp;"';"</f>
        <v/>
      </c>
      <c r="R167" s="414" t="inlineStr">
        <is>
          <t>Map 1:1 nguyên bản từ T24CORE.LD_LOANS_AND_DEPOSITS.PRODUCTGR_CODE -&gt; PG_BRONZE.T24CORE_LD_LOANS_AND_DEPOSITS.PRODUCTGR_CODE</t>
        </is>
      </c>
    </row>
    <row r="168" ht="14.25" customHeight="1" s="335">
      <c r="A168" s="412">
        <f>B168&amp;C168&amp;D168</f>
        <v/>
      </c>
      <c r="B168" s="412" t="inlineStr">
        <is>
          <t>T24CORE</t>
        </is>
      </c>
      <c r="C168" s="412" t="inlineStr">
        <is>
          <t>LD_LOANS_AND_DEPOSITS</t>
        </is>
      </c>
      <c r="D168" s="412" t="inlineStr">
        <is>
          <t>PS_RATE</t>
        </is>
      </c>
      <c r="E168" s="412" t="inlineStr">
        <is>
          <t>Lãi suất cho quá hạn</t>
        </is>
      </c>
      <c r="F168" s="410" t="inlineStr">
        <is>
          <t>X</t>
        </is>
      </c>
      <c r="G168" s="412" t="inlineStr">
        <is>
          <t>Arrangement Rate History</t>
        </is>
      </c>
      <c r="H168" s="412" t="inlineStr">
        <is>
          <t>Overdue Interest Rate</t>
        </is>
      </c>
      <c r="I168" s="412" t="inlineStr">
        <is>
          <t>Map 1:1 từ T24CORE.LD_LOANS_AND_DEPOSITS.PS_RATE sang PG_BRONZE.T24CORE_LD_LOANS_AND_DEPOSITS.PS_RATE</t>
        </is>
      </c>
      <c r="J168" s="419" t="inlineStr">
        <is>
          <t>2025-11-26</t>
        </is>
      </c>
      <c r="K168" s="385" t="inlineStr">
        <is>
          <t>1:1</t>
        </is>
      </c>
      <c r="L168" s="385" t="inlineStr">
        <is>
          <t>PG_BRONZE</t>
        </is>
      </c>
      <c r="M168" s="386" t="inlineStr">
        <is>
          <t>T24CORE_LD_LOANS_AND_DEPOSITS</t>
        </is>
      </c>
      <c r="N168" s="386" t="inlineStr">
        <is>
          <t>PS_RATE</t>
        </is>
      </c>
      <c r="O168" s="385" t="inlineStr">
        <is>
          <t>NUMBER</t>
        </is>
      </c>
      <c r="P168" s="420" t="n">
        <v>13.7</v>
      </c>
      <c r="Q168" s="386">
        <f>"COMMENT ON COLUMN "&amp;L168&amp;"."&amp;M168&amp;"."&amp;N168&amp;" IS '"&amp;E168&amp;"';"</f>
        <v/>
      </c>
      <c r="R168" s="414" t="inlineStr">
        <is>
          <t>Map 1:1 nguyên bản từ T24CORE.LD_LOANS_AND_DEPOSITS.PS_RATE -&gt; PG_BRONZE.T24CORE_LD_LOANS_AND_DEPOSITS.PS_RATE</t>
        </is>
      </c>
    </row>
    <row r="169" ht="14.25" customHeight="1" s="335">
      <c r="A169" s="412">
        <f>B169&amp;C169&amp;D169</f>
        <v/>
      </c>
      <c r="B169" s="412" t="inlineStr">
        <is>
          <t>T24CORE</t>
        </is>
      </c>
      <c r="C169" s="412" t="inlineStr">
        <is>
          <t>LD_LOANS_AND_DEPOSITS</t>
        </is>
      </c>
      <c r="D169" s="412" t="inlineStr">
        <is>
          <t>REAL_RATE</t>
        </is>
      </c>
      <c r="E169" s="412" t="inlineStr">
        <is>
          <t>Lãi suât thực tế</t>
        </is>
      </c>
      <c r="F169" s="410" t="inlineStr">
        <is>
          <t>X</t>
        </is>
      </c>
      <c r="G169" s="412" t="inlineStr">
        <is>
          <t>Loan Arrangement / Profile / sk_lich_tra_no</t>
        </is>
      </c>
      <c r="H169" s="412" t="inlineStr">
        <is>
          <t>Real Rate</t>
        </is>
      </c>
      <c r="I169" s="412" t="inlineStr">
        <is>
          <t>Map 1:1 từ T24CORE.LD_LOANS_AND_DEPOSITS.REAL_RATE sang PG_BRONZE.T24CORE_LD_LOANS_AND_DEPOSITS.REAL_RATE</t>
        </is>
      </c>
      <c r="J169" s="410" t="inlineStr">
        <is>
          <t>2025-11-26</t>
        </is>
      </c>
      <c r="K169" s="385" t="inlineStr">
        <is>
          <t>1:1</t>
        </is>
      </c>
      <c r="L169" s="385" t="inlineStr">
        <is>
          <t>PG_BRONZE</t>
        </is>
      </c>
      <c r="M169" s="386" t="inlineStr">
        <is>
          <t>T24CORE_LD_LOANS_AND_DEPOSITS</t>
        </is>
      </c>
      <c r="N169" s="386" t="inlineStr">
        <is>
          <t>REAL_RATE</t>
        </is>
      </c>
      <c r="O169" s="385" t="inlineStr">
        <is>
          <t>NUMBER</t>
        </is>
      </c>
      <c r="P169" s="420" t="n">
        <v>13.7</v>
      </c>
      <c r="Q169" s="386">
        <f>"COMMENT ON COLUMN "&amp;L169&amp;"."&amp;M169&amp;"."&amp;N169&amp;" IS '"&amp;E169&amp;"';"</f>
        <v/>
      </c>
      <c r="R169" s="414" t="inlineStr">
        <is>
          <t>Map 1:1 nguyên bản từ T24CORE.LD_LOANS_AND_DEPOSITS.REAL_RATE -&gt; PG_BRONZE.T24CORE_LD_LOANS_AND_DEPOSITS.REAL_RATE</t>
        </is>
      </c>
    </row>
    <row r="170" ht="14.25" customHeight="1" s="335">
      <c r="A170" s="412">
        <f>B170&amp;C170&amp;D170</f>
        <v/>
      </c>
      <c r="B170" s="412" t="inlineStr">
        <is>
          <t>T24CORE</t>
        </is>
      </c>
      <c r="C170" s="412" t="inlineStr">
        <is>
          <t>LD_LOANS_AND_DEPOSITS</t>
        </is>
      </c>
      <c r="D170" s="412" t="inlineStr">
        <is>
          <t>RECID</t>
        </is>
      </c>
      <c r="E170" s="412" t="inlineStr">
        <is>
          <t>Mã hợp đồng</t>
        </is>
      </c>
      <c r="F170" s="410" t="inlineStr">
        <is>
          <t>X</t>
        </is>
      </c>
      <c r="G170" s="412" t="inlineStr">
        <is>
          <t>Loan Arrangement</t>
        </is>
      </c>
      <c r="H170" s="412" t="inlineStr">
        <is>
          <t>Arrangement Code</t>
        </is>
      </c>
      <c r="I170" s="412" t="inlineStr">
        <is>
          <t>Map 1:1 từ T24CORE.LD_LOANS_AND_DEPOSITS.RECID sang PG_BRONZE.T24CORE_LD_LOANS_AND_DEPOSITS.RECID</t>
        </is>
      </c>
      <c r="J170" s="410" t="inlineStr">
        <is>
          <t>2025-11-26</t>
        </is>
      </c>
      <c r="K170" s="385" t="inlineStr">
        <is>
          <t>1:1</t>
        </is>
      </c>
      <c r="L170" s="385" t="inlineStr">
        <is>
          <t>PG_BRONZE</t>
        </is>
      </c>
      <c r="M170" s="386" t="inlineStr">
        <is>
          <t>T24CORE_LD_LOANS_AND_DEPOSITS</t>
        </is>
      </c>
      <c r="N170" s="386" t="inlineStr">
        <is>
          <t>RECID</t>
        </is>
      </c>
      <c r="O170" s="385" t="inlineStr">
        <is>
          <t>VARCHAR2</t>
        </is>
      </c>
      <c r="P170" s="420" t="n">
        <v>100</v>
      </c>
      <c r="Q170" s="386">
        <f>"COMMENT ON COLUMN "&amp;L170&amp;"."&amp;M170&amp;"."&amp;N170&amp;" IS '"&amp;E170&amp;"';"</f>
        <v/>
      </c>
      <c r="R170" s="414" t="inlineStr">
        <is>
          <t>Map 1:1 nguyên bản từ T24CORE.LD_LOANS_AND_DEPOSITS.RECID -&gt; PG_BRONZE.T24CORE_LD_LOANS_AND_DEPOSITS.RECID</t>
        </is>
      </c>
    </row>
    <row r="171" ht="14.25" customHeight="1" s="335">
      <c r="A171" s="412">
        <f>B171&amp;C171&amp;D171</f>
        <v/>
      </c>
      <c r="B171" s="412" t="inlineStr">
        <is>
          <t>T24CORE</t>
        </is>
      </c>
      <c r="C171" s="412" t="inlineStr">
        <is>
          <t>LD_LOANS_AND_DEPOSITS</t>
        </is>
      </c>
      <c r="D171" s="412" t="inlineStr">
        <is>
          <t>RECORD_STATUS</t>
        </is>
      </c>
      <c r="E171" s="412" t="inlineStr">
        <is>
          <t>Trạng thái bản ghi</t>
        </is>
      </c>
      <c r="F171" s="410" t="inlineStr">
        <is>
          <t>X</t>
        </is>
      </c>
      <c r="G171" s="412" t="inlineStr">
        <is>
          <t>Loan Arrangement / Profile / sk_lich_tra_no</t>
        </is>
      </c>
      <c r="H171" s="412" t="inlineStr">
        <is>
          <t>Record Status</t>
        </is>
      </c>
      <c r="I171" s="412" t="inlineStr">
        <is>
          <t>Map 1:1 từ T24CORE.LD_LOANS_AND_DEPOSITS.RECORD_STATUS sang PG_BRONZE.T24CORE_LD_LOANS_AND_DEPOSITS.RECORD_STATUS</t>
        </is>
      </c>
      <c r="J171" s="410" t="inlineStr">
        <is>
          <t>2025-11-26</t>
        </is>
      </c>
      <c r="K171" s="385" t="inlineStr">
        <is>
          <t>1:1</t>
        </is>
      </c>
      <c r="L171" s="385" t="inlineStr">
        <is>
          <t>PG_BRONZE</t>
        </is>
      </c>
      <c r="M171" s="386" t="inlineStr">
        <is>
          <t>T24CORE_LD_LOANS_AND_DEPOSITS</t>
        </is>
      </c>
      <c r="N171" s="386" t="inlineStr">
        <is>
          <t>RECORD_STATUS</t>
        </is>
      </c>
      <c r="O171" s="385" t="inlineStr">
        <is>
          <t>VARCHAR2</t>
        </is>
      </c>
      <c r="P171" s="420" t="n">
        <v>100</v>
      </c>
      <c r="Q171" s="386">
        <f>"COMMENT ON COLUMN "&amp;L171&amp;"."&amp;M171&amp;"."&amp;N171&amp;" IS '"&amp;E171&amp;"';"</f>
        <v/>
      </c>
      <c r="R171" s="414" t="inlineStr">
        <is>
          <t>Map 1:1 nguyên bản từ T24CORE.LD_LOANS_AND_DEPOSITS.RECORD_STATUS -&gt; PG_BRONZE.T24CORE_LD_LOANS_AND_DEPOSITS.RECORD_STATUS</t>
        </is>
      </c>
    </row>
    <row r="172" ht="14.25" customHeight="1" s="335">
      <c r="A172" s="412">
        <f>B172&amp;C172&amp;D172</f>
        <v/>
      </c>
      <c r="B172" s="412" t="inlineStr">
        <is>
          <t>T24CORE</t>
        </is>
      </c>
      <c r="C172" s="412" t="inlineStr">
        <is>
          <t>LD_LOANS_AND_DEPOSITS</t>
        </is>
      </c>
      <c r="D172" s="412" t="inlineStr">
        <is>
          <t>STATUS</t>
        </is>
      </c>
      <c r="E172" s="412" t="inlineStr">
        <is>
          <t>Trạng thái</t>
        </is>
      </c>
      <c r="F172" s="410" t="inlineStr">
        <is>
          <t>X</t>
        </is>
      </c>
      <c r="G172" s="412" t="inlineStr">
        <is>
          <t>Loan Arrangement Profile</t>
        </is>
      </c>
      <c r="H172" s="412" t="inlineStr">
        <is>
          <t>Arrangement Life Cycle Status Type Code</t>
        </is>
      </c>
      <c r="I172" s="412" t="inlineStr">
        <is>
          <t>Map 1:1 từ T24CORE.LD_LOANS_AND_DEPOSITS.STATUS sang PG_BRONZE.T24CORE_LD_LOANS_AND_DEPOSITS.STATUS</t>
        </is>
      </c>
      <c r="J172" s="410" t="inlineStr">
        <is>
          <t>2025-11-26</t>
        </is>
      </c>
      <c r="K172" s="385" t="inlineStr">
        <is>
          <t>1:1</t>
        </is>
      </c>
      <c r="L172" s="385" t="inlineStr">
        <is>
          <t>PG_BRONZE</t>
        </is>
      </c>
      <c r="M172" s="386" t="inlineStr">
        <is>
          <t>T24CORE_LD_LOANS_AND_DEPOSITS</t>
        </is>
      </c>
      <c r="N172" s="386" t="inlineStr">
        <is>
          <t>STATUS</t>
        </is>
      </c>
      <c r="O172" s="385" t="inlineStr">
        <is>
          <t>VARCHAR2</t>
        </is>
      </c>
      <c r="P172" s="420" t="n">
        <v>100</v>
      </c>
      <c r="Q172" s="386">
        <f>"COMMENT ON COLUMN "&amp;L172&amp;"."&amp;M172&amp;"."&amp;N172&amp;" IS '"&amp;E172&amp;"';"</f>
        <v/>
      </c>
      <c r="R172" s="414" t="inlineStr">
        <is>
          <t>Map 1:1 nguyên bản từ T24CORE.LD_LOANS_AND_DEPOSITS.STATUS -&gt; PG_BRONZE.T24CORE_LD_LOANS_AND_DEPOSITS.STATUS</t>
        </is>
      </c>
    </row>
    <row r="173" ht="14.25" customHeight="1" s="335">
      <c r="A173" s="412">
        <f>B173&amp;C173&amp;D173</f>
        <v/>
      </c>
      <c r="B173" s="412" t="inlineStr">
        <is>
          <t>T24CORE</t>
        </is>
      </c>
      <c r="C173" s="412" t="inlineStr">
        <is>
          <t>LD_LOANS_AND_DEPOSITS</t>
        </is>
      </c>
      <c r="D173" s="412" t="inlineStr">
        <is>
          <t>USE_OF_LOAN</t>
        </is>
      </c>
      <c r="E173" s="412" t="inlineStr">
        <is>
          <t>Mã mục đích vay</t>
        </is>
      </c>
      <c r="F173" s="410" t="inlineStr">
        <is>
          <t>X</t>
        </is>
      </c>
      <c r="G173" s="412" t="inlineStr">
        <is>
          <t>Loan Arrangement</t>
        </is>
      </c>
      <c r="H173" s="412" t="inlineStr">
        <is>
          <t>Arrangement Purpose Type Code</t>
        </is>
      </c>
      <c r="I173" s="412" t="inlineStr">
        <is>
          <t>Map 1:1 từ T24CORE.LD_LOANS_AND_DEPOSITS.USE_OF_LOAN sang PG_BRONZE.T24CORE_LD_LOANS_AND_DEPOSITS.USE_OF_LOAN</t>
        </is>
      </c>
      <c r="J173" s="410" t="inlineStr">
        <is>
          <t>2025-11-26</t>
        </is>
      </c>
      <c r="K173" s="385" t="inlineStr">
        <is>
          <t>1:1</t>
        </is>
      </c>
      <c r="L173" s="385" t="inlineStr">
        <is>
          <t>PG_BRONZE</t>
        </is>
      </c>
      <c r="M173" s="386" t="inlineStr">
        <is>
          <t>T24CORE_LD_LOANS_AND_DEPOSITS</t>
        </is>
      </c>
      <c r="N173" s="386" t="inlineStr">
        <is>
          <t>USE_OF_LOAN</t>
        </is>
      </c>
      <c r="O173" s="385" t="inlineStr">
        <is>
          <t>VARCHAR2</t>
        </is>
      </c>
      <c r="P173" s="420" t="n">
        <v>100</v>
      </c>
      <c r="Q173" s="386">
        <f>"COMMENT ON COLUMN "&amp;L173&amp;"."&amp;M173&amp;"."&amp;N173&amp;" IS '"&amp;E173&amp;"';"</f>
        <v/>
      </c>
      <c r="R173" s="414" t="inlineStr">
        <is>
          <t>Map 1:1 nguyên bản từ T24CORE.LD_LOANS_AND_DEPOSITS.USE_OF_LOAN -&gt; PG_BRONZE.T24CORE_LD_LOANS_AND_DEPOSITS.USE_OF_LOAN</t>
        </is>
      </c>
    </row>
    <row r="174" ht="14.25" customHeight="1" s="335">
      <c r="A174" s="412">
        <f>B174&amp;C174&amp;D174</f>
        <v/>
      </c>
      <c r="B174" s="412" t="inlineStr">
        <is>
          <t>T24CORE</t>
        </is>
      </c>
      <c r="C174" s="412" t="inlineStr">
        <is>
          <t>LD_LOANS_AND_DEPOSITS</t>
        </is>
      </c>
      <c r="D174" s="412" t="inlineStr">
        <is>
          <t>USE_OF_LOAN_CHA</t>
        </is>
      </c>
      <c r="E174" s="412" t="inlineStr">
        <is>
          <t>Mã nhóm mục đích vay</t>
        </is>
      </c>
      <c r="F174" s="410" t="inlineStr">
        <is>
          <t>X</t>
        </is>
      </c>
      <c r="G174" s="412" t="inlineStr">
        <is>
          <t>Loan Arrangement</t>
        </is>
      </c>
      <c r="H174" s="412" t="inlineStr">
        <is>
          <t>Arrangement Purpose Group Code</t>
        </is>
      </c>
      <c r="I174" s="412" t="inlineStr">
        <is>
          <t>Map 1:1 từ T24CORE.LD_LOANS_AND_DEPOSITS.USE_OF_LOAN_CHA sang PG_BRONZE.T24CORE_LD_LOANS_AND_DEPOSITS.USE_OF_LOAN_CHA</t>
        </is>
      </c>
      <c r="J174" s="410" t="inlineStr">
        <is>
          <t>2025-11-26</t>
        </is>
      </c>
      <c r="K174" s="385" t="inlineStr">
        <is>
          <t>1:1</t>
        </is>
      </c>
      <c r="L174" s="385" t="inlineStr">
        <is>
          <t>PG_BRONZE</t>
        </is>
      </c>
      <c r="M174" s="386" t="inlineStr">
        <is>
          <t>T24CORE_LD_LOANS_AND_DEPOSITS</t>
        </is>
      </c>
      <c r="N174" s="386" t="inlineStr">
        <is>
          <t>USE_OF_LOAN_CHA</t>
        </is>
      </c>
      <c r="O174" s="385" t="inlineStr">
        <is>
          <t>VARCHAR2</t>
        </is>
      </c>
      <c r="P174" s="420" t="n">
        <v>100</v>
      </c>
      <c r="Q174" s="386">
        <f>"COMMENT ON COLUMN "&amp;L174&amp;"."&amp;M174&amp;"."&amp;N174&amp;" IS '"&amp;E174&amp;"';"</f>
        <v/>
      </c>
      <c r="R174" s="414" t="inlineStr">
        <is>
          <t>Map 1:1 nguyên bản từ T24CORE.LD_LOANS_AND_DEPOSITS.USE_OF_LOAN_CHA -&gt; PG_BRONZE.T24CORE_LD_LOANS_AND_DEPOSITS.USE_OF_LOAN_CHA</t>
        </is>
      </c>
    </row>
    <row r="175" ht="14.25" customHeight="1" s="335">
      <c r="A175" s="412">
        <f>B175&amp;C175&amp;D175</f>
        <v/>
      </c>
      <c r="B175" s="412" t="inlineStr">
        <is>
          <t>T24CORE</t>
        </is>
      </c>
      <c r="C175" s="412" t="inlineStr">
        <is>
          <t>LD_LOANS_AND_DEPOSITS</t>
        </is>
      </c>
      <c r="D175" s="412" t="inlineStr">
        <is>
          <t>VALUE_DATE</t>
        </is>
      </c>
      <c r="E175" s="412" t="inlineStr">
        <is>
          <t>Ngày hiệu lực hợp đồng</t>
        </is>
      </c>
      <c r="F175" s="410" t="inlineStr">
        <is>
          <t>X</t>
        </is>
      </c>
      <c r="G175" s="412" t="inlineStr">
        <is>
          <t>Loan Arrangement</t>
        </is>
      </c>
      <c r="H175" s="412" t="inlineStr">
        <is>
          <t>Effective Date</t>
        </is>
      </c>
      <c r="I175" s="412" t="inlineStr">
        <is>
          <t>Map 1:1 từ T24CORE.LD_LOANS_AND_DEPOSITS.VALUE_DATE sang PG_BRONZE.T24CORE_LD_LOANS_AND_DEPOSITS.VALUE_DATE</t>
        </is>
      </c>
      <c r="J175" s="410" t="inlineStr">
        <is>
          <t>2025-11-26</t>
        </is>
      </c>
      <c r="K175" s="385" t="inlineStr">
        <is>
          <t>1:1</t>
        </is>
      </c>
      <c r="L175" s="385" t="inlineStr">
        <is>
          <t>PG_BRONZE</t>
        </is>
      </c>
      <c r="M175" s="386" t="inlineStr">
        <is>
          <t>T24CORE_LD_LOANS_AND_DEPOSITS</t>
        </is>
      </c>
      <c r="N175" s="386" t="inlineStr">
        <is>
          <t>VALUE_DATE</t>
        </is>
      </c>
      <c r="O175" s="385" t="inlineStr">
        <is>
          <t>DATE</t>
        </is>
      </c>
      <c r="P175" s="420" t="n">
        <v>8</v>
      </c>
      <c r="Q175" s="386">
        <f>"COMMENT ON COLUMN "&amp;L175&amp;"."&amp;M175&amp;"."&amp;N175&amp;" IS '"&amp;E175&amp;"';"</f>
        <v/>
      </c>
      <c r="R175" s="414" t="inlineStr">
        <is>
          <t>Map 1:1 nguyên bản từ T24CORE.LD_LOANS_AND_DEPOSITS.VALUE_DATE -&gt; PG_BRONZE.T24CORE_LD_LOANS_AND_DEPOSITS.VALUE_DATE</t>
        </is>
      </c>
    </row>
    <row r="176" ht="14.25" customHeight="1" s="335">
      <c r="A176" s="412">
        <f>B176&amp;C176&amp;D176</f>
        <v/>
      </c>
      <c r="B176" s="412" t="inlineStr">
        <is>
          <t>T24CORE</t>
        </is>
      </c>
      <c r="C176" s="412" t="inlineStr">
        <is>
          <t>LD_LOANS_AND_DEPOSITS_HIS</t>
        </is>
      </c>
      <c r="D176" s="412" t="inlineStr">
        <is>
          <t>ACC_FCC</t>
        </is>
      </c>
      <c r="E176" s="412" t="inlineStr">
        <is>
          <t>Mã hợp đồng FlexCube</t>
        </is>
      </c>
      <c r="F176" s="410" t="inlineStr">
        <is>
          <t>X</t>
        </is>
      </c>
      <c r="G176" s="412" t="inlineStr">
        <is>
          <t>Loan Arrangement</t>
        </is>
      </c>
      <c r="H176" s="412" t="inlineStr">
        <is>
          <t>FCC Arrangement Code</t>
        </is>
      </c>
      <c r="I176" s="412" t="inlineStr">
        <is>
          <t>Map 1:1 từ T24CORE.LD_LOANS_AND_DEPOSITS_HIS.ACC_FCC sang PG_BRONZE.T24CORE_LD_LOANS_AND_DEPOSITS_HIS.ACC_FCC</t>
        </is>
      </c>
      <c r="J176" s="410" t="inlineStr">
        <is>
          <t>2025-11-26</t>
        </is>
      </c>
      <c r="K176" s="385" t="inlineStr">
        <is>
          <t>1:1</t>
        </is>
      </c>
      <c r="L176" s="385" t="inlineStr">
        <is>
          <t>PG_BRONZE</t>
        </is>
      </c>
      <c r="M176" s="386" t="inlineStr">
        <is>
          <t>T24CORE_LD_LOANS_AND_DEPOSITS_HIS</t>
        </is>
      </c>
      <c r="N176" s="386" t="inlineStr">
        <is>
          <t>ACC_FCC</t>
        </is>
      </c>
      <c r="O176" s="385" t="inlineStr">
        <is>
          <t>VARCHAR2</t>
        </is>
      </c>
      <c r="P176" s="420" t="n">
        <v>100</v>
      </c>
      <c r="Q176" s="386">
        <f>"COMMENT ON COLUMN "&amp;L176&amp;"."&amp;M176&amp;"."&amp;N176&amp;" IS '"&amp;E176&amp;"';"</f>
        <v/>
      </c>
      <c r="R176" s="414" t="inlineStr">
        <is>
          <t>Map 1:1 nguyên bản từ T24CORE.LD_LOANS_AND_DEPOSITS_HIS.ACC_FCC -&gt; PG_BRONZE.T24CORE_LD_LOANS_AND_DEPOSITS_HIS.ACC_FCC</t>
        </is>
      </c>
    </row>
    <row r="177" ht="14.25" customHeight="1" s="335">
      <c r="A177" s="412">
        <f>B177&amp;C177&amp;D177</f>
        <v/>
      </c>
      <c r="B177" s="412" t="inlineStr">
        <is>
          <t>T24CORE</t>
        </is>
      </c>
      <c r="C177" s="412" t="inlineStr">
        <is>
          <t>LD_LOANS_AND_DEPOSITS_HIS</t>
        </is>
      </c>
      <c r="D177" s="412" t="inlineStr">
        <is>
          <t>AMOUNT</t>
        </is>
      </c>
      <c r="E177" s="412" t="inlineStr">
        <is>
          <t>Dự nợ hợp đồng</t>
        </is>
      </c>
      <c r="F177" s="410" t="inlineStr">
        <is>
          <t>X</t>
        </is>
      </c>
      <c r="G177" s="412" t="inlineStr">
        <is>
          <t>Loan Arrangement / Profile (History) / sk_lich_tra_no</t>
        </is>
      </c>
      <c r="H177" s="412" t="inlineStr">
        <is>
          <t>Amount</t>
        </is>
      </c>
      <c r="I177" s="412" t="inlineStr">
        <is>
          <t>Map 1:1 từ T24CORE.LD_LOANS_AND_DEPOSITS_HIS.AMOUNT sang PG_BRONZE.T24CORE_LD_LOANS_AND_DEPOSITS_HIS.AMOUNT</t>
        </is>
      </c>
      <c r="J177" s="410" t="inlineStr">
        <is>
          <t>2025-11-26</t>
        </is>
      </c>
      <c r="K177" s="385" t="inlineStr">
        <is>
          <t>1:1</t>
        </is>
      </c>
      <c r="L177" s="385" t="inlineStr">
        <is>
          <t>PG_BRONZE</t>
        </is>
      </c>
      <c r="M177" s="386" t="inlineStr">
        <is>
          <t>T24CORE_LD_LOANS_AND_DEPOSITS_HIS</t>
        </is>
      </c>
      <c r="N177" s="386" t="inlineStr">
        <is>
          <t>AMOUNT</t>
        </is>
      </c>
      <c r="O177" s="385" t="inlineStr">
        <is>
          <t>NUMBER</t>
        </is>
      </c>
      <c r="P177" s="420" t="n">
        <v>25.5</v>
      </c>
      <c r="Q177" s="386">
        <f>"COMMENT ON COLUMN "&amp;L177&amp;"."&amp;M177&amp;"."&amp;N177&amp;" IS '"&amp;E177&amp;"';"</f>
        <v/>
      </c>
      <c r="R177" s="414" t="inlineStr">
        <is>
          <t>Map 1:1 nguyên bản từ T24CORE.LD_LOANS_AND_DEPOSITS_HIS.AMOUNT -&gt; PG_BRONZE.T24CORE_LD_LOANS_AND_DEPOSITS_HIS.AMOUNT</t>
        </is>
      </c>
    </row>
    <row r="178" ht="14.25" customHeight="1" s="335">
      <c r="A178" s="412">
        <f>B178&amp;C178&amp;D178</f>
        <v/>
      </c>
      <c r="B178" s="421" t="inlineStr">
        <is>
          <t>T24CORE</t>
        </is>
      </c>
      <c r="C178" s="421" t="inlineStr">
        <is>
          <t>LD_LOANS_AND_DEPOSITS_HIS</t>
        </is>
      </c>
      <c r="D178" s="412" t="inlineStr">
        <is>
          <t>APPROVE_AMOUNT</t>
        </is>
      </c>
      <c r="E178" s="412" t="inlineStr">
        <is>
          <t>Giá trị giải ngân</t>
        </is>
      </c>
      <c r="F178" s="410" t="inlineStr">
        <is>
          <t>X</t>
        </is>
      </c>
      <c r="G178" s="412" t="inlineStr">
        <is>
          <t>Loan Arrangement</t>
        </is>
      </c>
      <c r="H178" s="412" t="inlineStr">
        <is>
          <t>Original Amount FCY</t>
        </is>
      </c>
      <c r="I178" s="412" t="inlineStr">
        <is>
          <t>Map 1:1 từ T24CORE.LD_LOANS_AND_DEPOSITS_HIS.APPROVE_AMOUNT sang PG_BRONZE.T24CORE_LD_LOANS_AND_DEPOSITS_HIS.APPROVE_AMOUNT</t>
        </is>
      </c>
      <c r="J178" s="410" t="inlineStr">
        <is>
          <t>2025-11-26</t>
        </is>
      </c>
      <c r="K178" s="385" t="inlineStr">
        <is>
          <t>1:1</t>
        </is>
      </c>
      <c r="L178" s="385" t="inlineStr">
        <is>
          <t>PG_BRONZE</t>
        </is>
      </c>
      <c r="M178" s="386" t="inlineStr">
        <is>
          <t>T24CORE_LD_LOANS_AND_DEPOSITS_HIS</t>
        </is>
      </c>
      <c r="N178" s="386" t="inlineStr">
        <is>
          <t>APPROVE_AMOUNT</t>
        </is>
      </c>
      <c r="O178" s="385" t="inlineStr">
        <is>
          <t>NUMBER</t>
        </is>
      </c>
      <c r="P178" s="420" t="n">
        <v>25.5</v>
      </c>
      <c r="Q178" s="386">
        <f>"COMMENT ON COLUMN "&amp;L178&amp;"."&amp;M178&amp;"."&amp;N178&amp;" IS '"&amp;E178&amp;"';"</f>
        <v/>
      </c>
      <c r="R178" s="414" t="inlineStr">
        <is>
          <t>Map 1:1 nguyên bản từ T24CORE.LD_LOANS_AND_DEPOSITS_HIS.APPROVE_AMOUNT -&gt; PG_BRONZE.T24CORE_LD_LOANS_AND_DEPOSITS_HIS.APPROVE_AMOUNT</t>
        </is>
      </c>
    </row>
    <row r="179" ht="14.25" customHeight="1" s="335">
      <c r="A179" s="412">
        <f>B179&amp;C179&amp;D179</f>
        <v/>
      </c>
      <c r="B179" s="412" t="inlineStr">
        <is>
          <t>T24CORE</t>
        </is>
      </c>
      <c r="C179" s="412" t="inlineStr">
        <is>
          <t>LD_LOANS_AND_DEPOSITS_HIS</t>
        </is>
      </c>
      <c r="D179" s="412" t="inlineStr">
        <is>
          <t>CATEGORY</t>
        </is>
      </c>
      <c r="E179" s="412" t="inlineStr">
        <is>
          <t>Mã phân loại sản phẩm</t>
        </is>
      </c>
      <c r="F179" s="410" t="inlineStr">
        <is>
          <t>X</t>
        </is>
      </c>
      <c r="G179" s="412" t="inlineStr">
        <is>
          <t>Loan Arrangement</t>
        </is>
      </c>
      <c r="H179" s="412" t="inlineStr">
        <is>
          <t>Product Category Code</t>
        </is>
      </c>
      <c r="I179" s="412" t="inlineStr">
        <is>
          <t>Map 1:1 từ T24CORE.LD_LOANS_AND_DEPOSITS_HIS.CATEGORY sang PG_BRONZE.T24CORE_LD_LOANS_AND_DEPOSITS_HIS.CATEGORY</t>
        </is>
      </c>
      <c r="J179" s="410" t="inlineStr">
        <is>
          <t>2025-11-26</t>
        </is>
      </c>
      <c r="K179" s="385" t="inlineStr">
        <is>
          <t>1:1</t>
        </is>
      </c>
      <c r="L179" s="385" t="inlineStr">
        <is>
          <t>PG_BRONZE</t>
        </is>
      </c>
      <c r="M179" s="386" t="inlineStr">
        <is>
          <t>T24CORE_LD_LOANS_AND_DEPOSITS_HIS</t>
        </is>
      </c>
      <c r="N179" s="386" t="inlineStr">
        <is>
          <t>CATEGORY</t>
        </is>
      </c>
      <c r="O179" s="385" t="inlineStr">
        <is>
          <t>VARCHAR2</t>
        </is>
      </c>
      <c r="P179" s="420" t="n">
        <v>100</v>
      </c>
      <c r="Q179" s="386">
        <f>"COMMENT ON COLUMN "&amp;L179&amp;"."&amp;M179&amp;"."&amp;N179&amp;" IS '"&amp;E179&amp;"';"</f>
        <v/>
      </c>
      <c r="R179" s="414" t="inlineStr">
        <is>
          <t>Map 1:1 nguyên bản từ T24CORE.LD_LOANS_AND_DEPOSITS_HIS.CATEGORY -&gt; PG_BRONZE.T24CORE_LD_LOANS_AND_DEPOSITS_HIS.CATEGORY</t>
        </is>
      </c>
    </row>
    <row r="180" ht="14.25" customHeight="1" s="335">
      <c r="A180" s="412">
        <f>B180&amp;C180&amp;D180</f>
        <v/>
      </c>
      <c r="B180" s="412" t="inlineStr">
        <is>
          <t>T24CORE</t>
        </is>
      </c>
      <c r="C180" s="412" t="inlineStr">
        <is>
          <t>LD_LOANS_AND_DEPOSITS_HIS</t>
        </is>
      </c>
      <c r="D180" s="412" t="inlineStr">
        <is>
          <t>CO_CODE</t>
        </is>
      </c>
      <c r="E180" s="412" t="inlineStr">
        <is>
          <t>Mã chi nhánh</t>
        </is>
      </c>
      <c r="F180" s="410" t="inlineStr">
        <is>
          <t>X</t>
        </is>
      </c>
      <c r="G180" s="412" t="inlineStr">
        <is>
          <t>Loan Arrangement, Loan Arrangement Profile</t>
        </is>
      </c>
      <c r="H180" s="412" t="inlineStr">
        <is>
          <t>First Organization Unit Code , Organization Unit Code</t>
        </is>
      </c>
      <c r="I180" s="412" t="inlineStr">
        <is>
          <t>Map 1:1 từ T24CORE.LD_LOANS_AND_DEPOSITS_HIS.CO_CODE sang PG_BRONZE.T24CORE_LD_LOANS_AND_DEPOSITS_HIS.CO_CODE</t>
        </is>
      </c>
      <c r="J180" s="410" t="inlineStr">
        <is>
          <t>2025-11-26</t>
        </is>
      </c>
      <c r="K180" s="385" t="inlineStr">
        <is>
          <t>1:1</t>
        </is>
      </c>
      <c r="L180" s="385" t="inlineStr">
        <is>
          <t>PG_BRONZE</t>
        </is>
      </c>
      <c r="M180" s="386" t="inlineStr">
        <is>
          <t>T24CORE_LD_LOANS_AND_DEPOSITS_HIS</t>
        </is>
      </c>
      <c r="N180" s="386" t="inlineStr">
        <is>
          <t>CO_CODE</t>
        </is>
      </c>
      <c r="O180" s="385" t="inlineStr">
        <is>
          <t>VARCHAR2</t>
        </is>
      </c>
      <c r="P180" s="420" t="n">
        <v>100</v>
      </c>
      <c r="Q180" s="386">
        <f>"COMMENT ON COLUMN "&amp;L180&amp;"."&amp;M180&amp;"."&amp;N180&amp;" IS '"&amp;E180&amp;"';"</f>
        <v/>
      </c>
      <c r="R180" s="414" t="inlineStr">
        <is>
          <t>Map 1:1 nguyên bản từ T24CORE.LD_LOANS_AND_DEPOSITS_HIS.CO_CODE -&gt; PG_BRONZE.T24CORE_LD_LOANS_AND_DEPOSITS_HIS.CO_CODE</t>
        </is>
      </c>
    </row>
    <row r="181" ht="14.25" customHeight="1" s="335">
      <c r="A181" s="412">
        <f>B181&amp;C181&amp;D181</f>
        <v/>
      </c>
      <c r="B181" s="412" t="inlineStr">
        <is>
          <t>T24CORE</t>
        </is>
      </c>
      <c r="C181" s="412" t="inlineStr">
        <is>
          <t>LD_LOANS_AND_DEPOSITS_HIS</t>
        </is>
      </c>
      <c r="D181" s="412" t="inlineStr">
        <is>
          <t>COMMIT_ACTION</t>
        </is>
      </c>
      <c r="E181" s="412" t="inlineStr">
        <is>
          <t>Trường COMMIT_ACTION của bảng nguồn T24CORE.LD_LOANS_AND_DEPOSITS_HIS</t>
        </is>
      </c>
      <c r="F181" s="410" t="inlineStr">
        <is>
          <t>X</t>
        </is>
      </c>
      <c r="G181" s="412" t="inlineStr">
        <is>
          <t>Loan Arrangement / Profile (History) / sk_lich_tra_no</t>
        </is>
      </c>
      <c r="H181" s="412" t="inlineStr">
        <is>
          <t>Commit Action</t>
        </is>
      </c>
      <c r="I181" s="412" t="inlineStr">
        <is>
          <t>Map 1:1 từ T24CORE.LD_LOANS_AND_DEPOSITS_HIS.COMMIT_ACTION sang PG_BRONZE.T24CORE_LD_LOANS_AND_DEPOSITS_HIS.COMMIT_ACTION</t>
        </is>
      </c>
      <c r="J181" s="410" t="inlineStr">
        <is>
          <t>2025-11-26</t>
        </is>
      </c>
      <c r="K181" s="385" t="inlineStr">
        <is>
          <t>1:1</t>
        </is>
      </c>
      <c r="L181" s="385" t="inlineStr">
        <is>
          <t>PG_BRONZE</t>
        </is>
      </c>
      <c r="M181" s="386" t="inlineStr">
        <is>
          <t>T24CORE_LD_LOANS_AND_DEPOSITS_HIS</t>
        </is>
      </c>
      <c r="N181" s="386" t="inlineStr">
        <is>
          <t>COMMIT_ACTION</t>
        </is>
      </c>
      <c r="O181" s="385" t="inlineStr">
        <is>
          <t>VARCHAR2</t>
        </is>
      </c>
      <c r="P181" s="420" t="n">
        <v>100</v>
      </c>
      <c r="Q181" s="386">
        <f>"COMMENT ON COLUMN "&amp;L181&amp;"."&amp;M181&amp;"."&amp;N181&amp;" IS '"&amp;E181&amp;"';"</f>
        <v/>
      </c>
      <c r="R181" s="414" t="inlineStr">
        <is>
          <t>Map 1:1 nguyên bản từ T24CORE.LD_LOANS_AND_DEPOSITS_HIS.COMMIT_ACTION -&gt; PG_BRONZE.T24CORE_LD_LOANS_AND_DEPOSITS_HIS.COMMIT_ACTION</t>
        </is>
      </c>
    </row>
    <row r="182" ht="14.25" customHeight="1" s="335">
      <c r="A182" s="412">
        <f>B182&amp;C182&amp;D182</f>
        <v/>
      </c>
      <c r="B182" s="412" t="inlineStr">
        <is>
          <t>T24CORE</t>
        </is>
      </c>
      <c r="C182" s="412" t="inlineStr">
        <is>
          <t>LD_LOANS_AND_DEPOSITS_HIS</t>
        </is>
      </c>
      <c r="D182" s="412" t="inlineStr">
        <is>
          <t>CRA_LD</t>
        </is>
      </c>
      <c r="E182" s="412" t="inlineStr">
        <is>
          <t>Mã hồ sơ</t>
        </is>
      </c>
      <c r="F182" s="410" t="inlineStr">
        <is>
          <t>X</t>
        </is>
      </c>
      <c r="G182" s="412" t="inlineStr">
        <is>
          <t>Loan Arrangement</t>
        </is>
      </c>
      <c r="H182" s="412" t="inlineStr">
        <is>
          <t>Paper Contract Number</t>
        </is>
      </c>
      <c r="I182" s="412" t="inlineStr">
        <is>
          <t>Map 1:1 từ T24CORE.LD_LOANS_AND_DEPOSITS_HIS.CRA_LD sang PG_BRONZE.T24CORE_LD_LOANS_AND_DEPOSITS_HIS.CRA_LD</t>
        </is>
      </c>
      <c r="J182" s="410" t="inlineStr">
        <is>
          <t>2025-11-26</t>
        </is>
      </c>
      <c r="K182" s="385" t="inlineStr">
        <is>
          <t>1:1</t>
        </is>
      </c>
      <c r="L182" s="385" t="inlineStr">
        <is>
          <t>PG_BRONZE</t>
        </is>
      </c>
      <c r="M182" s="386" t="inlineStr">
        <is>
          <t>T24CORE_LD_LOANS_AND_DEPOSITS_HIS</t>
        </is>
      </c>
      <c r="N182" s="386" t="inlineStr">
        <is>
          <t>CRA_LD</t>
        </is>
      </c>
      <c r="O182" s="385" t="inlineStr">
        <is>
          <t>VARCHAR2</t>
        </is>
      </c>
      <c r="P182" s="420" t="n">
        <v>100</v>
      </c>
      <c r="Q182" s="386">
        <f>"COMMENT ON COLUMN "&amp;L182&amp;"."&amp;M182&amp;"."&amp;N182&amp;" IS '"&amp;E182&amp;"';"</f>
        <v/>
      </c>
      <c r="R182" s="414" t="inlineStr">
        <is>
          <t>Map 1:1 nguyên bản từ T24CORE.LD_LOANS_AND_DEPOSITS_HIS.CRA_LD -&gt; PG_BRONZE.T24CORE_LD_LOANS_AND_DEPOSITS_HIS.CRA_LD</t>
        </is>
      </c>
    </row>
    <row r="183" ht="14.25" customHeight="1" s="335">
      <c r="A183" s="412">
        <f>B183&amp;C183&amp;D183</f>
        <v/>
      </c>
      <c r="B183" s="412" t="inlineStr">
        <is>
          <t>T24CORE</t>
        </is>
      </c>
      <c r="C183" s="412" t="inlineStr">
        <is>
          <t>LD_LOANS_AND_DEPOSITS_HIS</t>
        </is>
      </c>
      <c r="D183" s="412" t="inlineStr">
        <is>
          <t>CURR_NO</t>
        </is>
      </c>
      <c r="E183" s="412" t="inlineStr">
        <is>
          <t>Version của bản ghi</t>
        </is>
      </c>
      <c r="F183" s="410" t="inlineStr">
        <is>
          <t>X</t>
        </is>
      </c>
      <c r="G183" s="412" t="inlineStr">
        <is>
          <t>Loan Arrangement / Profile (History) / sk_lich_tra_no</t>
        </is>
      </c>
      <c r="H183" s="412" t="inlineStr">
        <is>
          <t>Curr No</t>
        </is>
      </c>
      <c r="I183" s="412" t="inlineStr">
        <is>
          <t>Map 1:1 từ T24CORE.LD_LOANS_AND_DEPOSITS_HIS.CURR_NO sang PG_BRONZE.T24CORE_LD_LOANS_AND_DEPOSITS_HIS.CURR_NO</t>
        </is>
      </c>
      <c r="J183" s="410" t="inlineStr">
        <is>
          <t>2025-11-26</t>
        </is>
      </c>
      <c r="K183" s="385" t="inlineStr">
        <is>
          <t>1:1</t>
        </is>
      </c>
      <c r="L183" s="385" t="inlineStr">
        <is>
          <t>PG_BRONZE</t>
        </is>
      </c>
      <c r="M183" s="386" t="inlineStr">
        <is>
          <t>T24CORE_LD_LOANS_AND_DEPOSITS_HIS</t>
        </is>
      </c>
      <c r="N183" s="386" t="inlineStr">
        <is>
          <t>CURR_NO</t>
        </is>
      </c>
      <c r="O183" s="385" t="inlineStr">
        <is>
          <t>NUMBER</t>
        </is>
      </c>
      <c r="P183" s="420" t="n">
        <v>10</v>
      </c>
      <c r="Q183" s="386">
        <f>"COMMENT ON COLUMN "&amp;L183&amp;"."&amp;M183&amp;"."&amp;N183&amp;" IS '"&amp;E183&amp;"';"</f>
        <v/>
      </c>
      <c r="R183" s="414" t="inlineStr">
        <is>
          <t>Map 1:1 nguyên bản từ T24CORE.LD_LOANS_AND_DEPOSITS_HIS.CURR_NO -&gt; PG_BRONZE.T24CORE_LD_LOANS_AND_DEPOSITS_HIS.CURR_NO</t>
        </is>
      </c>
    </row>
    <row r="184" ht="14.25" customHeight="1" s="335">
      <c r="A184" s="412">
        <f>B184&amp;C184&amp;D184</f>
        <v/>
      </c>
      <c r="B184" s="412" t="inlineStr">
        <is>
          <t>T24CORE</t>
        </is>
      </c>
      <c r="C184" s="412" t="inlineStr">
        <is>
          <t>LD_LOANS_AND_DEPOSITS_HIS</t>
        </is>
      </c>
      <c r="D184" s="412" t="inlineStr">
        <is>
          <t>CURRENCY</t>
        </is>
      </c>
      <c r="E184" s="412" t="inlineStr">
        <is>
          <t>Mã loại tiền</t>
        </is>
      </c>
      <c r="F184" s="410" t="inlineStr">
        <is>
          <t>X</t>
        </is>
      </c>
      <c r="G184" s="412" t="inlineStr">
        <is>
          <t>Loan Arrangement</t>
        </is>
      </c>
      <c r="H184" s="412" t="inlineStr">
        <is>
          <t>Currency Code</t>
        </is>
      </c>
      <c r="I184" s="412" t="inlineStr">
        <is>
          <t>Map 1:1 từ T24CORE.LD_LOANS_AND_DEPOSITS_HIS.CURRENCY sang PG_BRONZE.T24CORE_LD_LOANS_AND_DEPOSITS_HIS.CURRENCY</t>
        </is>
      </c>
      <c r="J184" s="410" t="inlineStr">
        <is>
          <t>2025-11-26</t>
        </is>
      </c>
      <c r="K184" s="385" t="inlineStr">
        <is>
          <t>1:1</t>
        </is>
      </c>
      <c r="L184" s="385" t="inlineStr">
        <is>
          <t>PG_BRONZE</t>
        </is>
      </c>
      <c r="M184" s="386" t="inlineStr">
        <is>
          <t>T24CORE_LD_LOANS_AND_DEPOSITS_HIS</t>
        </is>
      </c>
      <c r="N184" s="386" t="inlineStr">
        <is>
          <t>CURRENCY</t>
        </is>
      </c>
      <c r="O184" s="385" t="inlineStr">
        <is>
          <t>VARCHAR2</t>
        </is>
      </c>
      <c r="P184" s="420" t="n">
        <v>100</v>
      </c>
      <c r="Q184" s="386">
        <f>"COMMENT ON COLUMN "&amp;L184&amp;"."&amp;M184&amp;"."&amp;N184&amp;" IS '"&amp;E184&amp;"';"</f>
        <v/>
      </c>
      <c r="R184" s="414" t="inlineStr">
        <is>
          <t>Map 1:1 nguyên bản từ T24CORE.LD_LOANS_AND_DEPOSITS_HIS.CURRENCY -&gt; PG_BRONZE.T24CORE_LD_LOANS_AND_DEPOSITS_HIS.CURRENCY</t>
        </is>
      </c>
    </row>
    <row r="185" ht="14.25" customHeight="1" s="335">
      <c r="A185" s="412">
        <f>B185&amp;C185&amp;D185</f>
        <v/>
      </c>
      <c r="B185" s="412" t="inlineStr">
        <is>
          <t>T24CORE</t>
        </is>
      </c>
      <c r="C185" s="412" t="inlineStr">
        <is>
          <t>LD_LOANS_AND_DEPOSITS_HIS</t>
        </is>
      </c>
      <c r="D185" s="412" t="inlineStr">
        <is>
          <t>CUSTOMER_ID</t>
        </is>
      </c>
      <c r="E185" s="412" t="inlineStr">
        <is>
          <t>Mã khách hành</t>
        </is>
      </c>
      <c r="F185" s="410" t="inlineStr">
        <is>
          <t>X</t>
        </is>
      </c>
      <c r="G185" s="412" t="inlineStr">
        <is>
          <t>Loan Arrangement</t>
        </is>
      </c>
      <c r="H185" s="412" t="inlineStr">
        <is>
          <t>Customer Code/ Customer ID</t>
        </is>
      </c>
      <c r="I185" s="412" t="inlineStr">
        <is>
          <t>Map 1:1 từ T24CORE.LD_LOANS_AND_DEPOSITS_HIS.CUSTOMER_ID sang PG_BRONZE.T24CORE_LD_LOANS_AND_DEPOSITS_HIS.CUSTOMER_ID</t>
        </is>
      </c>
      <c r="J185" s="410" t="inlineStr">
        <is>
          <t>2025-11-26</t>
        </is>
      </c>
      <c r="K185" s="385" t="inlineStr">
        <is>
          <t>1:1</t>
        </is>
      </c>
      <c r="L185" s="385" t="inlineStr">
        <is>
          <t>PG_BRONZE</t>
        </is>
      </c>
      <c r="M185" s="386" t="inlineStr">
        <is>
          <t>T24CORE_LD_LOANS_AND_DEPOSITS_HIS</t>
        </is>
      </c>
      <c r="N185" s="386" t="inlineStr">
        <is>
          <t>CUSTOMER_ID</t>
        </is>
      </c>
      <c r="O185" s="385" t="inlineStr">
        <is>
          <t>VARCHAR2</t>
        </is>
      </c>
      <c r="P185" s="420" t="n">
        <v>100</v>
      </c>
      <c r="Q185" s="386">
        <f>"COMMENT ON COLUMN "&amp;L185&amp;"."&amp;M185&amp;"."&amp;N185&amp;" IS '"&amp;E185&amp;"';"</f>
        <v/>
      </c>
      <c r="R185" s="414" t="inlineStr">
        <is>
          <t>Map 1:1 nguyên bản từ T24CORE.LD_LOANS_AND_DEPOSITS_HIS.CUSTOMER_ID -&gt; PG_BRONZE.T24CORE_LD_LOANS_AND_DEPOSITS_HIS.CUSTOMER_ID</t>
        </is>
      </c>
    </row>
    <row r="186" ht="14.25" customHeight="1" s="335">
      <c r="A186" s="412">
        <f>B186&amp;C186&amp;D186</f>
        <v/>
      </c>
      <c r="B186" s="412" t="inlineStr">
        <is>
          <t>T24CORE</t>
        </is>
      </c>
      <c r="C186" s="412" t="inlineStr">
        <is>
          <t>LD_LOANS_AND_DEPOSITS_HIS</t>
        </is>
      </c>
      <c r="D186" s="412" t="inlineStr">
        <is>
          <t>DATE_TIME</t>
        </is>
      </c>
      <c r="E186" s="412" t="inlineStr">
        <is>
          <t>Ngày nhập liệu Core</t>
        </is>
      </c>
      <c r="F186" s="410" t="inlineStr">
        <is>
          <t>X</t>
        </is>
      </c>
      <c r="G186" s="412" t="inlineStr">
        <is>
          <t>Loan Arrangement / Profile (History) / sk_lich_tra_no</t>
        </is>
      </c>
      <c r="H186" s="412" t="inlineStr">
        <is>
          <t>Date Time</t>
        </is>
      </c>
      <c r="I186" s="412" t="inlineStr">
        <is>
          <t>Map 1:1 từ T24CORE.LD_LOANS_AND_DEPOSITS_HIS.DATE_TIME sang PG_BRONZE.T24CORE_LD_LOANS_AND_DEPOSITS_HIS.DATE_TIME</t>
        </is>
      </c>
      <c r="J186" s="410" t="inlineStr">
        <is>
          <t>2025-11-26</t>
        </is>
      </c>
      <c r="K186" s="385" t="inlineStr">
        <is>
          <t>1:1</t>
        </is>
      </c>
      <c r="L186" s="385" t="inlineStr">
        <is>
          <t>PG_BRONZE</t>
        </is>
      </c>
      <c r="M186" s="386" t="inlineStr">
        <is>
          <t>T24CORE_LD_LOANS_AND_DEPOSITS_HIS</t>
        </is>
      </c>
      <c r="N186" s="386" t="inlineStr">
        <is>
          <t>DATE_TIME</t>
        </is>
      </c>
      <c r="O186" s="385" t="inlineStr">
        <is>
          <t>DATE</t>
        </is>
      </c>
      <c r="P186" s="420" t="n">
        <v>8</v>
      </c>
      <c r="Q186" s="386">
        <f>"COMMENT ON COLUMN "&amp;L186&amp;"."&amp;M186&amp;"."&amp;N186&amp;" IS '"&amp;E186&amp;"';"</f>
        <v/>
      </c>
      <c r="R186" s="414" t="inlineStr">
        <is>
          <t>Map 1:1 nguyên bản từ T24CORE.LD_LOANS_AND_DEPOSITS_HIS.DATE_TIME -&gt; PG_BRONZE.T24CORE_LD_LOANS_AND_DEPOSITS_HIS.DATE_TIME</t>
        </is>
      </c>
    </row>
    <row r="187" ht="14.25" customHeight="1" s="335">
      <c r="A187" s="412">
        <f>B187&amp;C187&amp;D187</f>
        <v/>
      </c>
      <c r="B187" s="412" t="inlineStr">
        <is>
          <t>T24CORE</t>
        </is>
      </c>
      <c r="C187" s="412" t="inlineStr">
        <is>
          <t>LD_LOANS_AND_DEPOSITS_HIS</t>
        </is>
      </c>
      <c r="D187" s="412" t="inlineStr">
        <is>
          <t>DRAWDOWN_NET_AMT</t>
        </is>
      </c>
      <c r="E187" s="412" t="inlineStr">
        <is>
          <t>Số tiền thực tế giải ngân</t>
        </is>
      </c>
      <c r="F187" s="410" t="inlineStr">
        <is>
          <t>X</t>
        </is>
      </c>
      <c r="G187" s="412" t="inlineStr">
        <is>
          <t>Loan Arrangement</t>
        </is>
      </c>
      <c r="H187" s="412" t="inlineStr">
        <is>
          <t>Disbursement Amount FCY</t>
        </is>
      </c>
      <c r="I187" s="412" t="inlineStr">
        <is>
          <t>Map 1:1 từ T24CORE.LD_LOANS_AND_DEPOSITS_HIS.DRAWDOWN_NET_AMT sang PG_BRONZE.T24CORE_LD_LOANS_AND_DEPOSITS_HIS.DRAWDOWN_NET_AMT</t>
        </is>
      </c>
      <c r="J187" s="410" t="inlineStr">
        <is>
          <t>2025-11-26</t>
        </is>
      </c>
      <c r="K187" s="385" t="inlineStr">
        <is>
          <t>1:1</t>
        </is>
      </c>
      <c r="L187" s="385" t="inlineStr">
        <is>
          <t>PG_BRONZE</t>
        </is>
      </c>
      <c r="M187" s="386" t="inlineStr">
        <is>
          <t>T24CORE_LD_LOANS_AND_DEPOSITS_HIS</t>
        </is>
      </c>
      <c r="N187" s="386" t="inlineStr">
        <is>
          <t>DRAWDOWN_NET_AMT</t>
        </is>
      </c>
      <c r="O187" s="385" t="inlineStr">
        <is>
          <t>NUMBER</t>
        </is>
      </c>
      <c r="P187" s="420" t="n">
        <v>25.5</v>
      </c>
      <c r="Q187" s="386">
        <f>"COMMENT ON COLUMN "&amp;L187&amp;"."&amp;M187&amp;"."&amp;N187&amp;" IS '"&amp;E187&amp;"';"</f>
        <v/>
      </c>
      <c r="R187" s="414" t="inlineStr">
        <is>
          <t>Map 1:1 nguyên bản từ T24CORE.LD_LOANS_AND_DEPOSITS_HIS.DRAWDOWN_NET_AMT -&gt; PG_BRONZE.T24CORE_LD_LOANS_AND_DEPOSITS_HIS.DRAWDOWN_NET_AMT</t>
        </is>
      </c>
    </row>
    <row r="188" ht="14.25" customHeight="1" s="335">
      <c r="A188" s="412">
        <f>B188&amp;C188&amp;D188</f>
        <v/>
      </c>
      <c r="B188" s="412" t="inlineStr">
        <is>
          <t>T24CORE</t>
        </is>
      </c>
      <c r="C188" s="412" t="inlineStr">
        <is>
          <t>LD_LOANS_AND_DEPOSITS_HIS</t>
        </is>
      </c>
      <c r="D188" s="412" t="inlineStr">
        <is>
          <t>EXCG_RATE</t>
        </is>
      </c>
      <c r="E188" s="412" t="inlineStr">
        <is>
          <t>Tỷ giá quy đổi</t>
        </is>
      </c>
      <c r="F188" s="410" t="inlineStr">
        <is>
          <t>X</t>
        </is>
      </c>
      <c r="G188" s="412" t="inlineStr">
        <is>
          <t>Loan Arrangement</t>
        </is>
      </c>
      <c r="H188" s="412" t="inlineStr">
        <is>
          <t>Exchange Rate To Local Currency</t>
        </is>
      </c>
      <c r="I188" s="412" t="inlineStr">
        <is>
          <t>Map 1:1 từ T24CORE.LD_LOANS_AND_DEPOSITS_HIS.EXCG_RATE sang PG_BRONZE.T24CORE_LD_LOANS_AND_DEPOSITS_HIS.EXCG_RATE</t>
        </is>
      </c>
      <c r="J188" s="410" t="inlineStr">
        <is>
          <t>2025-11-26</t>
        </is>
      </c>
      <c r="K188" s="385" t="inlineStr">
        <is>
          <t>1:1</t>
        </is>
      </c>
      <c r="L188" s="385" t="inlineStr">
        <is>
          <t>PG_BRONZE</t>
        </is>
      </c>
      <c r="M188" s="386" t="inlineStr">
        <is>
          <t>T24CORE_LD_LOANS_AND_DEPOSITS_HIS</t>
        </is>
      </c>
      <c r="N188" s="386" t="inlineStr">
        <is>
          <t>EXCG_RATE</t>
        </is>
      </c>
      <c r="O188" s="385" t="inlineStr">
        <is>
          <t>NUMBER</t>
        </is>
      </c>
      <c r="P188" s="420" t="n">
        <v>13.7</v>
      </c>
      <c r="Q188" s="386">
        <f>"COMMENT ON COLUMN "&amp;L188&amp;"."&amp;M188&amp;"."&amp;N188&amp;" IS '"&amp;E188&amp;"';"</f>
        <v/>
      </c>
      <c r="R188" s="414" t="inlineStr">
        <is>
          <t>Map 1:1 nguyên bản từ T24CORE.LD_LOANS_AND_DEPOSITS_HIS.EXCG_RATE -&gt; PG_BRONZE.T24CORE_LD_LOANS_AND_DEPOSITS_HIS.EXCG_RATE</t>
        </is>
      </c>
    </row>
    <row r="189" ht="14.25" customHeight="1" s="335">
      <c r="A189" s="412">
        <f>B189&amp;C189&amp;D189</f>
        <v/>
      </c>
      <c r="B189" s="412" t="inlineStr">
        <is>
          <t>T24CORE</t>
        </is>
      </c>
      <c r="C189" s="412" t="inlineStr">
        <is>
          <t>LD_LOANS_AND_DEPOSITS_HIS</t>
        </is>
      </c>
      <c r="D189" s="412" t="inlineStr">
        <is>
          <t>FIN_MAT_DATE</t>
        </is>
      </c>
      <c r="E189" s="412" t="inlineStr">
        <is>
          <t>Ngày đáo hạn</t>
        </is>
      </c>
      <c r="F189" s="410" t="inlineStr">
        <is>
          <t>X</t>
        </is>
      </c>
      <c r="G189" s="412" t="inlineStr">
        <is>
          <t>Loan Arrangement</t>
        </is>
      </c>
      <c r="H189" s="412" t="inlineStr">
        <is>
          <t>Maturity Date</t>
        </is>
      </c>
      <c r="I189" s="412" t="inlineStr">
        <is>
          <t>Map 1:1 từ T24CORE.LD_LOANS_AND_DEPOSITS_HIS.FIN_MAT_DATE sang PG_BRONZE.T24CORE_LD_LOANS_AND_DEPOSITS_HIS.FIN_MAT_DATE</t>
        </is>
      </c>
      <c r="J189" s="410" t="inlineStr">
        <is>
          <t>2025-11-26</t>
        </is>
      </c>
      <c r="K189" s="385" t="inlineStr">
        <is>
          <t>1:1</t>
        </is>
      </c>
      <c r="L189" s="385" t="inlineStr">
        <is>
          <t>PG_BRONZE</t>
        </is>
      </c>
      <c r="M189" s="386" t="inlineStr">
        <is>
          <t>T24CORE_LD_LOANS_AND_DEPOSITS_HIS</t>
        </is>
      </c>
      <c r="N189" s="386" t="inlineStr">
        <is>
          <t>FIN_MAT_DATE</t>
        </is>
      </c>
      <c r="O189" s="385" t="inlineStr">
        <is>
          <t>DATE</t>
        </is>
      </c>
      <c r="P189" s="420" t="n">
        <v>8</v>
      </c>
      <c r="Q189" s="386">
        <f>"COMMENT ON COLUMN "&amp;L189&amp;"."&amp;M189&amp;"."&amp;N189&amp;" IS '"&amp;E189&amp;"';"</f>
        <v/>
      </c>
      <c r="R189" s="414" t="inlineStr">
        <is>
          <t>Map 1:1 nguyên bản từ T24CORE.LD_LOANS_AND_DEPOSITS_HIS.FIN_MAT_DATE -&gt; PG_BRONZE.T24CORE_LD_LOANS_AND_DEPOSITS_HIS.FIN_MAT_DATE</t>
        </is>
      </c>
    </row>
    <row r="190" ht="14.25" customHeight="1" s="335">
      <c r="A190" s="412">
        <f>B190&amp;C190&amp;D190</f>
        <v/>
      </c>
      <c r="B190" s="412" t="inlineStr">
        <is>
          <t>T24CORE</t>
        </is>
      </c>
      <c r="C190" s="412" t="inlineStr">
        <is>
          <t>LD_LOANS_AND_DEPOSITS_HIS</t>
        </is>
      </c>
      <c r="D190" s="412" t="inlineStr">
        <is>
          <t>INT_LIQ_ACCT</t>
        </is>
      </c>
      <c r="E190" s="412" t="inlineStr">
        <is>
          <t>Tài khoản thanh toán lãi</t>
        </is>
      </c>
      <c r="F190" s="410" t="inlineStr">
        <is>
          <t>X</t>
        </is>
      </c>
      <c r="G190" s="412" t="inlineStr">
        <is>
          <t>Loan Arrangement Profile</t>
        </is>
      </c>
      <c r="H190" s="412" t="inlineStr">
        <is>
          <t>Interest Liquid Arrangement Code /Interest Liquid Arrangement Id</t>
        </is>
      </c>
      <c r="I190" s="412" t="inlineStr">
        <is>
          <t>Map 1:1 từ T24CORE.LD_LOANS_AND_DEPOSITS_HIS.INT_LIQ_ACCT sang PG_BRONZE.T24CORE_LD_LOANS_AND_DEPOSITS_HIS.INT_LIQ_ACCT</t>
        </is>
      </c>
      <c r="J190" s="410" t="inlineStr">
        <is>
          <t>2025-11-26</t>
        </is>
      </c>
      <c r="K190" s="385" t="inlineStr">
        <is>
          <t>1:1</t>
        </is>
      </c>
      <c r="L190" s="385" t="inlineStr">
        <is>
          <t>PG_BRONZE</t>
        </is>
      </c>
      <c r="M190" s="386" t="inlineStr">
        <is>
          <t>T24CORE_LD_LOANS_AND_DEPOSITS_HIS</t>
        </is>
      </c>
      <c r="N190" s="386" t="inlineStr">
        <is>
          <t>INT_LIQ_ACCT</t>
        </is>
      </c>
      <c r="O190" s="385" t="inlineStr">
        <is>
          <t>VARCHAR2</t>
        </is>
      </c>
      <c r="P190" s="420" t="n">
        <v>100</v>
      </c>
      <c r="Q190" s="386">
        <f>"COMMENT ON COLUMN "&amp;L190&amp;"."&amp;M190&amp;"."&amp;N190&amp;" IS '"&amp;E190&amp;"';"</f>
        <v/>
      </c>
      <c r="R190" s="414" t="inlineStr">
        <is>
          <t>Map 1:1 nguyên bản từ T24CORE.LD_LOANS_AND_DEPOSITS_HIS.INT_LIQ_ACCT -&gt; PG_BRONZE.T24CORE_LD_LOANS_AND_DEPOSITS_HIS.INT_LIQ_ACCT</t>
        </is>
      </c>
    </row>
    <row r="191" ht="14.25" customHeight="1" s="335">
      <c r="A191" s="412">
        <f>B191&amp;C191&amp;D191</f>
        <v/>
      </c>
      <c r="B191" s="412" t="inlineStr">
        <is>
          <t>T24CORE</t>
        </is>
      </c>
      <c r="C191" s="412" t="inlineStr">
        <is>
          <t>LD_LOANS_AND_DEPOSITS_HIS</t>
        </is>
      </c>
      <c r="D191" s="412" t="inlineStr">
        <is>
          <t>INT_RATE_TYPE</t>
        </is>
      </c>
      <c r="E191" s="412" t="inlineStr">
        <is>
          <t>Loại lãi suất: cố định, thả nổi</t>
        </is>
      </c>
      <c r="F191" s="410" t="inlineStr">
        <is>
          <t>X</t>
        </is>
      </c>
      <c r="G191" s="412" t="inlineStr">
        <is>
          <t>Arrangement Rate History</t>
        </is>
      </c>
      <c r="H191" s="412" t="inlineStr">
        <is>
          <t>Interest Rate Variablity Type Code</t>
        </is>
      </c>
      <c r="I191" s="412" t="inlineStr">
        <is>
          <t>Map 1:1 từ T24CORE.LD_LOANS_AND_DEPOSITS_HIS.INT_RATE_TYPE sang PG_BRONZE.T24CORE_LD_LOANS_AND_DEPOSITS_HIS.INT_RATE_TYPE</t>
        </is>
      </c>
      <c r="J191" s="410" t="inlineStr">
        <is>
          <t>2025-11-26</t>
        </is>
      </c>
      <c r="K191" s="385" t="inlineStr">
        <is>
          <t>1:1</t>
        </is>
      </c>
      <c r="L191" s="385" t="inlineStr">
        <is>
          <t>PG_BRONZE</t>
        </is>
      </c>
      <c r="M191" s="386" t="inlineStr">
        <is>
          <t>T24CORE_LD_LOANS_AND_DEPOSITS_HIS</t>
        </is>
      </c>
      <c r="N191" s="386" t="inlineStr">
        <is>
          <t>INT_RATE_TYPE</t>
        </is>
      </c>
      <c r="O191" s="385" t="inlineStr">
        <is>
          <t>VARCHAR2</t>
        </is>
      </c>
      <c r="P191" s="420" t="n">
        <v>20</v>
      </c>
      <c r="Q191" s="386">
        <f>"COMMENT ON COLUMN "&amp;L191&amp;"."&amp;M191&amp;"."&amp;N191&amp;" IS '"&amp;E191&amp;"';"</f>
        <v/>
      </c>
      <c r="R191" s="414" t="inlineStr">
        <is>
          <t>Map 1:1 nguyên bản từ T24CORE.LD_LOANS_AND_DEPOSITS_HIS.INT_RATE_TYPE -&gt; PG_BRONZE.T24CORE_LD_LOANS_AND_DEPOSITS_HIS.INT_RATE_TYPE</t>
        </is>
      </c>
    </row>
    <row r="192" ht="14.25" customHeight="1" s="335">
      <c r="A192" s="412">
        <f>B192&amp;C192&amp;D192</f>
        <v/>
      </c>
      <c r="B192" s="412" t="inlineStr">
        <is>
          <t>T24CORE</t>
        </is>
      </c>
      <c r="C192" s="412" t="inlineStr">
        <is>
          <t>LD_LOANS_AND_DEPOSITS_HIS</t>
        </is>
      </c>
      <c r="D192" s="412" t="inlineStr">
        <is>
          <t>INT_VALUE_DATE</t>
        </is>
      </c>
      <c r="E192" s="412" t="inlineStr">
        <is>
          <t>Ngày thu lãi</t>
        </is>
      </c>
      <c r="F192" s="410" t="inlineStr">
        <is>
          <t>X</t>
        </is>
      </c>
      <c r="G192" s="412" t="inlineStr">
        <is>
          <t>Arrangement Rate History</t>
        </is>
      </c>
      <c r="H192" s="412" t="inlineStr">
        <is>
          <t>Interest Rate Effective Date</t>
        </is>
      </c>
      <c r="I192" s="412" t="inlineStr">
        <is>
          <t>Map 1:1 từ T24CORE.LD_LOANS_AND_DEPOSITS_HIS.INT_VALUE_DATE sang PG_BRONZE.T24CORE_LD_LOANS_AND_DEPOSITS_HIS.INT_VALUE_DATE</t>
        </is>
      </c>
      <c r="J192" s="410" t="inlineStr">
        <is>
          <t>2025-11-26</t>
        </is>
      </c>
      <c r="K192" s="385" t="inlineStr">
        <is>
          <t>1:1</t>
        </is>
      </c>
      <c r="L192" s="385" t="inlineStr">
        <is>
          <t>PG_BRONZE</t>
        </is>
      </c>
      <c r="M192" s="386" t="inlineStr">
        <is>
          <t>T24CORE_LD_LOANS_AND_DEPOSITS_HIS</t>
        </is>
      </c>
      <c r="N192" s="386" t="inlineStr">
        <is>
          <t>INT_VALUE_DATE</t>
        </is>
      </c>
      <c r="O192" s="385" t="inlineStr">
        <is>
          <t>DATE</t>
        </is>
      </c>
      <c r="P192" s="420" t="n">
        <v>8</v>
      </c>
      <c r="Q192" s="386">
        <f>"COMMENT ON COLUMN "&amp;L192&amp;"."&amp;M192&amp;"."&amp;N192&amp;" IS '"&amp;E192&amp;"';"</f>
        <v/>
      </c>
      <c r="R192" s="414" t="inlineStr">
        <is>
          <t>Map 1:1 nguyên bản từ T24CORE.LD_LOANS_AND_DEPOSITS_HIS.INT_VALUE_DATE -&gt; PG_BRONZE.T24CORE_LD_LOANS_AND_DEPOSITS_HIS.INT_VALUE_DATE</t>
        </is>
      </c>
    </row>
    <row r="193" ht="14.25" customHeight="1" s="335">
      <c r="A193" s="412">
        <f>B193&amp;C193&amp;D193</f>
        <v/>
      </c>
      <c r="B193" s="412" t="inlineStr">
        <is>
          <t>T24CORE</t>
        </is>
      </c>
      <c r="C193" s="412" t="inlineStr">
        <is>
          <t>LD_LOANS_AND_DEPOSITS_HIS</t>
        </is>
      </c>
      <c r="D193" s="412" t="inlineStr">
        <is>
          <t>INTEREST_RATE</t>
        </is>
      </c>
      <c r="E193" s="412" t="inlineStr">
        <is>
          <t>Giá trị lãi suất</t>
        </is>
      </c>
      <c r="F193" s="410" t="inlineStr">
        <is>
          <t>X</t>
        </is>
      </c>
      <c r="G193" s="412" t="inlineStr">
        <is>
          <t>Arrangement Rate History</t>
        </is>
      </c>
      <c r="H193" s="412" t="inlineStr">
        <is>
          <t>Effective Rate Percentage</t>
        </is>
      </c>
      <c r="I193" s="412" t="inlineStr">
        <is>
          <t>Map 1:1 từ T24CORE.LD_LOANS_AND_DEPOSITS_HIS.INTEREST_RATE sang PG_BRONZE.T24CORE_LD_LOANS_AND_DEPOSITS_HIS.INTEREST_RATE</t>
        </is>
      </c>
      <c r="J193" s="410" t="inlineStr">
        <is>
          <t>2025-11-26</t>
        </is>
      </c>
      <c r="K193" s="385" t="inlineStr">
        <is>
          <t>1:1</t>
        </is>
      </c>
      <c r="L193" s="385" t="inlineStr">
        <is>
          <t>PG_BRONZE</t>
        </is>
      </c>
      <c r="M193" s="386" t="inlineStr">
        <is>
          <t>T24CORE_LD_LOANS_AND_DEPOSITS_HIS</t>
        </is>
      </c>
      <c r="N193" s="386" t="inlineStr">
        <is>
          <t>INTEREST_RATE</t>
        </is>
      </c>
      <c r="O193" s="385" t="inlineStr">
        <is>
          <t>NUMBER</t>
        </is>
      </c>
      <c r="P193" s="420" t="n">
        <v>13.7</v>
      </c>
      <c r="Q193" s="386">
        <f>"COMMENT ON COLUMN "&amp;L193&amp;"."&amp;M193&amp;"."&amp;N193&amp;" IS '"&amp;E193&amp;"';"</f>
        <v/>
      </c>
      <c r="R193" s="414" t="inlineStr">
        <is>
          <t>Map 1:1 nguyên bản từ T24CORE.LD_LOANS_AND_DEPOSITS_HIS.INTEREST_RATE -&gt; PG_BRONZE.T24CORE_LD_LOANS_AND_DEPOSITS_HIS.INTEREST_RATE</t>
        </is>
      </c>
    </row>
    <row r="194" ht="14.25" customHeight="1" s="335">
      <c r="A194" s="412">
        <f>B194&amp;C194&amp;D194</f>
        <v/>
      </c>
      <c r="B194" s="412" t="inlineStr">
        <is>
          <t>T24CORE</t>
        </is>
      </c>
      <c r="C194" s="412" t="inlineStr">
        <is>
          <t>LD_LOANS_AND_DEPOSITS_HIS</t>
        </is>
      </c>
      <c r="D194" s="412" t="inlineStr">
        <is>
          <t>INTEREST_SPREAD</t>
        </is>
      </c>
      <c r="E194" s="412" t="inlineStr">
        <is>
          <t>Biên độ lãi suất</t>
        </is>
      </c>
      <c r="F194" s="410" t="inlineStr">
        <is>
          <t>X</t>
        </is>
      </c>
      <c r="G194" s="412" t="inlineStr">
        <is>
          <t>Arrangement Rate History</t>
        </is>
      </c>
      <c r="H194" s="412" t="inlineStr">
        <is>
          <t>Spread Rate Percentage</t>
        </is>
      </c>
      <c r="I194" s="412" t="inlineStr">
        <is>
          <t>Map 1:1 từ T24CORE.LD_LOANS_AND_DEPOSITS_HIS.INTEREST_SPREAD sang PG_BRONZE.T24CORE_LD_LOANS_AND_DEPOSITS_HIS.INTEREST_SPREAD</t>
        </is>
      </c>
      <c r="J194" s="410" t="inlineStr">
        <is>
          <t>2025-11-26</t>
        </is>
      </c>
      <c r="K194" s="385" t="inlineStr">
        <is>
          <t>1:1</t>
        </is>
      </c>
      <c r="L194" s="385" t="inlineStr">
        <is>
          <t>PG_BRONZE</t>
        </is>
      </c>
      <c r="M194" s="386" t="inlineStr">
        <is>
          <t>T24CORE_LD_LOANS_AND_DEPOSITS_HIS</t>
        </is>
      </c>
      <c r="N194" s="386" t="inlineStr">
        <is>
          <t>INTEREST_SPREAD</t>
        </is>
      </c>
      <c r="O194" s="385" t="inlineStr">
        <is>
          <t>NUMBER</t>
        </is>
      </c>
      <c r="P194" s="420" t="n">
        <v>13.7</v>
      </c>
      <c r="Q194" s="386">
        <f>"COMMENT ON COLUMN "&amp;L194&amp;"."&amp;M194&amp;"."&amp;N194&amp;" IS '"&amp;E194&amp;"';"</f>
        <v/>
      </c>
      <c r="R194" s="414" t="inlineStr">
        <is>
          <t>Map 1:1 nguyên bản từ T24CORE.LD_LOANS_AND_DEPOSITS_HIS.INTEREST_SPREAD -&gt; PG_BRONZE.T24CORE_LD_LOANS_AND_DEPOSITS_HIS.INTEREST_SPREAD</t>
        </is>
      </c>
    </row>
    <row r="195" ht="14.25" customHeight="1" s="335">
      <c r="A195" s="412">
        <f>B195&amp;C195&amp;D195</f>
        <v/>
      </c>
      <c r="B195" s="412" t="inlineStr">
        <is>
          <t>T24CORE</t>
        </is>
      </c>
      <c r="C195" s="412" t="inlineStr">
        <is>
          <t>LD_LOANS_AND_DEPOSITS_HIS</t>
        </is>
      </c>
      <c r="D195" s="412" t="inlineStr">
        <is>
          <t>LOC_TERM</t>
        </is>
      </c>
      <c r="E195" s="412" t="inlineStr">
        <is>
          <t>Kỳ hạn</t>
        </is>
      </c>
      <c r="F195" s="410" t="inlineStr">
        <is>
          <t>X</t>
        </is>
      </c>
      <c r="G195" s="412" t="inlineStr">
        <is>
          <t>Loan Arrangement</t>
        </is>
      </c>
      <c r="H195" s="412" t="inlineStr">
        <is>
          <t>Term Code</t>
        </is>
      </c>
      <c r="I195" s="412" t="inlineStr">
        <is>
          <t>Map 1:1 từ T24CORE.LD_LOANS_AND_DEPOSITS_HIS.LOC_TERM sang PG_BRONZE.T24CORE_LD_LOANS_AND_DEPOSITS_HIS.LOC_TERM</t>
        </is>
      </c>
      <c r="J195" s="410" t="inlineStr">
        <is>
          <t>2025-11-26</t>
        </is>
      </c>
      <c r="K195" s="385" t="inlineStr">
        <is>
          <t>1:1</t>
        </is>
      </c>
      <c r="L195" s="385" t="inlineStr">
        <is>
          <t>PG_BRONZE</t>
        </is>
      </c>
      <c r="M195" s="386" t="inlineStr">
        <is>
          <t>T24CORE_LD_LOANS_AND_DEPOSITS_HIS</t>
        </is>
      </c>
      <c r="N195" s="386" t="inlineStr">
        <is>
          <t>LOC_TERM</t>
        </is>
      </c>
      <c r="O195" s="385" t="inlineStr">
        <is>
          <t>VARCHAR2</t>
        </is>
      </c>
      <c r="P195" s="420" t="n">
        <v>100</v>
      </c>
      <c r="Q195" s="386">
        <f>"COMMENT ON COLUMN "&amp;L195&amp;"."&amp;M195&amp;"."&amp;N195&amp;" IS '"&amp;E195&amp;"';"</f>
        <v/>
      </c>
      <c r="R195" s="414" t="inlineStr">
        <is>
          <t>Map 1:1 nguyên bản từ T24CORE.LD_LOANS_AND_DEPOSITS_HIS.LOC_TERM -&gt; PG_BRONZE.T24CORE_LD_LOANS_AND_DEPOSITS_HIS.LOC_TERM</t>
        </is>
      </c>
    </row>
    <row r="196" ht="14.25" customHeight="1" s="335">
      <c r="A196" s="412">
        <f>B196&amp;C196&amp;D196</f>
        <v/>
      </c>
      <c r="B196" s="412" t="inlineStr">
        <is>
          <t>T24CORE</t>
        </is>
      </c>
      <c r="C196" s="412" t="inlineStr">
        <is>
          <t>LD_LOANS_AND_DEPOSITS_HIS</t>
        </is>
      </c>
      <c r="D196" s="412" t="inlineStr">
        <is>
          <t>MB_RM_BANCHEO</t>
        </is>
      </c>
      <c r="E196" s="412" t="inlineStr">
        <is>
          <t>ID nhân viên giới thiệu</t>
        </is>
      </c>
      <c r="F196" s="410" t="inlineStr">
        <is>
          <t>X</t>
        </is>
      </c>
      <c r="G196" s="412" t="inlineStr">
        <is>
          <t>Arrangement x Involved Party Relationship</t>
        </is>
      </c>
      <c r="H196" s="412" t="inlineStr">
        <is>
          <t>Referrer Officer</t>
        </is>
      </c>
      <c r="I196" s="412" t="inlineStr">
        <is>
          <t>Map 1:1 từ T24CORE.LD_LOANS_AND_DEPOSITS_HIS.MB_RM_BANCHEO sang PG_BRONZE.T24CORE_LD_LOANS_AND_DEPOSITS_HIS.MB_RM_BANCHEO</t>
        </is>
      </c>
      <c r="J196" s="410" t="inlineStr">
        <is>
          <t>2025-11-26</t>
        </is>
      </c>
      <c r="K196" s="385" t="inlineStr">
        <is>
          <t>1:1</t>
        </is>
      </c>
      <c r="L196" s="385" t="inlineStr">
        <is>
          <t>PG_BRONZE</t>
        </is>
      </c>
      <c r="M196" s="386" t="inlineStr">
        <is>
          <t>T24CORE_LD_LOANS_AND_DEPOSITS_HIS</t>
        </is>
      </c>
      <c r="N196" s="386" t="inlineStr">
        <is>
          <t>MB_RM_BANCHEO</t>
        </is>
      </c>
      <c r="O196" s="385" t="inlineStr">
        <is>
          <t>VARCHAR2</t>
        </is>
      </c>
      <c r="P196" s="420" t="n">
        <v>100</v>
      </c>
      <c r="Q196" s="386">
        <f>"COMMENT ON COLUMN "&amp;L196&amp;"."&amp;M196&amp;"."&amp;N196&amp;" IS '"&amp;E196&amp;"';"</f>
        <v/>
      </c>
      <c r="R196" s="414" t="inlineStr">
        <is>
          <t>Map 1:1 nguyên bản từ T24CORE.LD_LOANS_AND_DEPOSITS_HIS.MB_RM_BANCHEO -&gt; PG_BRONZE.T24CORE_LD_LOANS_AND_DEPOSITS_HIS.MB_RM_BANCHEO</t>
        </is>
      </c>
    </row>
    <row r="197" ht="14.25" customHeight="1" s="335">
      <c r="A197" s="412">
        <f>B197&amp;C197&amp;D197</f>
        <v/>
      </c>
      <c r="B197" s="412" t="inlineStr">
        <is>
          <t>T24CORE</t>
        </is>
      </c>
      <c r="C197" s="412" t="inlineStr">
        <is>
          <t>LD_LOANS_AND_DEPOSITS_HIS</t>
        </is>
      </c>
      <c r="D197" s="412" t="inlineStr">
        <is>
          <t>ORIG_VAL_DATE</t>
        </is>
      </c>
      <c r="E197" s="412" t="inlineStr">
        <is>
          <t>Ngày hiệu lực đầu tiên của hợp đồng</t>
        </is>
      </c>
      <c r="F197" s="410" t="inlineStr">
        <is>
          <t>X</t>
        </is>
      </c>
      <c r="G197" s="412" t="inlineStr">
        <is>
          <t>Loan Arrangement</t>
        </is>
      </c>
      <c r="H197" s="412" t="inlineStr">
        <is>
          <t>Value Date</t>
        </is>
      </c>
      <c r="I197" s="412" t="inlineStr">
        <is>
          <t>Map 1:1 từ T24CORE.LD_LOANS_AND_DEPOSITS_HIS.ORIG_VAL_DATE sang PG_BRONZE.T24CORE_LD_LOANS_AND_DEPOSITS_HIS.ORIG_VAL_DATE</t>
        </is>
      </c>
      <c r="J197" s="410" t="inlineStr">
        <is>
          <t>2025-11-26</t>
        </is>
      </c>
      <c r="K197" s="385" t="inlineStr">
        <is>
          <t>1:1</t>
        </is>
      </c>
      <c r="L197" s="385" t="inlineStr">
        <is>
          <t>PG_BRONZE</t>
        </is>
      </c>
      <c r="M197" s="386" t="inlineStr">
        <is>
          <t>T24CORE_LD_LOANS_AND_DEPOSITS_HIS</t>
        </is>
      </c>
      <c r="N197" s="386" t="inlineStr">
        <is>
          <t>ORIG_VAL_DATE</t>
        </is>
      </c>
      <c r="O197" s="385" t="inlineStr">
        <is>
          <t>DATE</t>
        </is>
      </c>
      <c r="P197" s="420" t="n">
        <v>8</v>
      </c>
      <c r="Q197" s="386">
        <f>"COMMENT ON COLUMN "&amp;L197&amp;"."&amp;M197&amp;"."&amp;N197&amp;" IS '"&amp;E197&amp;"';"</f>
        <v/>
      </c>
      <c r="R197" s="414" t="inlineStr">
        <is>
          <t>Map 1:1 nguyên bản từ T24CORE.LD_LOANS_AND_DEPOSITS_HIS.ORIG_VAL_DATE -&gt; PG_BRONZE.T24CORE_LD_LOANS_AND_DEPOSITS_HIS.ORIG_VAL_DATE</t>
        </is>
      </c>
    </row>
    <row r="198" ht="14.25" customHeight="1" s="335">
      <c r="A198" s="412">
        <f>B198&amp;C198&amp;D198</f>
        <v/>
      </c>
      <c r="B198" s="412" t="inlineStr">
        <is>
          <t>T24CORE</t>
        </is>
      </c>
      <c r="C198" s="412" t="inlineStr">
        <is>
          <t>LD_LOANS_AND_DEPOSITS_HIS</t>
        </is>
      </c>
      <c r="D198" s="412" t="inlineStr">
        <is>
          <t>PRIN_LIQ_ACCT</t>
        </is>
      </c>
      <c r="E198" s="412" t="inlineStr">
        <is>
          <t>tài khoản thanh toán gốc</t>
        </is>
      </c>
      <c r="F198" s="410" t="inlineStr">
        <is>
          <t>X</t>
        </is>
      </c>
      <c r="G198" s="412" t="inlineStr">
        <is>
          <t>Loan Arrangement Profile</t>
        </is>
      </c>
      <c r="H198" s="412" t="inlineStr">
        <is>
          <t>Principal Liquid Arrangement Code / Principal Liquid Arrangement Id</t>
        </is>
      </c>
      <c r="I198" s="412" t="inlineStr">
        <is>
          <t>Map 1:1 từ T24CORE.LD_LOANS_AND_DEPOSITS_HIS.PRIN_LIQ_ACCT sang PG_BRONZE.T24CORE_LD_LOANS_AND_DEPOSITS_HIS.PRIN_LIQ_ACCT</t>
        </is>
      </c>
      <c r="J198" s="410" t="inlineStr">
        <is>
          <t>2025-11-26</t>
        </is>
      </c>
      <c r="K198" s="385" t="inlineStr">
        <is>
          <t>1:1</t>
        </is>
      </c>
      <c r="L198" s="385" t="inlineStr">
        <is>
          <t>PG_BRONZE</t>
        </is>
      </c>
      <c r="M198" s="386" t="inlineStr">
        <is>
          <t>T24CORE_LD_LOANS_AND_DEPOSITS_HIS</t>
        </is>
      </c>
      <c r="N198" s="386" t="inlineStr">
        <is>
          <t>PRIN_LIQ_ACCT</t>
        </is>
      </c>
      <c r="O198" s="385" t="inlineStr">
        <is>
          <t>VARCHAR2</t>
        </is>
      </c>
      <c r="P198" s="420" t="n">
        <v>100</v>
      </c>
      <c r="Q198" s="386">
        <f>"COMMENT ON COLUMN "&amp;L198&amp;"."&amp;M198&amp;"."&amp;N198&amp;" IS '"&amp;E198&amp;"';"</f>
        <v/>
      </c>
      <c r="R198" s="414" t="inlineStr">
        <is>
          <t>Map 1:1 nguyên bản từ T24CORE.LD_LOANS_AND_DEPOSITS_HIS.PRIN_LIQ_ACCT -&gt; PG_BRONZE.T24CORE_LD_LOANS_AND_DEPOSITS_HIS.PRIN_LIQ_ACCT</t>
        </is>
      </c>
    </row>
    <row r="199" ht="14.25" customHeight="1" s="335">
      <c r="A199" s="412">
        <f>B199&amp;C199&amp;D199</f>
        <v/>
      </c>
      <c r="B199" s="412" t="inlineStr">
        <is>
          <t>T24CORE</t>
        </is>
      </c>
      <c r="C199" s="412" t="inlineStr">
        <is>
          <t>LD_LOANS_AND_DEPOSITS_HIS</t>
        </is>
      </c>
      <c r="D199" s="412" t="inlineStr">
        <is>
          <t>REAL_RATE</t>
        </is>
      </c>
      <c r="E199" s="412" t="inlineStr">
        <is>
          <t>Lãi suâất thực tế</t>
        </is>
      </c>
      <c r="F199" s="410" t="inlineStr">
        <is>
          <t>X</t>
        </is>
      </c>
      <c r="G199" s="412" t="inlineStr">
        <is>
          <t>Loan Arrangement / Profile (History) / sk_lich_tra_no</t>
        </is>
      </c>
      <c r="H199" s="412" t="inlineStr">
        <is>
          <t>Real Rate</t>
        </is>
      </c>
      <c r="I199" s="412" t="inlineStr">
        <is>
          <t>Map 1:1 từ T24CORE.LD_LOANS_AND_DEPOSITS_HIS.REAL_RATE sang PG_BRONZE.T24CORE_LD_LOANS_AND_DEPOSITS_HIS.REAL_RATE</t>
        </is>
      </c>
      <c r="J199" s="410" t="inlineStr">
        <is>
          <t>2025-11-26</t>
        </is>
      </c>
      <c r="K199" s="385" t="inlineStr">
        <is>
          <t>1:1</t>
        </is>
      </c>
      <c r="L199" s="385" t="inlineStr">
        <is>
          <t>PG_BRONZE</t>
        </is>
      </c>
      <c r="M199" s="386" t="inlineStr">
        <is>
          <t>T24CORE_LD_LOANS_AND_DEPOSITS_HIS</t>
        </is>
      </c>
      <c r="N199" s="386" t="inlineStr">
        <is>
          <t>REAL_RATE</t>
        </is>
      </c>
      <c r="O199" s="385" t="inlineStr">
        <is>
          <t>NUMBER</t>
        </is>
      </c>
      <c r="P199" s="420" t="n">
        <v>13.7</v>
      </c>
      <c r="Q199" s="386">
        <f>"COMMENT ON COLUMN "&amp;L199&amp;"."&amp;M199&amp;"."&amp;N199&amp;" IS '"&amp;E199&amp;"';"</f>
        <v/>
      </c>
      <c r="R199" s="414" t="inlineStr">
        <is>
          <t>Map 1:1 nguyên bản từ T24CORE.LD_LOANS_AND_DEPOSITS_HIS.REAL_RATE -&gt; PG_BRONZE.T24CORE_LD_LOANS_AND_DEPOSITS_HIS.REAL_RATE</t>
        </is>
      </c>
    </row>
    <row r="200" ht="14.25" customHeight="1" s="335">
      <c r="A200" s="412">
        <f>B200&amp;C200&amp;D200</f>
        <v/>
      </c>
      <c r="B200" s="412" t="inlineStr">
        <is>
          <t>T24CORE</t>
        </is>
      </c>
      <c r="C200" s="412" t="inlineStr">
        <is>
          <t>LD_LOANS_AND_DEPOSITS_HIS</t>
        </is>
      </c>
      <c r="D200" s="412" t="inlineStr">
        <is>
          <t>RECID</t>
        </is>
      </c>
      <c r="E200" s="412" t="inlineStr">
        <is>
          <t>Mã Hợp đồng</t>
        </is>
      </c>
      <c r="F200" s="410" t="inlineStr">
        <is>
          <t>X</t>
        </is>
      </c>
      <c r="G200" s="412" t="inlineStr">
        <is>
          <t>Loan Arrangement</t>
        </is>
      </c>
      <c r="H200" s="412" t="inlineStr">
        <is>
          <t>Arrangement Code/Arrangement ID</t>
        </is>
      </c>
      <c r="I200" s="412" t="inlineStr">
        <is>
          <t>Map 1:1 từ T24CORE.LD_LOANS_AND_DEPOSITS_HIS.RECID sang PG_BRONZE.T24CORE_LD_LOANS_AND_DEPOSITS_HIS.RECID</t>
        </is>
      </c>
      <c r="J200" s="410" t="inlineStr">
        <is>
          <t>2025-11-26</t>
        </is>
      </c>
      <c r="K200" s="385" t="inlineStr">
        <is>
          <t>1:1</t>
        </is>
      </c>
      <c r="L200" s="385" t="inlineStr">
        <is>
          <t>PG_BRONZE</t>
        </is>
      </c>
      <c r="M200" s="386" t="inlineStr">
        <is>
          <t>T24CORE_LD_LOANS_AND_DEPOSITS_HIS</t>
        </is>
      </c>
      <c r="N200" s="386" t="inlineStr">
        <is>
          <t>RECID</t>
        </is>
      </c>
      <c r="O200" s="385" t="inlineStr">
        <is>
          <t>VARCHAR2</t>
        </is>
      </c>
      <c r="P200" s="420" t="n">
        <v>100</v>
      </c>
      <c r="Q200" s="386">
        <f>"COMMENT ON COLUMN "&amp;L200&amp;"."&amp;M200&amp;"."&amp;N200&amp;" IS '"&amp;E200&amp;"';"</f>
        <v/>
      </c>
      <c r="R200" s="414" t="inlineStr">
        <is>
          <t>Map 1:1 nguyên bản từ T24CORE.LD_LOANS_AND_DEPOSITS_HIS.RECID -&gt; PG_BRONZE.T24CORE_LD_LOANS_AND_DEPOSITS_HIS.RECID</t>
        </is>
      </c>
    </row>
    <row r="201" ht="14.25" customHeight="1" s="335">
      <c r="A201" s="412">
        <f>B201&amp;C201&amp;D201</f>
        <v/>
      </c>
      <c r="B201" s="412" t="inlineStr">
        <is>
          <t>T24CORE</t>
        </is>
      </c>
      <c r="C201" s="412" t="inlineStr">
        <is>
          <t>LD_LOANS_AND_DEPOSITS_HIS</t>
        </is>
      </c>
      <c r="D201" s="412" t="inlineStr">
        <is>
          <t>RECORD_STATUS</t>
        </is>
      </c>
      <c r="E201" s="412" t="inlineStr">
        <is>
          <t>Trạng thái bản ghi</t>
        </is>
      </c>
      <c r="F201" s="410" t="inlineStr">
        <is>
          <t>X</t>
        </is>
      </c>
      <c r="G201" s="412" t="inlineStr">
        <is>
          <t>Loan Arrangement / Profile (History) / sk_lich_tra_no</t>
        </is>
      </c>
      <c r="H201" s="412" t="inlineStr">
        <is>
          <t>Record Status</t>
        </is>
      </c>
      <c r="I201" s="412" t="inlineStr">
        <is>
          <t>Map 1:1 từ T24CORE.LD_LOANS_AND_DEPOSITS_HIS.RECORD_STATUS sang PG_BRONZE.T24CORE_LD_LOANS_AND_DEPOSITS_HIS.RECORD_STATUS</t>
        </is>
      </c>
      <c r="J201" s="410" t="inlineStr">
        <is>
          <t>2025-11-26</t>
        </is>
      </c>
      <c r="K201" s="385" t="inlineStr">
        <is>
          <t>1:1</t>
        </is>
      </c>
      <c r="L201" s="385" t="inlineStr">
        <is>
          <t>PG_BRONZE</t>
        </is>
      </c>
      <c r="M201" s="386" t="inlineStr">
        <is>
          <t>T24CORE_LD_LOANS_AND_DEPOSITS_HIS</t>
        </is>
      </c>
      <c r="N201" s="386" t="inlineStr">
        <is>
          <t>RECORD_STATUS</t>
        </is>
      </c>
      <c r="O201" s="385" t="inlineStr">
        <is>
          <t>VARCHAR2</t>
        </is>
      </c>
      <c r="P201" s="420" t="n">
        <v>100</v>
      </c>
      <c r="Q201" s="386">
        <f>"COMMENT ON COLUMN "&amp;L201&amp;"."&amp;M201&amp;"."&amp;N201&amp;" IS '"&amp;E201&amp;"';"</f>
        <v/>
      </c>
      <c r="R201" s="414" t="inlineStr">
        <is>
          <t>Map 1:1 nguyên bản từ T24CORE.LD_LOANS_AND_DEPOSITS_HIS.RECORD_STATUS -&gt; PG_BRONZE.T24CORE_LD_LOANS_AND_DEPOSITS_HIS.RECORD_STATUS</t>
        </is>
      </c>
    </row>
    <row r="202" ht="14.25" customHeight="1" s="335">
      <c r="A202" s="412">
        <f>B202&amp;C202&amp;D202</f>
        <v/>
      </c>
      <c r="B202" s="412" t="inlineStr">
        <is>
          <t>T24CORE</t>
        </is>
      </c>
      <c r="C202" s="412" t="inlineStr">
        <is>
          <t>LD_LOANS_AND_DEPOSITS_HIS</t>
        </is>
      </c>
      <c r="D202" s="412" t="inlineStr">
        <is>
          <t>USE_OF_LOAN</t>
        </is>
      </c>
      <c r="E202" s="412" t="inlineStr">
        <is>
          <t>Mã Mục đích vay</t>
        </is>
      </c>
      <c r="F202" s="410" t="inlineStr">
        <is>
          <t>X</t>
        </is>
      </c>
      <c r="G202" s="412" t="inlineStr">
        <is>
          <t>Loan Arrangement</t>
        </is>
      </c>
      <c r="H202" s="412" t="inlineStr">
        <is>
          <t>Arrangement Purpose Type Code</t>
        </is>
      </c>
      <c r="I202" s="412" t="inlineStr">
        <is>
          <t>Map 1:1 từ T24CORE.LD_LOANS_AND_DEPOSITS_HIS.USE_OF_LOAN sang PG_BRONZE.T24CORE_LD_LOANS_AND_DEPOSITS_HIS.USE_OF_LOAN</t>
        </is>
      </c>
      <c r="J202" s="410" t="inlineStr">
        <is>
          <t>2025-11-26</t>
        </is>
      </c>
      <c r="K202" s="385" t="inlineStr">
        <is>
          <t>1:1</t>
        </is>
      </c>
      <c r="L202" s="385" t="inlineStr">
        <is>
          <t>PG_BRONZE</t>
        </is>
      </c>
      <c r="M202" s="386" t="inlineStr">
        <is>
          <t>T24CORE_LD_LOANS_AND_DEPOSITS_HIS</t>
        </is>
      </c>
      <c r="N202" s="386" t="inlineStr">
        <is>
          <t>USE_OF_LOAN</t>
        </is>
      </c>
      <c r="O202" s="385" t="inlineStr">
        <is>
          <t>VARCHAR2</t>
        </is>
      </c>
      <c r="P202" s="420" t="n">
        <v>100</v>
      </c>
      <c r="Q202" s="386">
        <f>"COMMENT ON COLUMN "&amp;L202&amp;"."&amp;M202&amp;"."&amp;N202&amp;" IS '"&amp;E202&amp;"';"</f>
        <v/>
      </c>
      <c r="R202" s="414" t="inlineStr">
        <is>
          <t>Map 1:1 nguyên bản từ T24CORE.LD_LOANS_AND_DEPOSITS_HIS.USE_OF_LOAN -&gt; PG_BRONZE.T24CORE_LD_LOANS_AND_DEPOSITS_HIS.USE_OF_LOAN</t>
        </is>
      </c>
    </row>
    <row r="203" ht="14.25" customHeight="1" s="335">
      <c r="A203" s="412">
        <f>B203&amp;C203&amp;D203</f>
        <v/>
      </c>
      <c r="B203" s="412" t="inlineStr">
        <is>
          <t>T24CORE</t>
        </is>
      </c>
      <c r="C203" s="412" t="inlineStr">
        <is>
          <t>LD_LOANS_AND_DEPOSITS_HIS</t>
        </is>
      </c>
      <c r="D203" s="412" t="inlineStr">
        <is>
          <t>USE_OF_LOAN_CHA</t>
        </is>
      </c>
      <c r="E203" s="412" t="inlineStr">
        <is>
          <t>Mã nhóm mục đích vay</t>
        </is>
      </c>
      <c r="F203" s="410" t="inlineStr">
        <is>
          <t>X</t>
        </is>
      </c>
      <c r="G203" s="412" t="inlineStr">
        <is>
          <t>Loan Arrangement</t>
        </is>
      </c>
      <c r="H203" s="412" t="inlineStr">
        <is>
          <t>Arrangement Purpose Group Code</t>
        </is>
      </c>
      <c r="I203" s="412" t="inlineStr">
        <is>
          <t>Map 1:1 từ T24CORE.LD_LOANS_AND_DEPOSITS_HIS.USE_OF_LOAN_CHA sang PG_BRONZE.T24CORE_LD_LOANS_AND_DEPOSITS_HIS.USE_OF_LOAN_CHA</t>
        </is>
      </c>
      <c r="J203" s="410" t="inlineStr">
        <is>
          <t>2025-11-26</t>
        </is>
      </c>
      <c r="K203" s="385" t="inlineStr">
        <is>
          <t>1:1</t>
        </is>
      </c>
      <c r="L203" s="385" t="inlineStr">
        <is>
          <t>PG_BRONZE</t>
        </is>
      </c>
      <c r="M203" s="386" t="inlineStr">
        <is>
          <t>T24CORE_LD_LOANS_AND_DEPOSITS_HIS</t>
        </is>
      </c>
      <c r="N203" s="386" t="inlineStr">
        <is>
          <t>USE_OF_LOAN_CHA</t>
        </is>
      </c>
      <c r="O203" s="385" t="inlineStr">
        <is>
          <t>VARCHAR2</t>
        </is>
      </c>
      <c r="P203" s="420" t="n">
        <v>100</v>
      </c>
      <c r="Q203" s="386">
        <f>"COMMENT ON COLUMN "&amp;L203&amp;"."&amp;M203&amp;"."&amp;N203&amp;" IS '"&amp;E203&amp;"';"</f>
        <v/>
      </c>
      <c r="R203" s="414" t="inlineStr">
        <is>
          <t>Map 1:1 nguyên bản từ T24CORE.LD_LOANS_AND_DEPOSITS_HIS.USE_OF_LOAN_CHA -&gt; PG_BRONZE.T24CORE_LD_LOANS_AND_DEPOSITS_HIS.USE_OF_LOAN_CHA</t>
        </is>
      </c>
    </row>
    <row r="204" ht="14.25" customHeight="1" s="335">
      <c r="A204" s="412">
        <f>B204&amp;C204&amp;D204</f>
        <v/>
      </c>
      <c r="B204" s="412" t="inlineStr">
        <is>
          <t>T24CORE</t>
        </is>
      </c>
      <c r="C204" s="412" t="inlineStr">
        <is>
          <t>LD_LOANS_AND_DEPOSITS_HIS</t>
        </is>
      </c>
      <c r="D204" s="412" t="inlineStr">
        <is>
          <t>VALUE_DATE</t>
        </is>
      </c>
      <c r="E204" s="412" t="inlineStr">
        <is>
          <t>Ngày hiệu lực hợp đồng</t>
        </is>
      </c>
      <c r="F204" s="410" t="inlineStr">
        <is>
          <t>X</t>
        </is>
      </c>
      <c r="G204" s="412" t="inlineStr">
        <is>
          <t>Loan Arrangement</t>
        </is>
      </c>
      <c r="H204" s="412" t="inlineStr">
        <is>
          <t>Effective Date</t>
        </is>
      </c>
      <c r="I204" s="412" t="inlineStr">
        <is>
          <t>Map 1:1 từ T24CORE.LD_LOANS_AND_DEPOSITS_HIS.VALUE_DATE sang PG_BRONZE.T24CORE_LD_LOANS_AND_DEPOSITS_HIS.VALUE_DATE</t>
        </is>
      </c>
      <c r="J204" s="410" t="inlineStr">
        <is>
          <t>2025-11-26</t>
        </is>
      </c>
      <c r="K204" s="385" t="inlineStr">
        <is>
          <t>1:1</t>
        </is>
      </c>
      <c r="L204" s="385" t="inlineStr">
        <is>
          <t>PG_BRONZE</t>
        </is>
      </c>
      <c r="M204" s="386" t="inlineStr">
        <is>
          <t>T24CORE_LD_LOANS_AND_DEPOSITS_HIS</t>
        </is>
      </c>
      <c r="N204" s="386" t="inlineStr">
        <is>
          <t>VALUE_DATE</t>
        </is>
      </c>
      <c r="O204" s="385" t="inlineStr">
        <is>
          <t>DATE</t>
        </is>
      </c>
      <c r="P204" s="420" t="n">
        <v>8</v>
      </c>
      <c r="Q204" s="386">
        <f>"COMMENT ON COLUMN "&amp;L204&amp;"."&amp;M204&amp;"."&amp;N204&amp;" IS '"&amp;E204&amp;"';"</f>
        <v/>
      </c>
      <c r="R204" s="414" t="inlineStr">
        <is>
          <t>Map 1:1 nguyên bản từ T24CORE.LD_LOANS_AND_DEPOSITS_HIS.VALUE_DATE -&gt; PG_BRONZE.T24CORE_LD_LOANS_AND_DEPOSITS_HIS.VALUE_DATE</t>
        </is>
      </c>
    </row>
    <row r="205" ht="14.25" customHeight="1" s="335">
      <c r="A205" s="412">
        <f>B205&amp;C205&amp;D205</f>
        <v/>
      </c>
      <c r="B205" s="412" t="inlineStr">
        <is>
          <t>T24CORE</t>
        </is>
      </c>
      <c r="C205" s="412" t="inlineStr">
        <is>
          <t>LD_SCHEDULE_DEFINE_MV</t>
        </is>
      </c>
      <c r="D205" s="412" t="inlineStr">
        <is>
          <t>CONTRACT_ID</t>
        </is>
      </c>
      <c r="E205" s="412" t="inlineStr">
        <is>
          <t>Mã Hợp đồng</t>
        </is>
      </c>
      <c r="F205" s="410" t="inlineStr">
        <is>
          <t>X</t>
        </is>
      </c>
      <c r="G205" s="412" t="inlineStr">
        <is>
          <t>Arrangement Activity Schedule Item / sk_lich_tra_no</t>
        </is>
      </c>
      <c r="H205" s="412" t="inlineStr">
        <is>
          <t>Contract Id</t>
        </is>
      </c>
      <c r="I205" s="412" t="inlineStr">
        <is>
          <t>Map 1:1 từ T24CORE.LD_SCHEDULE_DEFINE_MV.CONTRACT_ID sang PG_BRONZE.T24CORE_LD_SCHEDULE_DEFINE_MV.CONTRACT_ID</t>
        </is>
      </c>
      <c r="J205" s="410" t="inlineStr">
        <is>
          <t>2025-11-26</t>
        </is>
      </c>
      <c r="K205" s="385" t="inlineStr">
        <is>
          <t>1:1</t>
        </is>
      </c>
      <c r="L205" s="385" t="inlineStr">
        <is>
          <t>PG_BRONZE</t>
        </is>
      </c>
      <c r="M205" s="386" t="inlineStr">
        <is>
          <t>T24CORE_LD_SCHEDULE_DEFINE_MV</t>
        </is>
      </c>
      <c r="N205" s="386" t="inlineStr">
        <is>
          <t>CONTRACT_ID</t>
        </is>
      </c>
      <c r="O205" s="385" t="inlineStr">
        <is>
          <t>VARCHAR2</t>
        </is>
      </c>
      <c r="P205" s="420" t="n">
        <v>100</v>
      </c>
      <c r="Q205" s="386">
        <f>"COMMENT ON COLUMN "&amp;L205&amp;"."&amp;M205&amp;"."&amp;N205&amp;" IS '"&amp;E205&amp;"';"</f>
        <v/>
      </c>
      <c r="R205" s="414" t="inlineStr">
        <is>
          <t>Map 1:1 nguyên bản từ T24CORE.LD_SCHEDULE_DEFINE_MV.CONTRACT_ID -&gt; PG_BRONZE.T24CORE_LD_SCHEDULE_DEFINE_MV.CONTRACT_ID</t>
        </is>
      </c>
    </row>
    <row r="206" ht="14.25" customHeight="1" s="335">
      <c r="A206" s="412">
        <f>B206&amp;C206&amp;D206</f>
        <v/>
      </c>
      <c r="B206" s="412" t="inlineStr">
        <is>
          <t>T24CORE</t>
        </is>
      </c>
      <c r="C206" s="412" t="inlineStr">
        <is>
          <t>LD_SCHEDULE_DEFINE_MV</t>
        </is>
      </c>
      <c r="D206" s="412" t="inlineStr">
        <is>
          <t>PREV_SCHED_DATE</t>
        </is>
      </c>
      <c r="E206" s="412" t="inlineStr">
        <is>
          <t>Ngày thanh toán gần nhất</t>
        </is>
      </c>
      <c r="F206" s="410" t="inlineStr">
        <is>
          <t>X</t>
        </is>
      </c>
      <c r="G206" s="412" t="inlineStr">
        <is>
          <t>Arrangement Activity Schedule Item / sk_lich_tra_no</t>
        </is>
      </c>
      <c r="H206" s="412" t="inlineStr">
        <is>
          <t>Prev Sched Date</t>
        </is>
      </c>
      <c r="I206" s="412" t="inlineStr">
        <is>
          <t>Map 1:1 từ T24CORE.LD_SCHEDULE_DEFINE_MV.PREV_SCHED_DATE sang PG_BRONZE.T24CORE_LD_SCHEDULE_DEFINE_MV.PREV_SCHED_DATE</t>
        </is>
      </c>
      <c r="J206" s="410" t="inlineStr">
        <is>
          <t>2025-11-26</t>
        </is>
      </c>
      <c r="K206" s="385" t="inlineStr">
        <is>
          <t>1:1</t>
        </is>
      </c>
      <c r="L206" s="385" t="inlineStr">
        <is>
          <t>PG_BRONZE</t>
        </is>
      </c>
      <c r="M206" s="386" t="inlineStr">
        <is>
          <t>T24CORE_LD_SCHEDULE_DEFINE_MV</t>
        </is>
      </c>
      <c r="N206" s="386" t="inlineStr">
        <is>
          <t>PREV_SCHED_DATE</t>
        </is>
      </c>
      <c r="O206" s="385" t="inlineStr">
        <is>
          <t>DATE</t>
        </is>
      </c>
      <c r="P206" s="420" t="n">
        <v>8</v>
      </c>
      <c r="Q206" s="386">
        <f>"COMMENT ON COLUMN "&amp;L206&amp;"."&amp;M206&amp;"."&amp;N206&amp;" IS '"&amp;E206&amp;"';"</f>
        <v/>
      </c>
      <c r="R206" s="414" t="inlineStr">
        <is>
          <t>Map 1:1 nguyên bản từ T24CORE.LD_SCHEDULE_DEFINE_MV.PREV_SCHED_DATE -&gt; PG_BRONZE.T24CORE_LD_SCHEDULE_DEFINE_MV.PREV_SCHED_DATE</t>
        </is>
      </c>
    </row>
    <row r="207" ht="14.25" customHeight="1" s="335">
      <c r="A207" s="412">
        <f>B207&amp;C207&amp;D207</f>
        <v/>
      </c>
      <c r="B207" s="412" t="inlineStr">
        <is>
          <t>T24CORE</t>
        </is>
      </c>
      <c r="C207" s="412" t="inlineStr">
        <is>
          <t>PD_PAYMENT_DUE</t>
        </is>
      </c>
      <c r="D207" s="412" t="inlineStr">
        <is>
          <t>AUTHORISER</t>
        </is>
      </c>
      <c r="E207" s="412" t="inlineStr">
        <is>
          <t>ID người phê duyệt</t>
        </is>
      </c>
      <c r="F207" s="410" t="inlineStr">
        <is>
          <t>X</t>
        </is>
      </c>
      <c r="G207" s="412" t="inlineStr">
        <is>
          <t>Arrangement x Involved Party Relationship</t>
        </is>
      </c>
      <c r="H207" s="412" t="inlineStr">
        <is>
          <t>Checker Officer</t>
        </is>
      </c>
      <c r="I207" s="412" t="inlineStr">
        <is>
          <t>Map 1:1 từ T24CORE.PD_PAYMENT_DUE.AUTHORISER sang PG_BRONZE.T24CORE_PD_PAYMENT_DUE.AUTHORISER</t>
        </is>
      </c>
      <c r="J207" s="410" t="inlineStr">
        <is>
          <t>2025-11-26</t>
        </is>
      </c>
      <c r="K207" s="385" t="inlineStr">
        <is>
          <t>1:1</t>
        </is>
      </c>
      <c r="L207" s="385" t="inlineStr">
        <is>
          <t>PG_BRONZE</t>
        </is>
      </c>
      <c r="M207" s="386" t="inlineStr">
        <is>
          <t>T24CORE_PD_PAYMENT_DUE</t>
        </is>
      </c>
      <c r="N207" s="386" t="inlineStr">
        <is>
          <t>AUTHORISER</t>
        </is>
      </c>
      <c r="O207" s="385" t="inlineStr">
        <is>
          <t>VARCHAR2</t>
        </is>
      </c>
      <c r="P207" s="420" t="n">
        <v>100</v>
      </c>
      <c r="Q207" s="386">
        <f>"COMMENT ON COLUMN "&amp;L207&amp;"."&amp;M207&amp;"."&amp;N207&amp;" IS '"&amp;E207&amp;"';"</f>
        <v/>
      </c>
      <c r="R207" s="414" t="inlineStr">
        <is>
          <t>Map 1:1 nguyên bản từ T24CORE.PD_PAYMENT_DUE.AUTHORISER -&gt; PG_BRONZE.T24CORE_PD_PAYMENT_DUE.AUTHORISER</t>
        </is>
      </c>
    </row>
    <row r="208" ht="14.25" customHeight="1" s="335">
      <c r="A208" s="412">
        <f>B208&amp;C208&amp;D208</f>
        <v/>
      </c>
      <c r="B208" s="412" t="inlineStr">
        <is>
          <t>T24CORE</t>
        </is>
      </c>
      <c r="C208" s="412" t="inlineStr">
        <is>
          <t>PD_PAYMENT_DUE</t>
        </is>
      </c>
      <c r="D208" s="412" t="inlineStr">
        <is>
          <t>CREDIT_STATUS</t>
        </is>
      </c>
      <c r="E208" s="412" t="inlineStr">
        <is>
          <t>Tình trạng tín dụng</t>
        </is>
      </c>
      <c r="F208" s="410" t="inlineStr">
        <is>
          <t>X</t>
        </is>
      </c>
      <c r="G208" s="412" t="inlineStr">
        <is>
          <t>Loan Arrangement Profile</t>
        </is>
      </c>
      <c r="H208" s="412" t="inlineStr">
        <is>
          <t>Financial Status Code</t>
        </is>
      </c>
      <c r="I208" s="412" t="inlineStr">
        <is>
          <t>Đối với LD trong hạn thì fix =1</t>
        </is>
      </c>
      <c r="J208" s="410" t="inlineStr">
        <is>
          <t>2025-11-26</t>
        </is>
      </c>
      <c r="K208" s="385" t="inlineStr">
        <is>
          <t>1:1</t>
        </is>
      </c>
      <c r="L208" s="385" t="inlineStr">
        <is>
          <t>PG_BRONZE</t>
        </is>
      </c>
      <c r="M208" s="386" t="inlineStr">
        <is>
          <t>T24CORE_PD_PAYMENT_DUE</t>
        </is>
      </c>
      <c r="N208" s="386" t="inlineStr">
        <is>
          <t>CREDIT_STATUS</t>
        </is>
      </c>
      <c r="O208" s="385" t="inlineStr">
        <is>
          <t>VARCHAR2</t>
        </is>
      </c>
      <c r="P208" s="420" t="n">
        <v>100</v>
      </c>
      <c r="Q208" s="386">
        <f>"COMMENT ON COLUMN "&amp;L208&amp;"."&amp;M208&amp;"."&amp;N208&amp;" IS '"&amp;E208&amp;"';"</f>
        <v/>
      </c>
      <c r="R208" s="414" t="inlineStr">
        <is>
          <t>Map 1:1 nguyên bản từ T24CORE.PD_PAYMENT_DUE.CREDIT_STATUS -&gt; PG_BRONZE.T24CORE_PD_PAYMENT_DUE.CREDIT_STATUS</t>
        </is>
      </c>
    </row>
    <row r="209" ht="14.25" customHeight="1" s="335">
      <c r="A209" s="412">
        <f>B209&amp;C209&amp;D209</f>
        <v/>
      </c>
      <c r="B209" s="412" t="inlineStr">
        <is>
          <t>T24CORE</t>
        </is>
      </c>
      <c r="C209" s="412" t="inlineStr">
        <is>
          <t>PD_PAYMENT_DUE</t>
        </is>
      </c>
      <c r="D209" s="412" t="inlineStr">
        <is>
          <t>CURR_NO</t>
        </is>
      </c>
      <c r="E209" s="412" t="inlineStr">
        <is>
          <t>Version hiện tại của bản ghi</t>
        </is>
      </c>
      <c r="F209" s="410" t="inlineStr">
        <is>
          <t>X</t>
        </is>
      </c>
      <c r="G209" s="412" t="inlineStr">
        <is>
          <t>Loan Arrangement / Delinquency Summary / sk_lich_tra_no</t>
        </is>
      </c>
      <c r="H209" s="412" t="inlineStr">
        <is>
          <t>Curr No</t>
        </is>
      </c>
      <c r="I209" s="412" t="inlineStr">
        <is>
          <t>Map 1:1 từ T24CORE.PD_PAYMENT_DUE.CURR_NO sang PG_BRONZE.T24CORE_PD_PAYMENT_DUE.CURR_NO</t>
        </is>
      </c>
      <c r="J209" s="419" t="inlineStr">
        <is>
          <t>2025-11-26</t>
        </is>
      </c>
      <c r="K209" s="385" t="inlineStr">
        <is>
          <t>1:1</t>
        </is>
      </c>
      <c r="L209" s="385" t="inlineStr">
        <is>
          <t>PG_BRONZE</t>
        </is>
      </c>
      <c r="M209" s="386" t="inlineStr">
        <is>
          <t>T24CORE_PD_PAYMENT_DUE</t>
        </is>
      </c>
      <c r="N209" s="386" t="inlineStr">
        <is>
          <t>CURR_NO</t>
        </is>
      </c>
      <c r="O209" s="385" t="inlineStr">
        <is>
          <t>NUMBER</t>
        </is>
      </c>
      <c r="P209" s="420" t="n">
        <v>10</v>
      </c>
      <c r="Q209" s="386">
        <f>"COMMENT ON COLUMN "&amp;L209&amp;"."&amp;M209&amp;"."&amp;N209&amp;" IS '"&amp;E209&amp;"';"</f>
        <v/>
      </c>
      <c r="R209" s="414" t="inlineStr">
        <is>
          <t>Map 1:1 nguyên bản từ T24CORE.PD_PAYMENT_DUE.CURR_NO -&gt; PG_BRONZE.T24CORE_PD_PAYMENT_DUE.CURR_NO</t>
        </is>
      </c>
    </row>
    <row r="210" ht="14.25" customHeight="1" s="335">
      <c r="A210" s="412">
        <f>B210&amp;C210&amp;D210</f>
        <v/>
      </c>
      <c r="B210" s="412" t="inlineStr">
        <is>
          <t>T24CORE</t>
        </is>
      </c>
      <c r="C210" s="412" t="inlineStr">
        <is>
          <t>PD_PAYMENT_DUE</t>
        </is>
      </c>
      <c r="D210" s="412" t="inlineStr">
        <is>
          <t>CUSTOMER</t>
        </is>
      </c>
      <c r="E210" s="412" t="inlineStr">
        <is>
          <t>Mã Khách hàng</t>
        </is>
      </c>
      <c r="F210" s="410" t="inlineStr">
        <is>
          <t>X</t>
        </is>
      </c>
      <c r="G210" s="412" t="inlineStr">
        <is>
          <t>Loan Arrangement</t>
        </is>
      </c>
      <c r="H210" s="412" t="inlineStr">
        <is>
          <t>Customer Code/ Customer ID</t>
        </is>
      </c>
      <c r="I210" s="412" t="inlineStr">
        <is>
          <t>Map 1:1 từ T24CORE.PD_PAYMENT_DUE.CUSTOMER sang PG_BRONZE.T24CORE_PD_PAYMENT_DUE.CUSTOMER</t>
        </is>
      </c>
      <c r="J210" s="410" t="inlineStr">
        <is>
          <t>2025-11-26</t>
        </is>
      </c>
      <c r="K210" s="385" t="inlineStr">
        <is>
          <t>1:1</t>
        </is>
      </c>
      <c r="L210" s="385" t="inlineStr">
        <is>
          <t>PG_BRONZE</t>
        </is>
      </c>
      <c r="M210" s="386" t="inlineStr">
        <is>
          <t>T24CORE_PD_PAYMENT_DUE</t>
        </is>
      </c>
      <c r="N210" s="386" t="inlineStr">
        <is>
          <t>CUSTOMER</t>
        </is>
      </c>
      <c r="O210" s="385" t="inlineStr">
        <is>
          <t>VARCHAR2</t>
        </is>
      </c>
      <c r="P210" s="420" t="n">
        <v>100</v>
      </c>
      <c r="Q210" s="386">
        <f>"COMMENT ON COLUMN "&amp;L210&amp;"."&amp;M210&amp;"."&amp;N210&amp;" IS '"&amp;E210&amp;"';"</f>
        <v/>
      </c>
      <c r="R210" s="414" t="inlineStr">
        <is>
          <t>Map 1:1 nguyên bản từ T24CORE.PD_PAYMENT_DUE.CUSTOMER -&gt; PG_BRONZE.T24CORE_PD_PAYMENT_DUE.CUSTOMER</t>
        </is>
      </c>
    </row>
    <row r="211" ht="14.25" customHeight="1" s="335">
      <c r="A211" s="412">
        <f>B211&amp;C211&amp;D211</f>
        <v/>
      </c>
      <c r="B211" s="412" t="inlineStr">
        <is>
          <t>T24CORE</t>
        </is>
      </c>
      <c r="C211" s="412" t="inlineStr">
        <is>
          <t>PD_PAYMENT_DUE</t>
        </is>
      </c>
      <c r="D211" s="412" t="inlineStr">
        <is>
          <t>FLAG_STATUS</t>
        </is>
      </c>
      <c r="E211" s="412" t="inlineStr">
        <is>
          <t>Trường FLAG_STATUS của bảng nguồn T24CORE.PD_PAYMENT_DUE</t>
        </is>
      </c>
      <c r="F211" s="410" t="inlineStr">
        <is>
          <t>X</t>
        </is>
      </c>
      <c r="G211" s="412" t="inlineStr">
        <is>
          <t>Loan Arrangement / Delinquency Summary / sk_lich_tra_no</t>
        </is>
      </c>
      <c r="H211" s="412" t="inlineStr">
        <is>
          <t>Flag Status</t>
        </is>
      </c>
      <c r="I211" s="412" t="inlineStr">
        <is>
          <t>Map 1:1 từ T24CORE.PD_PAYMENT_DUE.FLAG_STATUS sang PG_BRONZE.T24CORE_PD_PAYMENT_DUE.FLAG_STATUS</t>
        </is>
      </c>
      <c r="J211" s="410" t="inlineStr">
        <is>
          <t>2025-11-26</t>
        </is>
      </c>
      <c r="K211" s="385" t="inlineStr">
        <is>
          <t>1:1</t>
        </is>
      </c>
      <c r="L211" s="385" t="inlineStr">
        <is>
          <t>PG_BRONZE</t>
        </is>
      </c>
      <c r="M211" s="386" t="inlineStr">
        <is>
          <t>T24CORE_PD_PAYMENT_DUE</t>
        </is>
      </c>
      <c r="N211" s="386" t="inlineStr">
        <is>
          <t>FLAG_STATUS</t>
        </is>
      </c>
      <c r="O211" s="385" t="inlineStr">
        <is>
          <t>VARCHAR2</t>
        </is>
      </c>
      <c r="P211" s="420" t="n">
        <v>100</v>
      </c>
      <c r="Q211" s="386">
        <f>"COMMENT ON COLUMN "&amp;L211&amp;"."&amp;M211&amp;"."&amp;N211&amp;" IS '"&amp;E211&amp;"';"</f>
        <v/>
      </c>
      <c r="R211" s="414" t="inlineStr">
        <is>
          <t>Map 1:1 nguyên bản từ T24CORE.PD_PAYMENT_DUE.FLAG_STATUS -&gt; PG_BRONZE.T24CORE_PD_PAYMENT_DUE.FLAG_STATUS</t>
        </is>
      </c>
    </row>
    <row r="212" ht="14.25" customHeight="1" s="335">
      <c r="A212" s="412">
        <f>B212&amp;C212&amp;D212</f>
        <v/>
      </c>
      <c r="B212" s="412" t="inlineStr">
        <is>
          <t>T24CORE</t>
        </is>
      </c>
      <c r="C212" s="412" t="inlineStr">
        <is>
          <t>PD_PAYMENT_DUE</t>
        </is>
      </c>
      <c r="D212" s="412" t="inlineStr">
        <is>
          <t>INPUTTER</t>
        </is>
      </c>
      <c r="E212" s="412" t="inlineStr">
        <is>
          <t>ID người nhập liệu</t>
        </is>
      </c>
      <c r="F212" s="410" t="inlineStr">
        <is>
          <t>X</t>
        </is>
      </c>
      <c r="G212" s="412" t="inlineStr">
        <is>
          <t>Arrangement x Involved Party Relationship</t>
        </is>
      </c>
      <c r="H212" s="412" t="inlineStr">
        <is>
          <t>Maker Officer</t>
        </is>
      </c>
      <c r="I212" s="412" t="inlineStr">
        <is>
          <t>Map 1:1 từ T24CORE.PD_PAYMENT_DUE.INPUTTER sang PG_BRONZE.T24CORE_PD_PAYMENT_DUE.INPUTTER</t>
        </is>
      </c>
      <c r="J212" s="410" t="inlineStr">
        <is>
          <t>2025-11-26</t>
        </is>
      </c>
      <c r="K212" s="385" t="inlineStr">
        <is>
          <t>1:1</t>
        </is>
      </c>
      <c r="L212" s="385" t="inlineStr">
        <is>
          <t>PG_BRONZE</t>
        </is>
      </c>
      <c r="M212" s="386" t="inlineStr">
        <is>
          <t>T24CORE_PD_PAYMENT_DUE</t>
        </is>
      </c>
      <c r="N212" s="386" t="inlineStr">
        <is>
          <t>INPUTTER</t>
        </is>
      </c>
      <c r="O212" s="385" t="inlineStr">
        <is>
          <t>VARCHAR2</t>
        </is>
      </c>
      <c r="P212" s="420" t="n">
        <v>100</v>
      </c>
      <c r="Q212" s="386">
        <f>"COMMENT ON COLUMN "&amp;L212&amp;"."&amp;M212&amp;"."&amp;N212&amp;" IS '"&amp;E212&amp;"';"</f>
        <v/>
      </c>
      <c r="R212" s="414" t="inlineStr">
        <is>
          <t>Map 1:1 nguyên bản từ T24CORE.PD_PAYMENT_DUE.INPUTTER -&gt; PG_BRONZE.T24CORE_PD_PAYMENT_DUE.INPUTTER</t>
        </is>
      </c>
    </row>
    <row r="213" ht="14.25" customHeight="1" s="335">
      <c r="A213" s="412">
        <f>B213&amp;C213&amp;D213</f>
        <v/>
      </c>
      <c r="B213" s="412" t="inlineStr">
        <is>
          <t>T24CORE</t>
        </is>
      </c>
      <c r="C213" s="412" t="inlineStr">
        <is>
          <t>PD_PAYMENT_DUE</t>
        </is>
      </c>
      <c r="D213" s="412" t="inlineStr">
        <is>
          <t>LOS_FAC_CODE</t>
        </is>
      </c>
      <c r="E213" s="412" t="inlineStr">
        <is>
          <t>Số hồ sơ</t>
        </is>
      </c>
      <c r="F213" s="410" t="inlineStr">
        <is>
          <t>X</t>
        </is>
      </c>
      <c r="G213" s="412" t="inlineStr">
        <is>
          <t>Loan Arrangement</t>
        </is>
      </c>
      <c r="H213" s="412" t="inlineStr">
        <is>
          <t>Paper Contract Number</t>
        </is>
      </c>
      <c r="I213" s="412" t="inlineStr">
        <is>
          <t>Map 1:1 từ T24CORE.PD_PAYMENT_DUE.LOS_FAC_CODE sang PG_BRONZE.T24CORE_PD_PAYMENT_DUE.LOS_FAC_CODE</t>
        </is>
      </c>
      <c r="J213" s="410" t="inlineStr">
        <is>
          <t>2025-11-26</t>
        </is>
      </c>
      <c r="K213" s="385" t="inlineStr">
        <is>
          <t>1:1</t>
        </is>
      </c>
      <c r="L213" s="385" t="inlineStr">
        <is>
          <t>PG_BRONZE</t>
        </is>
      </c>
      <c r="M213" s="386" t="inlineStr">
        <is>
          <t>T24CORE_PD_PAYMENT_DUE</t>
        </is>
      </c>
      <c r="N213" s="386" t="inlineStr">
        <is>
          <t>LOS_FAC_CODE</t>
        </is>
      </c>
      <c r="O213" s="385" t="inlineStr">
        <is>
          <t>VARCHAR2</t>
        </is>
      </c>
      <c r="P213" s="420" t="n">
        <v>100</v>
      </c>
      <c r="Q213" s="386">
        <f>"COMMENT ON COLUMN "&amp;L213&amp;"."&amp;M213&amp;"."&amp;N213&amp;" IS '"&amp;E213&amp;"';"</f>
        <v/>
      </c>
      <c r="R213" s="414" t="inlineStr">
        <is>
          <t>Map 1:1 nguyên bản từ T24CORE.PD_PAYMENT_DUE.LOS_FAC_CODE -&gt; PG_BRONZE.T24CORE_PD_PAYMENT_DUE.LOS_FAC_CODE</t>
        </is>
      </c>
    </row>
    <row r="214" ht="14.25" customHeight="1" s="335">
      <c r="A214" s="412">
        <f>B214&amp;C214&amp;D214</f>
        <v/>
      </c>
      <c r="B214" s="412" t="inlineStr">
        <is>
          <t>T24CORE</t>
        </is>
      </c>
      <c r="C214" s="412" t="inlineStr">
        <is>
          <t>PD_PAYMENT_DUE</t>
        </is>
      </c>
      <c r="D214" s="412" t="inlineStr">
        <is>
          <t>ORIGINAL_MAT</t>
        </is>
      </c>
      <c r="E214" s="412" t="inlineStr">
        <is>
          <t>Kỳ hạn gốc</t>
        </is>
      </c>
      <c r="F214" s="410" t="inlineStr">
        <is>
          <t>X</t>
        </is>
      </c>
      <c r="G214" s="412" t="inlineStr">
        <is>
          <t>Loan Arrangement</t>
        </is>
      </c>
      <c r="H214" s="412" t="inlineStr">
        <is>
          <t>Maturity Date</t>
        </is>
      </c>
      <c r="I214" s="412" t="inlineStr">
        <is>
          <t>Map 1:1 từ T24CORE.PD_PAYMENT_DUE.ORIGINAL_MAT sang PG_BRONZE.T24CORE_PD_PAYMENT_DUE.ORIGINAL_MAT</t>
        </is>
      </c>
      <c r="J214" s="410" t="inlineStr">
        <is>
          <t>2025-11-26</t>
        </is>
      </c>
      <c r="K214" s="385" t="inlineStr">
        <is>
          <t>1:1</t>
        </is>
      </c>
      <c r="L214" s="385" t="inlineStr">
        <is>
          <t>PG_BRONZE</t>
        </is>
      </c>
      <c r="M214" s="386" t="inlineStr">
        <is>
          <t>T24CORE_PD_PAYMENT_DUE</t>
        </is>
      </c>
      <c r="N214" s="386" t="inlineStr">
        <is>
          <t>ORIGINAL_MAT</t>
        </is>
      </c>
      <c r="O214" s="385" t="inlineStr">
        <is>
          <t>DATE</t>
        </is>
      </c>
      <c r="P214" s="420" t="n">
        <v>8</v>
      </c>
      <c r="Q214" s="386">
        <f>"COMMENT ON COLUMN "&amp;L214&amp;"."&amp;M214&amp;"."&amp;N214&amp;" IS '"&amp;E214&amp;"';"</f>
        <v/>
      </c>
      <c r="R214" s="414" t="inlineStr">
        <is>
          <t>Map 1:1 nguyên bản từ T24CORE.PD_PAYMENT_DUE.ORIGINAL_MAT -&gt; PG_BRONZE.T24CORE_PD_PAYMENT_DUE.ORIGINAL_MAT</t>
        </is>
      </c>
    </row>
    <row r="215" ht="14.25" customHeight="1" s="335">
      <c r="A215" s="412">
        <f>B215&amp;C215&amp;D215</f>
        <v/>
      </c>
      <c r="B215" s="412" t="inlineStr">
        <is>
          <t>T24CORE</t>
        </is>
      </c>
      <c r="C215" s="412" t="inlineStr">
        <is>
          <t>PD_PAYMENT_DUE</t>
        </is>
      </c>
      <c r="D215" s="412" t="inlineStr">
        <is>
          <t>PD_TYPE</t>
        </is>
      </c>
      <c r="E215" s="412" t="inlineStr">
        <is>
          <t>Pd_type = 1 là các khoản phạt gốc quá hạn, lãi quá hạn đc migrate sang thành phần IN
Null là gốc, lãi quá hạn</t>
        </is>
      </c>
      <c r="F215" s="410" t="inlineStr">
        <is>
          <t>X</t>
        </is>
      </c>
      <c r="G215" s="412" t="inlineStr">
        <is>
          <t>Loan Arrangement / Delinquency Summary / sk_lich_tra_no</t>
        </is>
      </c>
      <c r="H215" s="412" t="inlineStr">
        <is>
          <t>Pd Type</t>
        </is>
      </c>
      <c r="I215" s="412" t="inlineStr">
        <is>
          <t>Map 1:1 từ T24CORE.PD_PAYMENT_DUE.PD_TYPE sang PG_BRONZE.T24CORE_PD_PAYMENT_DUE.PD_TYPE</t>
        </is>
      </c>
      <c r="J215" s="410" t="inlineStr">
        <is>
          <t>2025-11-26</t>
        </is>
      </c>
      <c r="K215" s="385" t="inlineStr">
        <is>
          <t>1:1</t>
        </is>
      </c>
      <c r="L215" s="385" t="inlineStr">
        <is>
          <t>PG_BRONZE</t>
        </is>
      </c>
      <c r="M215" s="386" t="inlineStr">
        <is>
          <t>T24CORE_PD_PAYMENT_DUE</t>
        </is>
      </c>
      <c r="N215" s="386" t="inlineStr">
        <is>
          <t>PD_TYPE</t>
        </is>
      </c>
      <c r="O215" s="385" t="inlineStr">
        <is>
          <t>VARCHAR2</t>
        </is>
      </c>
      <c r="P215" s="420" t="n">
        <v>100</v>
      </c>
      <c r="Q215" s="386">
        <f>"COMMENT ON COLUMN "&amp;L215&amp;"."&amp;M215&amp;"."&amp;N215&amp;" IS '"&amp;E215&amp;"';"</f>
        <v/>
      </c>
      <c r="R215" s="414" t="inlineStr">
        <is>
          <t>Map 1:1 nguyên bản từ T24CORE.PD_PAYMENT_DUE.PD_TYPE -&gt; PG_BRONZE.T24CORE_PD_PAYMENT_DUE.PD_TYPE</t>
        </is>
      </c>
    </row>
    <row r="216" ht="14.25" customHeight="1" s="335">
      <c r="A216" s="412">
        <f>B216&amp;C216&amp;D216</f>
        <v/>
      </c>
      <c r="B216" s="412" t="inlineStr">
        <is>
          <t>T24CORE</t>
        </is>
      </c>
      <c r="C216" s="412" t="inlineStr">
        <is>
          <t>PD_PAYMENT_DUE</t>
        </is>
      </c>
      <c r="D216" s="412" t="inlineStr">
        <is>
          <t>PE_RATE</t>
        </is>
      </c>
      <c r="E216" s="412" t="inlineStr">
        <is>
          <t>Lãi phạt penalty rate</t>
        </is>
      </c>
      <c r="F216" s="410" t="inlineStr">
        <is>
          <t>X</t>
        </is>
      </c>
      <c r="G216" s="412" t="inlineStr">
        <is>
          <t>Arrangement Rate History</t>
        </is>
      </c>
      <c r="H216" s="412" t="inlineStr">
        <is>
          <t>Penalty Rate</t>
        </is>
      </c>
      <c r="I216" s="412" t="inlineStr">
        <is>
          <t>Map 1:1 từ T24CORE.PD_PAYMENT_DUE.PE_RATE sang PG_BRONZE.T24CORE_PD_PAYMENT_DUE.PE_RATE</t>
        </is>
      </c>
      <c r="J216" s="410" t="inlineStr">
        <is>
          <t>2025-11-26</t>
        </is>
      </c>
      <c r="K216" s="385" t="inlineStr">
        <is>
          <t>1:1</t>
        </is>
      </c>
      <c r="L216" s="385" t="inlineStr">
        <is>
          <t>PG_BRONZE</t>
        </is>
      </c>
      <c r="M216" s="386" t="inlineStr">
        <is>
          <t>T24CORE_PD_PAYMENT_DUE</t>
        </is>
      </c>
      <c r="N216" s="386" t="inlineStr">
        <is>
          <t>PE_RATE</t>
        </is>
      </c>
      <c r="O216" s="385" t="inlineStr">
        <is>
          <t>NUMBER</t>
        </is>
      </c>
      <c r="P216" s="420" t="n">
        <v>13.7</v>
      </c>
      <c r="Q216" s="386">
        <f>"COMMENT ON COLUMN "&amp;L216&amp;"."&amp;M216&amp;"."&amp;N216&amp;" IS '"&amp;E216&amp;"';"</f>
        <v/>
      </c>
      <c r="R216" s="414" t="inlineStr">
        <is>
          <t>Map 1:1 nguyên bản từ T24CORE.PD_PAYMENT_DUE.PE_RATE -&gt; PG_BRONZE.T24CORE_PD_PAYMENT_DUE.PE_RATE</t>
        </is>
      </c>
    </row>
    <row r="217" ht="14.25" customHeight="1" s="335">
      <c r="A217" s="412">
        <f>B217&amp;C217&amp;D217</f>
        <v/>
      </c>
      <c r="B217" s="412" t="inlineStr">
        <is>
          <t>T24CORE</t>
        </is>
      </c>
      <c r="C217" s="412" t="inlineStr">
        <is>
          <t>PD_PAYMENT_DUE</t>
        </is>
      </c>
      <c r="D217" s="412" t="inlineStr">
        <is>
          <t>PENALTY_RATE</t>
        </is>
      </c>
      <c r="E217" s="412" t="inlineStr">
        <is>
          <t>Lãi suất phạt quá hạn danh nghĩa (Penalty Rate)</t>
        </is>
      </c>
      <c r="F217" s="410" t="inlineStr">
        <is>
          <t>X</t>
        </is>
      </c>
      <c r="G217" s="412" t="inlineStr">
        <is>
          <t>Loan Arrangement / Delinquency Summary / sk_lich_tra_no</t>
        </is>
      </c>
      <c r="H217" s="412" t="inlineStr">
        <is>
          <t>Penalty Rate</t>
        </is>
      </c>
      <c r="I217" s="412" t="inlineStr">
        <is>
          <t>Map 1:1 từ T24CORE.PD_PAYMENT_DUE.PENALTY_RATE sang PG_BRONZE.T24CORE_PD_PAYMENT_DUE.PENALTY_RATE</t>
        </is>
      </c>
      <c r="J217" s="410" t="inlineStr">
        <is>
          <t>2025-11-26</t>
        </is>
      </c>
      <c r="K217" s="385" t="inlineStr">
        <is>
          <t>1:1</t>
        </is>
      </c>
      <c r="L217" s="385" t="inlineStr">
        <is>
          <t>PG_BRONZE</t>
        </is>
      </c>
      <c r="M217" s="386" t="inlineStr">
        <is>
          <t>T24CORE_PD_PAYMENT_DUE</t>
        </is>
      </c>
      <c r="N217" s="386" t="inlineStr">
        <is>
          <t>PENALTY_RATE</t>
        </is>
      </c>
      <c r="O217" s="385" t="inlineStr">
        <is>
          <t>NUMBER</t>
        </is>
      </c>
      <c r="P217" s="420" t="n">
        <v>13.7</v>
      </c>
      <c r="Q217" s="386">
        <f>"COMMENT ON COLUMN "&amp;L217&amp;"."&amp;M217&amp;"."&amp;N217&amp;" IS '"&amp;E217&amp;"';"</f>
        <v/>
      </c>
      <c r="R217" s="414" t="inlineStr">
        <is>
          <t>Map 1:1 nguyên bản từ T24CORE.PD_PAYMENT_DUE.PENALTY_RATE -&gt; PG_BRONZE.T24CORE_PD_PAYMENT_DUE.PENALTY_RATE</t>
        </is>
      </c>
    </row>
    <row r="218" ht="14.25" customHeight="1" s="335">
      <c r="A218" s="412">
        <f>B218&amp;C218&amp;D218</f>
        <v/>
      </c>
      <c r="B218" s="412" t="inlineStr">
        <is>
          <t>T24CORE</t>
        </is>
      </c>
      <c r="C218" s="412" t="inlineStr">
        <is>
          <t>PD_PAYMENT_DUE</t>
        </is>
      </c>
      <c r="D218" s="412" t="inlineStr">
        <is>
          <t>RECID</t>
        </is>
      </c>
      <c r="E218" s="412" t="inlineStr">
        <is>
          <t>Mã hợp đồng</t>
        </is>
      </c>
      <c r="F218" s="410" t="inlineStr">
        <is>
          <t>X</t>
        </is>
      </c>
      <c r="G218" s="412" t="inlineStr">
        <is>
          <t>Loan Arrangement</t>
        </is>
      </c>
      <c r="H218" s="412" t="inlineStr">
        <is>
          <t>Arrangement Code/Arrangement ID</t>
        </is>
      </c>
      <c r="I218" s="412" t="inlineStr">
        <is>
          <t>Map 1:1 từ T24CORE.PD_PAYMENT_DUE.RECID sang PG_BRONZE.T24CORE_PD_PAYMENT_DUE.RECID</t>
        </is>
      </c>
      <c r="J218" s="410" t="inlineStr">
        <is>
          <t>2025-11-26</t>
        </is>
      </c>
      <c r="K218" s="385" t="inlineStr">
        <is>
          <t>1:1</t>
        </is>
      </c>
      <c r="L218" s="385" t="inlineStr">
        <is>
          <t>PG_BRONZE</t>
        </is>
      </c>
      <c r="M218" s="386" t="inlineStr">
        <is>
          <t>T24CORE_PD_PAYMENT_DUE</t>
        </is>
      </c>
      <c r="N218" s="386" t="inlineStr">
        <is>
          <t>RECID</t>
        </is>
      </c>
      <c r="O218" s="385" t="inlineStr">
        <is>
          <t>VARCHAR2</t>
        </is>
      </c>
      <c r="P218" s="420" t="n">
        <v>100</v>
      </c>
      <c r="Q218" s="386">
        <f>"COMMENT ON COLUMN "&amp;L218&amp;"."&amp;M218&amp;"."&amp;N218&amp;" IS '"&amp;E218&amp;"';"</f>
        <v/>
      </c>
      <c r="R218" s="414" t="inlineStr">
        <is>
          <t>Map 1:1 nguyên bản từ T24CORE.PD_PAYMENT_DUE.RECID -&gt; PG_BRONZE.T24CORE_PD_PAYMENT_DUE.RECID</t>
        </is>
      </c>
    </row>
    <row r="219" ht="14.25" customHeight="1" s="335">
      <c r="A219" s="412">
        <f>B219&amp;C219&amp;D219</f>
        <v/>
      </c>
      <c r="B219" s="412" t="inlineStr">
        <is>
          <t>T24CORE</t>
        </is>
      </c>
      <c r="C219" s="412" t="inlineStr">
        <is>
          <t>PD_PAYMENT_DUE</t>
        </is>
      </c>
      <c r="D219" s="412" t="inlineStr">
        <is>
          <t>SNQH_CHUYENDOI</t>
        </is>
      </c>
      <c r="E219" s="412" t="inlineStr">
        <is>
          <t>Số ngày quá hạn chuyển đổi</t>
        </is>
      </c>
      <c r="F219" s="410" t="inlineStr">
        <is>
          <t>X</t>
        </is>
      </c>
      <c r="G219" s="412" t="inlineStr">
        <is>
          <t>Arrangement Delinquency Summary</t>
        </is>
      </c>
      <c r="H219" s="412" t="inlineStr">
        <is>
          <t>Snqh Chuyendoi</t>
        </is>
      </c>
      <c r="I219" s="412" t="inlineStr">
        <is>
          <t>Map 1:1 từ T24CORE.PD_PAYMENT_DUE.SNQH_CHUYENDOI sang PG_BRONZE.T24CORE_PD_PAYMENT_DUE.SNQH_CHUYENDOI</t>
        </is>
      </c>
      <c r="J219" s="410" t="inlineStr">
        <is>
          <t>2025-11-26</t>
        </is>
      </c>
      <c r="K219" s="385" t="inlineStr">
        <is>
          <t>1:1</t>
        </is>
      </c>
      <c r="L219" s="385" t="inlineStr">
        <is>
          <t>PG_BRONZE</t>
        </is>
      </c>
      <c r="M219" s="386" t="inlineStr">
        <is>
          <t>T24CORE_PD_PAYMENT_DUE</t>
        </is>
      </c>
      <c r="N219" s="386" t="inlineStr">
        <is>
          <t>SNQH_CHUYENDOI</t>
        </is>
      </c>
      <c r="O219" s="385" t="inlineStr">
        <is>
          <t>NUMBER</t>
        </is>
      </c>
      <c r="P219" s="420" t="n">
        <v>10</v>
      </c>
      <c r="Q219" s="386">
        <f>"COMMENT ON COLUMN "&amp;L219&amp;"."&amp;M219&amp;"."&amp;N219&amp;" IS '"&amp;E219&amp;"';"</f>
        <v/>
      </c>
      <c r="R219" s="414" t="inlineStr">
        <is>
          <t>Map 1:1 nguyên bản từ T24CORE.PD_PAYMENT_DUE.SNQH_CHUYENDOI -&gt; PG_BRONZE.T24CORE_PD_PAYMENT_DUE.SNQH_CHUYENDOI</t>
        </is>
      </c>
    </row>
    <row r="220" ht="14.25" customHeight="1" s="335">
      <c r="A220" s="412">
        <f>B220&amp;C220&amp;D220</f>
        <v/>
      </c>
      <c r="B220" s="412" t="inlineStr">
        <is>
          <t>T24CORE</t>
        </is>
      </c>
      <c r="C220" s="412" t="inlineStr">
        <is>
          <t>PD_PAYMENT_DUE</t>
        </is>
      </c>
      <c r="D220" s="412" t="inlineStr">
        <is>
          <t>USE_OF_LOAN</t>
        </is>
      </c>
      <c r="E220" s="412" t="inlineStr">
        <is>
          <t>Mã mục đích vay</t>
        </is>
      </c>
      <c r="F220" s="410" t="inlineStr">
        <is>
          <t>X</t>
        </is>
      </c>
      <c r="G220" s="412" t="inlineStr">
        <is>
          <t>Loan Arrangement</t>
        </is>
      </c>
      <c r="H220" s="412" t="inlineStr">
        <is>
          <t>Arrangement Purpose Type Code</t>
        </is>
      </c>
      <c r="I220" s="412" t="inlineStr">
        <is>
          <t>Map 1:1 từ T24CORE.PD_PAYMENT_DUE.USE_OF_LOAN sang PG_BRONZE.T24CORE_PD_PAYMENT_DUE.USE_OF_LOAN</t>
        </is>
      </c>
      <c r="J220" s="410" t="inlineStr">
        <is>
          <t>2025-11-26</t>
        </is>
      </c>
      <c r="K220" s="385" t="inlineStr">
        <is>
          <t>1:1</t>
        </is>
      </c>
      <c r="L220" s="385" t="inlineStr">
        <is>
          <t>PG_BRONZE</t>
        </is>
      </c>
      <c r="M220" s="386" t="inlineStr">
        <is>
          <t>T24CORE_PD_PAYMENT_DUE</t>
        </is>
      </c>
      <c r="N220" s="386" t="inlineStr">
        <is>
          <t>USE_OF_LOAN</t>
        </is>
      </c>
      <c r="O220" s="385" t="inlineStr">
        <is>
          <t>VARCHAR2</t>
        </is>
      </c>
      <c r="P220" s="420" t="n">
        <v>100</v>
      </c>
      <c r="Q220" s="386">
        <f>"COMMENT ON COLUMN "&amp;L220&amp;"."&amp;M220&amp;"."&amp;N220&amp;" IS '"&amp;E220&amp;"';"</f>
        <v/>
      </c>
      <c r="R220" s="414" t="inlineStr">
        <is>
          <t>Map 1:1 nguyên bản từ T24CORE.PD_PAYMENT_DUE.USE_OF_LOAN -&gt; PG_BRONZE.T24CORE_PD_PAYMENT_DUE.USE_OF_LOAN</t>
        </is>
      </c>
    </row>
    <row r="221" ht="14.25" customHeight="1" s="335">
      <c r="A221" s="412">
        <f>B221&amp;C221&amp;D221</f>
        <v/>
      </c>
      <c r="B221" s="412" t="inlineStr">
        <is>
          <t>T24CORE</t>
        </is>
      </c>
      <c r="C221" s="412" t="inlineStr">
        <is>
          <t>PD_PAYMENT_DUE</t>
        </is>
      </c>
      <c r="D221" s="412" t="inlineStr">
        <is>
          <t>USE_OF_LOAN_CHA</t>
        </is>
      </c>
      <c r="E221" s="412" t="inlineStr">
        <is>
          <t>Mã nhóm mục đích vay</t>
        </is>
      </c>
      <c r="F221" s="410" t="inlineStr">
        <is>
          <t>X</t>
        </is>
      </c>
      <c r="G221" s="412" t="inlineStr">
        <is>
          <t>Loan Arrangement</t>
        </is>
      </c>
      <c r="H221" s="412" t="inlineStr">
        <is>
          <t>Arrangement Purpose Group Code</t>
        </is>
      </c>
      <c r="I221" s="412" t="inlineStr">
        <is>
          <t>Map 1:1 từ T24CORE.PD_PAYMENT_DUE.USE_OF_LOAN_CHA sang PG_BRONZE.T24CORE_PD_PAYMENT_DUE.USE_OF_LOAN_CHA</t>
        </is>
      </c>
      <c r="J221" s="410" t="inlineStr">
        <is>
          <t>2025-11-26</t>
        </is>
      </c>
      <c r="K221" s="385" t="inlineStr">
        <is>
          <t>1:1</t>
        </is>
      </c>
      <c r="L221" s="385" t="inlineStr">
        <is>
          <t>PG_BRONZE</t>
        </is>
      </c>
      <c r="M221" s="386" t="inlineStr">
        <is>
          <t>T24CORE_PD_PAYMENT_DUE</t>
        </is>
      </c>
      <c r="N221" s="386" t="inlineStr">
        <is>
          <t>USE_OF_LOAN_CHA</t>
        </is>
      </c>
      <c r="O221" s="385" t="inlineStr">
        <is>
          <t>VARCHAR2</t>
        </is>
      </c>
      <c r="P221" s="420" t="n">
        <v>100</v>
      </c>
      <c r="Q221" s="386">
        <f>"COMMENT ON COLUMN "&amp;L221&amp;"."&amp;M221&amp;"."&amp;N221&amp;" IS '"&amp;E221&amp;"';"</f>
        <v/>
      </c>
      <c r="R221" s="414" t="inlineStr">
        <is>
          <t>Map 1:1 nguyên bản từ T24CORE.PD_PAYMENT_DUE.USE_OF_LOAN_CHA -&gt; PG_BRONZE.T24CORE_PD_PAYMENT_DUE.USE_OF_LOAN_CHA</t>
        </is>
      </c>
    </row>
    <row r="222" ht="14.25" customHeight="1" s="335">
      <c r="A222" s="412">
        <f>B222&amp;C222&amp;D222</f>
        <v/>
      </c>
      <c r="B222" s="412" t="inlineStr">
        <is>
          <t>T24CORE</t>
        </is>
      </c>
      <c r="C222" s="412" t="inlineStr">
        <is>
          <t>PD_PAYMENT_DUE</t>
        </is>
      </c>
      <c r="D222" s="412" t="inlineStr">
        <is>
          <t>PAYMENT_DTE_DUE</t>
        </is>
      </c>
      <c r="E222" s="412" t="inlineStr">
        <is>
          <t>Hạn thanh toán</t>
        </is>
      </c>
      <c r="F222" s="410" t="inlineStr">
        <is>
          <t>X</t>
        </is>
      </c>
      <c r="G222" s="412" t="inlineStr">
        <is>
          <t>Loan Arrangement</t>
        </is>
      </c>
      <c r="H222" s="412" t="inlineStr">
        <is>
          <t>Effective Date</t>
        </is>
      </c>
      <c r="I222" s="412" t="inlineStr">
        <is>
          <t>Map 1:1 từ T24CORE.PD_PAYMENT_DUE.PAYMENT_DTE_DUE sang PG_BRONZE.T24CORE_PD_PAYMENT_DUE.PAYMENT_DTE_DUE</t>
        </is>
      </c>
      <c r="J222" s="410" t="inlineStr">
        <is>
          <t>2025-11-26</t>
        </is>
      </c>
      <c r="K222" s="385" t="inlineStr">
        <is>
          <t>1:1</t>
        </is>
      </c>
      <c r="L222" s="385" t="inlineStr">
        <is>
          <t>PG_BRONZE</t>
        </is>
      </c>
      <c r="M222" s="386" t="inlineStr">
        <is>
          <t>T24CORE_PD_PAYMENT_DUE</t>
        </is>
      </c>
      <c r="N222" s="386" t="inlineStr">
        <is>
          <t>PAYMENT_DTE_DUE</t>
        </is>
      </c>
      <c r="O222" s="385" t="inlineStr">
        <is>
          <t>DATE</t>
        </is>
      </c>
      <c r="P222" s="420" t="n">
        <v>8</v>
      </c>
      <c r="Q222" s="386">
        <f>"COMMENT ON COLUMN "&amp;L222&amp;"."&amp;M222&amp;"."&amp;N222&amp;" IS '"&amp;E222&amp;"';"</f>
        <v/>
      </c>
      <c r="R222" s="414" t="inlineStr">
        <is>
          <t>Map 1:1 nguyên bản từ T24CORE.PD_PAYMENT_DUE.PAYMENT_DTE_DUE -&gt; PG_BRONZE.T24CORE_PD_PAYMENT_DUE.PAYMENT_DTE_DUE</t>
        </is>
      </c>
    </row>
    <row r="223" ht="14.25" customHeight="1" s="335">
      <c r="A223" s="412">
        <f>B223&amp;C223&amp;D223</f>
        <v/>
      </c>
      <c r="B223" s="412" t="inlineStr">
        <is>
          <t>T24CORE</t>
        </is>
      </c>
      <c r="C223" s="412" t="inlineStr">
        <is>
          <t>PD_PAYMENT_DUE</t>
        </is>
      </c>
      <c r="D223" s="412" t="inlineStr">
        <is>
          <t>LIMIT_REFERENCE</t>
        </is>
      </c>
      <c r="E223" s="412" t="inlineStr">
        <is>
          <t>Mã tham chiếu hạn mức</t>
        </is>
      </c>
      <c r="F223" s="410" t="inlineStr">
        <is>
          <t>X</t>
        </is>
      </c>
      <c r="G223" s="412" t="inlineStr">
        <is>
          <t>Loan Arrangement</t>
        </is>
      </c>
      <c r="H223" s="412" t="inlineStr">
        <is>
          <t>Limit Id/  Limit Code</t>
        </is>
      </c>
      <c r="I223" s="412" t="inlineStr">
        <is>
          <t>Map 1:1 từ T24CORE.PD_PAYMENT_DUE.LIMIT_REFERENCE sang PG_BRONZE.T24CORE_PD_PAYMENT_DUE.LIMIT_REFERENCE</t>
        </is>
      </c>
      <c r="J223" s="410" t="inlineStr">
        <is>
          <t>2025-11-26</t>
        </is>
      </c>
      <c r="K223" s="385" t="inlineStr">
        <is>
          <t>1:1</t>
        </is>
      </c>
      <c r="L223" s="385" t="inlineStr">
        <is>
          <t>PG_BRONZE</t>
        </is>
      </c>
      <c r="M223" s="386" t="inlineStr">
        <is>
          <t>T24CORE_PD_PAYMENT_DUE</t>
        </is>
      </c>
      <c r="N223" s="386" t="inlineStr">
        <is>
          <t>LIMIT_REFERENCE</t>
        </is>
      </c>
      <c r="O223" s="385" t="inlineStr">
        <is>
          <t>VARCHAR2</t>
        </is>
      </c>
      <c r="P223" s="420" t="n">
        <v>100</v>
      </c>
      <c r="Q223" s="386">
        <f>"COMMENT ON COLUMN "&amp;L223&amp;"."&amp;M223&amp;"."&amp;N223&amp;" IS '"&amp;E223&amp;"';"</f>
        <v/>
      </c>
      <c r="R223" s="414" t="inlineStr">
        <is>
          <t>Map 1:1 nguyên bản từ T24CORE.PD_PAYMENT_DUE.LIMIT_REFERENCE -&gt; PG_BRONZE.T24CORE_PD_PAYMENT_DUE.LIMIT_REFERENCE</t>
        </is>
      </c>
    </row>
    <row r="224" ht="14.25" customHeight="1" s="335">
      <c r="A224" s="412">
        <f>B224&amp;C224&amp;D224</f>
        <v/>
      </c>
      <c r="B224" s="412" t="inlineStr">
        <is>
          <t>T24CORE</t>
        </is>
      </c>
      <c r="C224" s="412" t="inlineStr">
        <is>
          <t>PD_PAYMENT_DUE</t>
        </is>
      </c>
      <c r="D224" s="412" t="inlineStr">
        <is>
          <t>PS_RATE</t>
        </is>
      </c>
      <c r="E224" s="412" t="inlineStr">
        <is>
          <t>Lãi suất cho quá hạn</t>
        </is>
      </c>
      <c r="F224" s="410" t="inlineStr">
        <is>
          <t>X</t>
        </is>
      </c>
      <c r="G224" s="412" t="inlineStr">
        <is>
          <t>Arrangement Rate History</t>
        </is>
      </c>
      <c r="H224" s="412" t="inlineStr">
        <is>
          <t>Overdue Interest Rate</t>
        </is>
      </c>
      <c r="I224" s="412" t="inlineStr">
        <is>
          <t>Map 1:1 từ T24CORE.PD_PAYMENT_DUE.PS_RATE sang PG_BRONZE.T24CORE_PD_PAYMENT_DUE.PS_RATE</t>
        </is>
      </c>
      <c r="J224" s="410" t="inlineStr">
        <is>
          <t>2025-11-26</t>
        </is>
      </c>
      <c r="K224" s="385" t="inlineStr">
        <is>
          <t>1:1</t>
        </is>
      </c>
      <c r="L224" s="385" t="inlineStr">
        <is>
          <t>PG_BRONZE</t>
        </is>
      </c>
      <c r="M224" s="386" t="inlineStr">
        <is>
          <t>T24CORE_PD_PAYMENT_DUE</t>
        </is>
      </c>
      <c r="N224" s="386" t="inlineStr">
        <is>
          <t>PS_RATE</t>
        </is>
      </c>
      <c r="O224" s="385" t="inlineStr">
        <is>
          <t>NUMBER</t>
        </is>
      </c>
      <c r="P224" s="420" t="n">
        <v>13.7</v>
      </c>
      <c r="Q224" s="386">
        <f>"COMMENT ON COLUMN "&amp;L224&amp;"."&amp;M224&amp;"."&amp;N224&amp;" IS '"&amp;E224&amp;"';"</f>
        <v/>
      </c>
      <c r="R224" s="414" t="inlineStr">
        <is>
          <t>Map 1:1 nguyên bản từ T24CORE.PD_PAYMENT_DUE.PS_RATE -&gt; PG_BRONZE.T24CORE_PD_PAYMENT_DUE.PS_RATE</t>
        </is>
      </c>
    </row>
    <row r="225" ht="14.25" customHeight="1" s="335">
      <c r="A225" s="412">
        <f>B225&amp;C225&amp;D225</f>
        <v/>
      </c>
      <c r="B225" s="412" t="inlineStr">
        <is>
          <t>T24CORE</t>
        </is>
      </c>
      <c r="C225" s="412" t="inlineStr">
        <is>
          <t>PD_PAYMENT_DUE</t>
        </is>
      </c>
      <c r="D225" s="412" t="inlineStr">
        <is>
          <t>CRA_LD</t>
        </is>
      </c>
      <c r="E225" s="412" t="inlineStr">
        <is>
          <t>Số hợp đồng tín dụng giấy (Paper Contract Number)</t>
        </is>
      </c>
      <c r="F225" s="410" t="inlineStr">
        <is>
          <t>X</t>
        </is>
      </c>
      <c r="G225" s="412" t="inlineStr">
        <is>
          <t>Loan Arrangement</t>
        </is>
      </c>
      <c r="H225" s="412" t="inlineStr">
        <is>
          <t>Paper Contract Number</t>
        </is>
      </c>
      <c r="I225" s="412" t="inlineStr">
        <is>
          <t>Map 1:1 từ T24CORE.PD_PAYMENT_DUE.CRA_LD sang PG_BRONZE.T24CORE_PD_PAYMENT_DUE.CRA_LD</t>
        </is>
      </c>
      <c r="J225" s="410" t="inlineStr">
        <is>
          <t>2025-11-26</t>
        </is>
      </c>
      <c r="K225" s="385" t="inlineStr">
        <is>
          <t>1:1</t>
        </is>
      </c>
      <c r="L225" s="385" t="inlineStr">
        <is>
          <t>PG_BRONZE</t>
        </is>
      </c>
      <c r="M225" s="386" t="inlineStr">
        <is>
          <t>T24CORE_PD_PAYMENT_DUE</t>
        </is>
      </c>
      <c r="N225" s="386" t="inlineStr">
        <is>
          <t>CRA_LD</t>
        </is>
      </c>
      <c r="O225" s="385" t="inlineStr">
        <is>
          <t>VARCHAR2</t>
        </is>
      </c>
      <c r="P225" s="420" t="n">
        <v>100</v>
      </c>
      <c r="Q225" s="386">
        <f>"COMMENT ON COLUMN "&amp;L225&amp;"."&amp;M225&amp;"."&amp;N225&amp;" IS '"&amp;E225&amp;"';"</f>
        <v/>
      </c>
      <c r="R225" s="414" t="inlineStr">
        <is>
          <t>Map 1:1 nguyên bản từ T24CORE.PD_PAYMENT_DUE.CRA_LD -&gt; PG_BRONZE.T24CORE_PD_PAYMENT_DUE.CRA_LD</t>
        </is>
      </c>
    </row>
    <row r="226" ht="14.25" customHeight="1" s="335">
      <c r="A226" s="412">
        <f>B226&amp;C226&amp;D226</f>
        <v/>
      </c>
      <c r="B226" s="412" t="inlineStr">
        <is>
          <t>T24CORE</t>
        </is>
      </c>
      <c r="C226" s="412" t="inlineStr">
        <is>
          <t>PD_PAYMENT_DUE</t>
        </is>
      </c>
      <c r="D226" s="412" t="inlineStr">
        <is>
          <t>STATUS</t>
        </is>
      </c>
      <c r="E226" s="412" t="inlineStr">
        <is>
          <t>Mã trạng thái vòng đời khoản vay quá hạn (PD Status)</t>
        </is>
      </c>
      <c r="F226" s="410" t="inlineStr">
        <is>
          <t>X</t>
        </is>
      </c>
      <c r="G226" s="421" t="inlineStr">
        <is>
          <t>Loan Arrangement Profile</t>
        </is>
      </c>
      <c r="H226" s="421" t="inlineStr">
        <is>
          <t>Arrangement Life Cycle Status Type Code</t>
        </is>
      </c>
      <c r="I226" s="412" t="inlineStr">
        <is>
          <t>Map 1:1 từ T24CORE.PD_PAYMENT_DUE.STATUS sang PG_BRONZE.T24CORE_PD_PAYMENT_DUE.STATUS</t>
        </is>
      </c>
      <c r="J226" s="410" t="inlineStr">
        <is>
          <t>2025-11-26</t>
        </is>
      </c>
      <c r="K226" s="385" t="inlineStr">
        <is>
          <t>1:1</t>
        </is>
      </c>
      <c r="L226" s="385" t="inlineStr">
        <is>
          <t>PG_BRONZE</t>
        </is>
      </c>
      <c r="M226" s="386" t="inlineStr">
        <is>
          <t>T24CORE_PD_PAYMENT_DUE</t>
        </is>
      </c>
      <c r="N226" s="386" t="inlineStr">
        <is>
          <t>STATUS</t>
        </is>
      </c>
      <c r="O226" s="385" t="inlineStr">
        <is>
          <t>VARCHAR2</t>
        </is>
      </c>
      <c r="P226" s="420" t="n">
        <v>100</v>
      </c>
      <c r="Q226" s="386">
        <f>"COMMENT ON COLUMN "&amp;L226&amp;"."&amp;M226&amp;"."&amp;N226&amp;" IS '"&amp;E226&amp;"';"</f>
        <v/>
      </c>
      <c r="R226" s="414" t="inlineStr">
        <is>
          <t>Map 1:1 nguyên bản từ T24CORE.PD_PAYMENT_DUE.STATUS -&gt; PG_BRONZE.T24CORE_PD_PAYMENT_DUE.STATUS</t>
        </is>
      </c>
    </row>
    <row r="227" ht="14.25" customHeight="1" s="335">
      <c r="A227" s="412">
        <f>B227&amp;C227&amp;D227</f>
        <v/>
      </c>
      <c r="B227" s="412" t="inlineStr">
        <is>
          <t>T24CORE</t>
        </is>
      </c>
      <c r="C227" s="412" t="inlineStr">
        <is>
          <t>PD_PAYMENT_DUE_HIS</t>
        </is>
      </c>
      <c r="D227" s="412" t="inlineStr">
        <is>
          <t>CURR_NO</t>
        </is>
      </c>
      <c r="E227" s="412" t="inlineStr">
        <is>
          <t>Trường CURR_NO của bảng nguồn T24CORE.PD_PAYMENT_DUE_HIS</t>
        </is>
      </c>
      <c r="F227" s="410" t="inlineStr">
        <is>
          <t>X</t>
        </is>
      </c>
      <c r="G227" s="412" t="inlineStr">
        <is>
          <t>sk_lich_tra_no</t>
        </is>
      </c>
      <c r="H227" s="412" t="inlineStr">
        <is>
          <t>Curr No</t>
        </is>
      </c>
      <c r="I227" s="412" t="inlineStr">
        <is>
          <t>Map 1:1 từ T24CORE.PD_PAYMENT_DUE_HIS.CURR_NO sang PG_BRONZE.T24CORE_PD_PAYMENT_DUE_HIS.CURR_NO</t>
        </is>
      </c>
      <c r="J227" s="410" t="inlineStr">
        <is>
          <t>2025-11-26</t>
        </is>
      </c>
      <c r="K227" s="385" t="inlineStr">
        <is>
          <t>1:1</t>
        </is>
      </c>
      <c r="L227" s="385" t="inlineStr">
        <is>
          <t>PG_BRONZE</t>
        </is>
      </c>
      <c r="M227" s="386" t="inlineStr">
        <is>
          <t>T24CORE_PD_PAYMENT_DUE_HIS</t>
        </is>
      </c>
      <c r="N227" s="386" t="inlineStr">
        <is>
          <t>CURR_NO</t>
        </is>
      </c>
      <c r="O227" s="385" t="inlineStr">
        <is>
          <t>NUMBER</t>
        </is>
      </c>
      <c r="P227" s="420" t="n">
        <v>10</v>
      </c>
      <c r="Q227" s="386">
        <f>"COMMENT ON COLUMN "&amp;L227&amp;"."&amp;M227&amp;"."&amp;N227&amp;" IS '"&amp;E227&amp;"';"</f>
        <v/>
      </c>
      <c r="R227" s="414" t="inlineStr">
        <is>
          <t>Map 1:1 nguyên bản từ T24CORE.PD_PAYMENT_DUE_HIS.CURR_NO -&gt; PG_BRONZE.T24CORE_PD_PAYMENT_DUE_HIS.CURR_NO</t>
        </is>
      </c>
    </row>
    <row r="228" ht="14.25" customHeight="1" s="335">
      <c r="A228" s="412">
        <f>B228&amp;C228&amp;D228</f>
        <v/>
      </c>
      <c r="B228" s="412" t="inlineStr">
        <is>
          <t>T24CORE</t>
        </is>
      </c>
      <c r="C228" s="412" t="inlineStr">
        <is>
          <t>PD_PAYMENT_DUE_HIS</t>
        </is>
      </c>
      <c r="D228" s="412" t="inlineStr">
        <is>
          <t>PD_TYPE</t>
        </is>
      </c>
      <c r="E228" s="412" t="inlineStr">
        <is>
          <t>Loại sản phẩm</t>
        </is>
      </c>
      <c r="F228" s="410" t="inlineStr">
        <is>
          <t>X</t>
        </is>
      </c>
      <c r="G228" s="412" t="inlineStr">
        <is>
          <t>sk_lich_tra_no</t>
        </is>
      </c>
      <c r="H228" s="412" t="inlineStr">
        <is>
          <t>Pd Type</t>
        </is>
      </c>
      <c r="I228" s="412" t="inlineStr">
        <is>
          <t>Map 1:1 từ T24CORE.PD_PAYMENT_DUE_HIS.PD_TYPE sang PG_BRONZE.T24CORE_PD_PAYMENT_DUE_HIS.PD_TYPE</t>
        </is>
      </c>
      <c r="J228" s="410" t="inlineStr">
        <is>
          <t>2025-11-26</t>
        </is>
      </c>
      <c r="K228" s="385" t="inlineStr">
        <is>
          <t>1:1</t>
        </is>
      </c>
      <c r="L228" s="385" t="inlineStr">
        <is>
          <t>PG_BRONZE</t>
        </is>
      </c>
      <c r="M228" s="386" t="inlineStr">
        <is>
          <t>T24CORE_PD_PAYMENT_DUE_HIS</t>
        </is>
      </c>
      <c r="N228" s="386" t="inlineStr">
        <is>
          <t>PD_TYPE</t>
        </is>
      </c>
      <c r="O228" s="385" t="inlineStr">
        <is>
          <t>VARCHAR2</t>
        </is>
      </c>
      <c r="P228" s="420" t="n">
        <v>100</v>
      </c>
      <c r="Q228" s="386">
        <f>"COMMENT ON COLUMN "&amp;L228&amp;"."&amp;M228&amp;"."&amp;N228&amp;" IS '"&amp;E228&amp;"';"</f>
        <v/>
      </c>
      <c r="R228" s="414" t="inlineStr">
        <is>
          <t>Map 1:1 nguyên bản từ T24CORE.PD_PAYMENT_DUE_HIS.PD_TYPE -&gt; PG_BRONZE.T24CORE_PD_PAYMENT_DUE_HIS.PD_TYPE</t>
        </is>
      </c>
    </row>
    <row r="229" ht="14.25" customHeight="1" s="335">
      <c r="A229" s="412">
        <f>B229&amp;C229&amp;D229</f>
        <v/>
      </c>
      <c r="B229" s="412" t="inlineStr">
        <is>
          <t>T24CORE</t>
        </is>
      </c>
      <c r="C229" s="412" t="inlineStr">
        <is>
          <t>PD_PAYMENT_DUE_HIS</t>
        </is>
      </c>
      <c r="D229" s="412" t="inlineStr">
        <is>
          <t>RECID</t>
        </is>
      </c>
      <c r="E229" s="412" t="inlineStr">
        <is>
          <t>Số hồ sơ</t>
        </is>
      </c>
      <c r="F229" s="410" t="inlineStr">
        <is>
          <t>X</t>
        </is>
      </c>
      <c r="G229" s="412" t="inlineStr">
        <is>
          <t>sk_lich_tra_no</t>
        </is>
      </c>
      <c r="H229" s="412" t="inlineStr">
        <is>
          <t>Recid</t>
        </is>
      </c>
      <c r="I229" s="412" t="inlineStr">
        <is>
          <t>Map 1:1 từ T24CORE.PD_PAYMENT_DUE_HIS.RECID sang PG_BRONZE.T24CORE_PD_PAYMENT_DUE_HIS.RECID</t>
        </is>
      </c>
      <c r="J229" s="410" t="inlineStr">
        <is>
          <t>2025-11-26</t>
        </is>
      </c>
      <c r="K229" s="385" t="inlineStr">
        <is>
          <t>1:1</t>
        </is>
      </c>
      <c r="L229" s="385" t="inlineStr">
        <is>
          <t>PG_BRONZE</t>
        </is>
      </c>
      <c r="M229" s="386" t="inlineStr">
        <is>
          <t>T24CORE_PD_PAYMENT_DUE_HIS</t>
        </is>
      </c>
      <c r="N229" s="386" t="inlineStr">
        <is>
          <t>RECID</t>
        </is>
      </c>
      <c r="O229" s="385" t="inlineStr">
        <is>
          <t>VARCHAR2</t>
        </is>
      </c>
      <c r="P229" s="420" t="n">
        <v>100</v>
      </c>
      <c r="Q229" s="386">
        <f>"COMMENT ON COLUMN "&amp;L229&amp;"."&amp;M229&amp;"."&amp;N229&amp;" IS '"&amp;E229&amp;"';"</f>
        <v/>
      </c>
      <c r="R229" s="414" t="inlineStr">
        <is>
          <t>Map 1:1 nguyên bản từ T24CORE.PD_PAYMENT_DUE_HIS.RECID -&gt; PG_BRONZE.T24CORE_PD_PAYMENT_DUE_HIS.RECID</t>
        </is>
      </c>
    </row>
    <row r="230" ht="14.25" customHeight="1" s="335">
      <c r="A230" s="412">
        <f>B230&amp;C230&amp;D230</f>
        <v/>
      </c>
      <c r="B230" s="412" t="inlineStr">
        <is>
          <t>T24CORE</t>
        </is>
      </c>
      <c r="C230" s="412" t="inlineStr">
        <is>
          <t>PD_PAYMENT_DUE_HIS_MV</t>
        </is>
      </c>
      <c r="D230" s="412" t="inlineStr">
        <is>
          <t>ACC_FCC</t>
        </is>
      </c>
      <c r="E230" s="412" t="inlineStr">
        <is>
          <t>Mã hợp đồng FlexCube</t>
        </is>
      </c>
      <c r="F230" s="410" t="inlineStr">
        <is>
          <t>X</t>
        </is>
      </c>
      <c r="G230" s="412" t="inlineStr">
        <is>
          <t>Arrangement Delinquency Summary / sk_lich_tra_no</t>
        </is>
      </c>
      <c r="H230" s="412" t="inlineStr">
        <is>
          <t>Acc Fcc</t>
        </is>
      </c>
      <c r="I230" s="412" t="inlineStr">
        <is>
          <t>Map 1:1 từ T24CORE.PD_PAYMENT_DUE_HIS_MV.ACC_FCC sang PG_BRONZE.T24CORE_PD_PAYMENT_DUE_HIS_MV.ACC_FCC</t>
        </is>
      </c>
      <c r="J230" s="410" t="inlineStr">
        <is>
          <t>2025-11-26</t>
        </is>
      </c>
      <c r="K230" s="385" t="inlineStr">
        <is>
          <t>1:1</t>
        </is>
      </c>
      <c r="L230" s="385" t="inlineStr">
        <is>
          <t>PG_BRONZE</t>
        </is>
      </c>
      <c r="M230" s="386" t="inlineStr">
        <is>
          <t>T24CORE_PD_PAYMENT_DUE_HIS_MV</t>
        </is>
      </c>
      <c r="N230" s="386" t="inlineStr">
        <is>
          <t>ACC_FCC</t>
        </is>
      </c>
      <c r="O230" s="385" t="inlineStr">
        <is>
          <t>VARCHAR2</t>
        </is>
      </c>
      <c r="P230" s="420" t="n">
        <v>100</v>
      </c>
      <c r="Q230" s="386">
        <f>"COMMENT ON COLUMN "&amp;L230&amp;"."&amp;M230&amp;"."&amp;N230&amp;" IS '"&amp;E230&amp;"';"</f>
        <v/>
      </c>
      <c r="R230" s="414" t="inlineStr">
        <is>
          <t>Map 1:1 nguyên bản từ T24CORE.PD_PAYMENT_DUE_HIS_MV.ACC_FCC -&gt; PG_BRONZE.T24CORE_PD_PAYMENT_DUE_HIS_MV.ACC_FCC</t>
        </is>
      </c>
    </row>
    <row r="231" ht="14.25" customHeight="1" s="335">
      <c r="A231" s="412">
        <f>B231&amp;C231&amp;D231</f>
        <v/>
      </c>
      <c r="B231" s="412" t="inlineStr">
        <is>
          <t>T24CORE</t>
        </is>
      </c>
      <c r="C231" s="412" t="inlineStr">
        <is>
          <t>PD_PAYMENT_DUE_HIS_MV</t>
        </is>
      </c>
      <c r="D231" s="412" t="inlineStr">
        <is>
          <t>APPROVE_AMOUNT</t>
        </is>
      </c>
      <c r="E231" s="412" t="inlineStr">
        <is>
          <t>Giá trị giải ngân</t>
        </is>
      </c>
      <c r="F231" s="410" t="inlineStr">
        <is>
          <t>X</t>
        </is>
      </c>
      <c r="G231" s="412" t="inlineStr">
        <is>
          <t>Arrangement Delinquency Summary / sk_lich_tra_no</t>
        </is>
      </c>
      <c r="H231" s="412" t="inlineStr">
        <is>
          <t>Approve Amount</t>
        </is>
      </c>
      <c r="I231" s="412" t="inlineStr">
        <is>
          <t>Map 1:1 từ T24CORE.PD_PAYMENT_DUE_HIS_MV.APPROVE_AMOUNT sang PG_BRONZE.T24CORE_PD_PAYMENT_DUE_HIS_MV.APPROVE_AMOUNT</t>
        </is>
      </c>
      <c r="J231" s="410" t="inlineStr">
        <is>
          <t>2025-11-26</t>
        </is>
      </c>
      <c r="K231" s="385" t="inlineStr">
        <is>
          <t>1:1</t>
        </is>
      </c>
      <c r="L231" s="385" t="inlineStr">
        <is>
          <t>PG_BRONZE</t>
        </is>
      </c>
      <c r="M231" s="386" t="inlineStr">
        <is>
          <t>T24CORE_PD_PAYMENT_DUE_HIS_MV</t>
        </is>
      </c>
      <c r="N231" s="386" t="inlineStr">
        <is>
          <t>APPROVE_AMOUNT</t>
        </is>
      </c>
      <c r="O231" s="385" t="inlineStr">
        <is>
          <t>NUMBER</t>
        </is>
      </c>
      <c r="P231" s="420" t="n">
        <v>25.5</v>
      </c>
      <c r="Q231" s="386">
        <f>"COMMENT ON COLUMN "&amp;L231&amp;"."&amp;M231&amp;"."&amp;N231&amp;" IS '"&amp;E231&amp;"';"</f>
        <v/>
      </c>
      <c r="R231" s="414" t="inlineStr">
        <is>
          <t>Map 1:1 nguyên bản từ T24CORE.PD_PAYMENT_DUE_HIS_MV.APPROVE_AMOUNT -&gt; PG_BRONZE.T24CORE_PD_PAYMENT_DUE_HIS_MV.APPROVE_AMOUNT</t>
        </is>
      </c>
    </row>
    <row r="232" ht="14.25" customHeight="1" s="335">
      <c r="A232" s="412">
        <f>B232&amp;C232&amp;D232</f>
        <v/>
      </c>
      <c r="B232" s="412" t="inlineStr">
        <is>
          <t>T24CORE</t>
        </is>
      </c>
      <c r="C232" s="412" t="inlineStr">
        <is>
          <t>PD_PAYMENT_DUE_HIS_MV</t>
        </is>
      </c>
      <c r="D232" s="412" t="inlineStr">
        <is>
          <t>CATEGORY</t>
        </is>
      </c>
      <c r="E232" s="412" t="inlineStr">
        <is>
          <t>Mã phân loại sản phẩm vay</t>
        </is>
      </c>
      <c r="F232" s="410" t="inlineStr">
        <is>
          <t>X</t>
        </is>
      </c>
      <c r="G232" s="412" t="inlineStr">
        <is>
          <t>Arrangement Delinquency Summary / sk_lich_tra_no</t>
        </is>
      </c>
      <c r="H232" s="412" t="inlineStr">
        <is>
          <t>Category</t>
        </is>
      </c>
      <c r="I232" s="412" t="inlineStr">
        <is>
          <t>Map 1:1 từ T24CORE.PD_PAYMENT_DUE_HIS_MV.CATEGORY sang PG_BRONZE.T24CORE_PD_PAYMENT_DUE_HIS_MV.CATEGORY</t>
        </is>
      </c>
      <c r="J232" s="410" t="inlineStr">
        <is>
          <t>2025-11-26</t>
        </is>
      </c>
      <c r="K232" s="385" t="inlineStr">
        <is>
          <t>1:1</t>
        </is>
      </c>
      <c r="L232" s="385" t="inlineStr">
        <is>
          <t>PG_BRONZE</t>
        </is>
      </c>
      <c r="M232" s="386" t="inlineStr">
        <is>
          <t>T24CORE_PD_PAYMENT_DUE_HIS_MV</t>
        </is>
      </c>
      <c r="N232" s="386" t="inlineStr">
        <is>
          <t>CATEGORY</t>
        </is>
      </c>
      <c r="O232" s="385" t="inlineStr">
        <is>
          <t>VARCHAR2</t>
        </is>
      </c>
      <c r="P232" s="420" t="n">
        <v>100</v>
      </c>
      <c r="Q232" s="386">
        <f>"COMMENT ON COLUMN "&amp;L232&amp;"."&amp;M232&amp;"."&amp;N232&amp;" IS '"&amp;E232&amp;"';"</f>
        <v/>
      </c>
      <c r="R232" s="414" t="inlineStr">
        <is>
          <t>Map 1:1 nguyên bản từ T24CORE.PD_PAYMENT_DUE_HIS_MV.CATEGORY -&gt; PG_BRONZE.T24CORE_PD_PAYMENT_DUE_HIS_MV.CATEGORY</t>
        </is>
      </c>
    </row>
    <row r="233" ht="14.25" customHeight="1" s="335">
      <c r="A233" s="412">
        <f>B233&amp;C233&amp;D233</f>
        <v/>
      </c>
      <c r="B233" s="412" t="inlineStr">
        <is>
          <t>T24CORE</t>
        </is>
      </c>
      <c r="C233" s="412" t="inlineStr">
        <is>
          <t>PD_PAYMENT_DUE_HIS_MV</t>
        </is>
      </c>
      <c r="D233" s="412" t="inlineStr">
        <is>
          <t>CO_CODE</t>
        </is>
      </c>
      <c r="E233" s="412" t="inlineStr">
        <is>
          <t>Mã chi nhánh</t>
        </is>
      </c>
      <c r="F233" s="410" t="inlineStr">
        <is>
          <t>X</t>
        </is>
      </c>
      <c r="G233" s="412" t="inlineStr">
        <is>
          <t>Arrangement Delinquency Summary / sk_lich_tra_no</t>
        </is>
      </c>
      <c r="H233" s="412" t="inlineStr">
        <is>
          <t>Co Code</t>
        </is>
      </c>
      <c r="I233" s="412" t="inlineStr">
        <is>
          <t>Map 1:1 từ T24CORE.PD_PAYMENT_DUE_HIS_MV.CO_CODE sang PG_BRONZE.T24CORE_PD_PAYMENT_DUE_HIS_MV.CO_CODE</t>
        </is>
      </c>
      <c r="J233" s="410" t="inlineStr">
        <is>
          <t>2025-11-26</t>
        </is>
      </c>
      <c r="K233" s="385" t="inlineStr">
        <is>
          <t>1:1</t>
        </is>
      </c>
      <c r="L233" s="385" t="inlineStr">
        <is>
          <t>PG_BRONZE</t>
        </is>
      </c>
      <c r="M233" s="386" t="inlineStr">
        <is>
          <t>T24CORE_PD_PAYMENT_DUE_HIS_MV</t>
        </is>
      </c>
      <c r="N233" s="386" t="inlineStr">
        <is>
          <t>CO_CODE</t>
        </is>
      </c>
      <c r="O233" s="385" t="inlineStr">
        <is>
          <t>VARCHAR2</t>
        </is>
      </c>
      <c r="P233" s="420" t="n">
        <v>100</v>
      </c>
      <c r="Q233" s="386">
        <f>"COMMENT ON COLUMN "&amp;L233&amp;"."&amp;M233&amp;"."&amp;N233&amp;" IS '"&amp;E233&amp;"';"</f>
        <v/>
      </c>
      <c r="R233" s="414" t="inlineStr">
        <is>
          <t>Map 1:1 nguyên bản từ T24CORE.PD_PAYMENT_DUE_HIS_MV.CO_CODE -&gt; PG_BRONZE.T24CORE_PD_PAYMENT_DUE_HIS_MV.CO_CODE</t>
        </is>
      </c>
    </row>
    <row r="234" ht="14.25" customHeight="1" s="335">
      <c r="A234" s="412">
        <f>B234&amp;C234&amp;D234</f>
        <v/>
      </c>
      <c r="B234" s="412" t="inlineStr">
        <is>
          <t>T24CORE</t>
        </is>
      </c>
      <c r="C234" s="412" t="inlineStr">
        <is>
          <t>PD_PAYMENT_DUE_HIS_MV</t>
        </is>
      </c>
      <c r="D234" s="412" t="inlineStr">
        <is>
          <t>CREDIT_STATUS</t>
        </is>
      </c>
      <c r="E234" s="412" t="inlineStr">
        <is>
          <t>Nhóm nợ hợp đồng</t>
        </is>
      </c>
      <c r="F234" s="410" t="inlineStr">
        <is>
          <t>X</t>
        </is>
      </c>
      <c r="G234" s="412" t="inlineStr">
        <is>
          <t>Arrangement Delinquency Summary / sk_lich_tra_no</t>
        </is>
      </c>
      <c r="H234" s="412" t="inlineStr">
        <is>
          <t>Credit Status</t>
        </is>
      </c>
      <c r="I234" s="412" t="inlineStr">
        <is>
          <t>Map 1:1 từ T24CORE.PD_PAYMENT_DUE_HIS_MV.CREDIT_STATUS sang PG_BRONZE.T24CORE_PD_PAYMENT_DUE_HIS_MV.CREDIT_STATUS</t>
        </is>
      </c>
      <c r="J234" s="410" t="inlineStr">
        <is>
          <t>2025-11-26</t>
        </is>
      </c>
      <c r="K234" s="385" t="inlineStr">
        <is>
          <t>1:1</t>
        </is>
      </c>
      <c r="L234" s="385" t="inlineStr">
        <is>
          <t>PG_BRONZE</t>
        </is>
      </c>
      <c r="M234" s="386" t="inlineStr">
        <is>
          <t>T24CORE_PD_PAYMENT_DUE_HIS_MV</t>
        </is>
      </c>
      <c r="N234" s="386" t="inlineStr">
        <is>
          <t>CREDIT_STATUS</t>
        </is>
      </c>
      <c r="O234" s="385" t="inlineStr">
        <is>
          <t>VARCHAR2</t>
        </is>
      </c>
      <c r="P234" s="420" t="n">
        <v>100</v>
      </c>
      <c r="Q234" s="386">
        <f>"COMMENT ON COLUMN "&amp;L234&amp;"."&amp;M234&amp;"."&amp;N234&amp;" IS '"&amp;E234&amp;"';"</f>
        <v/>
      </c>
      <c r="R234" s="414" t="inlineStr">
        <is>
          <t>Map 1:1 nguyên bản từ T24CORE.PD_PAYMENT_DUE_HIS_MV.CREDIT_STATUS -&gt; PG_BRONZE.T24CORE_PD_PAYMENT_DUE_HIS_MV.CREDIT_STATUS</t>
        </is>
      </c>
    </row>
    <row r="235" ht="14.25" customHeight="1" s="335">
      <c r="A235" s="412">
        <f>B235&amp;C235&amp;D235</f>
        <v/>
      </c>
      <c r="B235" s="412" t="inlineStr">
        <is>
          <t>T24CORE</t>
        </is>
      </c>
      <c r="C235" s="412" t="inlineStr">
        <is>
          <t>PD_PAYMENT_DUE_HIS_MV</t>
        </is>
      </c>
      <c r="D235" s="412" t="inlineStr">
        <is>
          <t>CURR_NO</t>
        </is>
      </c>
      <c r="E235" s="412" t="inlineStr">
        <is>
          <t>Version hiện tại của bản ghi</t>
        </is>
      </c>
      <c r="F235" s="410" t="inlineStr">
        <is>
          <t>X</t>
        </is>
      </c>
      <c r="G235" s="412" t="inlineStr">
        <is>
          <t>Arrangement Delinquency Summary / sk_lich_tra_no</t>
        </is>
      </c>
      <c r="H235" s="412" t="inlineStr">
        <is>
          <t>Curr No</t>
        </is>
      </c>
      <c r="I235" s="412" t="inlineStr">
        <is>
          <t>Map 1:1 từ T24CORE.PD_PAYMENT_DUE_HIS_MV.CURR_NO sang PG_BRONZE.T24CORE_PD_PAYMENT_DUE_HIS_MV.CURR_NO</t>
        </is>
      </c>
      <c r="J235" s="410" t="inlineStr">
        <is>
          <t>2025-11-26</t>
        </is>
      </c>
      <c r="K235" s="385" t="inlineStr">
        <is>
          <t>1:1</t>
        </is>
      </c>
      <c r="L235" s="385" t="inlineStr">
        <is>
          <t>PG_BRONZE</t>
        </is>
      </c>
      <c r="M235" s="386" t="inlineStr">
        <is>
          <t>T24CORE_PD_PAYMENT_DUE_HIS_MV</t>
        </is>
      </c>
      <c r="N235" s="386" t="inlineStr">
        <is>
          <t>CURR_NO</t>
        </is>
      </c>
      <c r="O235" s="385" t="inlineStr">
        <is>
          <t>NUMBER</t>
        </is>
      </c>
      <c r="P235" s="420" t="n">
        <v>10</v>
      </c>
      <c r="Q235" s="386">
        <f>"COMMENT ON COLUMN "&amp;L235&amp;"."&amp;M235&amp;"."&amp;N235&amp;" IS '"&amp;E235&amp;"';"</f>
        <v/>
      </c>
      <c r="R235" s="414" t="inlineStr">
        <is>
          <t>Map 1:1 nguyên bản từ T24CORE.PD_PAYMENT_DUE_HIS_MV.CURR_NO -&gt; PG_BRONZE.T24CORE_PD_PAYMENT_DUE_HIS_MV.CURR_NO</t>
        </is>
      </c>
    </row>
    <row r="236" ht="14.25" customHeight="1" s="335">
      <c r="A236" s="412">
        <f>B236&amp;C236&amp;D236</f>
        <v/>
      </c>
      <c r="B236" s="412" t="inlineStr">
        <is>
          <t>T24CORE</t>
        </is>
      </c>
      <c r="C236" s="412" t="inlineStr">
        <is>
          <t>PD_PAYMENT_DUE_HIS_MV</t>
        </is>
      </c>
      <c r="D236" s="412" t="inlineStr">
        <is>
          <t>CUSTOMER</t>
        </is>
      </c>
      <c r="E236" s="412" t="inlineStr">
        <is>
          <t>Mã khách hàng</t>
        </is>
      </c>
      <c r="F236" s="410" t="inlineStr">
        <is>
          <t>X</t>
        </is>
      </c>
      <c r="G236" s="412" t="inlineStr">
        <is>
          <t>Arrangement Delinquency Summary / sk_lich_tra_no</t>
        </is>
      </c>
      <c r="H236" s="412" t="inlineStr">
        <is>
          <t>Customer</t>
        </is>
      </c>
      <c r="I236" s="412" t="inlineStr">
        <is>
          <t>Map 1:1 từ T24CORE.PD_PAYMENT_DUE_HIS_MV.CUSTOMER sang PG_BRONZE.T24CORE_PD_PAYMENT_DUE_HIS_MV.CUSTOMER</t>
        </is>
      </c>
      <c r="J236" s="410" t="inlineStr">
        <is>
          <t>2025-11-26</t>
        </is>
      </c>
      <c r="K236" s="385" t="inlineStr">
        <is>
          <t>1:1</t>
        </is>
      </c>
      <c r="L236" s="385" t="inlineStr">
        <is>
          <t>PG_BRONZE</t>
        </is>
      </c>
      <c r="M236" s="386" t="inlineStr">
        <is>
          <t>T24CORE_PD_PAYMENT_DUE_HIS_MV</t>
        </is>
      </c>
      <c r="N236" s="386" t="inlineStr">
        <is>
          <t>CUSTOMER</t>
        </is>
      </c>
      <c r="O236" s="385" t="inlineStr">
        <is>
          <t>VARCHAR2</t>
        </is>
      </c>
      <c r="P236" s="420" t="n">
        <v>100</v>
      </c>
      <c r="Q236" s="386">
        <f>"COMMENT ON COLUMN "&amp;L236&amp;"."&amp;M236&amp;"."&amp;N236&amp;" IS '"&amp;E236&amp;"';"</f>
        <v/>
      </c>
      <c r="R236" s="414" t="inlineStr">
        <is>
          <t>Map 1:1 nguyên bản từ T24CORE.PD_PAYMENT_DUE_HIS_MV.CUSTOMER -&gt; PG_BRONZE.T24CORE_PD_PAYMENT_DUE_HIS_MV.CUSTOMER</t>
        </is>
      </c>
    </row>
    <row r="237" ht="14.25" customHeight="1" s="335">
      <c r="A237" s="412">
        <f>B237&amp;C237&amp;D237</f>
        <v/>
      </c>
      <c r="B237" s="412" t="inlineStr">
        <is>
          <t>T24CORE</t>
        </is>
      </c>
      <c r="C237" s="412" t="inlineStr">
        <is>
          <t>PD_PAYMENT_DUE_HIS_MV</t>
        </is>
      </c>
      <c r="D237" s="412" t="inlineStr">
        <is>
          <t>DATE_TIME</t>
        </is>
      </c>
      <c r="E237" s="412" t="inlineStr">
        <is>
          <t>Trường DATE_TIME của bảng nguồn T24CORE.PD_PAYMENT_DUE_HIS_MV</t>
        </is>
      </c>
      <c r="F237" s="410" t="inlineStr">
        <is>
          <t>X</t>
        </is>
      </c>
      <c r="G237" s="412" t="inlineStr">
        <is>
          <t>Arrangement Delinquency Summary / sk_lich_tra_no</t>
        </is>
      </c>
      <c r="H237" s="412" t="inlineStr">
        <is>
          <t>Date Time</t>
        </is>
      </c>
      <c r="I237" s="412" t="inlineStr">
        <is>
          <t>Map 1:1 từ T24CORE.PD_PAYMENT_DUE_HIS_MV.DATE_TIME sang PG_BRONZE.T24CORE_PD_PAYMENT_DUE_HIS_MV.DATE_TIME</t>
        </is>
      </c>
      <c r="J237" s="410" t="inlineStr">
        <is>
          <t>2025-11-26</t>
        </is>
      </c>
      <c r="K237" s="385" t="inlineStr">
        <is>
          <t>1:1</t>
        </is>
      </c>
      <c r="L237" s="385" t="inlineStr">
        <is>
          <t>PG_BRONZE</t>
        </is>
      </c>
      <c r="M237" s="386" t="inlineStr">
        <is>
          <t>T24CORE_PD_PAYMENT_DUE_HIS_MV</t>
        </is>
      </c>
      <c r="N237" s="386" t="inlineStr">
        <is>
          <t>DATE_TIME</t>
        </is>
      </c>
      <c r="O237" s="385" t="inlineStr">
        <is>
          <t>DATE</t>
        </is>
      </c>
      <c r="P237" s="420" t="n">
        <v>8</v>
      </c>
      <c r="Q237" s="386">
        <f>"COMMENT ON COLUMN "&amp;L237&amp;"."&amp;M237&amp;"."&amp;N237&amp;" IS '"&amp;E237&amp;"';"</f>
        <v/>
      </c>
      <c r="R237" s="414" t="inlineStr">
        <is>
          <t>Map 1:1 nguyên bản từ T24CORE.PD_PAYMENT_DUE_HIS_MV.DATE_TIME -&gt; PG_BRONZE.T24CORE_PD_PAYMENT_DUE_HIS_MV.DATE_TIME</t>
        </is>
      </c>
    </row>
    <row r="238" ht="14.25" customHeight="1" s="335">
      <c r="A238" s="412">
        <f>B238&amp;C238&amp;D238</f>
        <v/>
      </c>
      <c r="B238" s="412" t="inlineStr">
        <is>
          <t>T24CORE</t>
        </is>
      </c>
      <c r="C238" s="412" t="inlineStr">
        <is>
          <t>PD_PAYMENT_DUE_HIS_MV</t>
        </is>
      </c>
      <c r="D238" s="412" t="inlineStr">
        <is>
          <t>FINAL_DUE_DATE</t>
        </is>
      </c>
      <c r="E238" s="412" t="inlineStr">
        <is>
          <t>Ngày trả nơ cuối khi quá hạn</t>
        </is>
      </c>
      <c r="F238" s="410" t="inlineStr">
        <is>
          <t>X</t>
        </is>
      </c>
      <c r="G238" s="412" t="inlineStr">
        <is>
          <t>Arrangement Delinquency Summary / sk_lich_tra_no</t>
        </is>
      </c>
      <c r="H238" s="412" t="inlineStr">
        <is>
          <t>Final Due Date</t>
        </is>
      </c>
      <c r="I238" s="412" t="inlineStr">
        <is>
          <t>Map 1:1 từ T24CORE.PD_PAYMENT_DUE_HIS_MV.FINAL_DUE_DATE sang PG_BRONZE.T24CORE_PD_PAYMENT_DUE_HIS_MV.FINAL_DUE_DATE</t>
        </is>
      </c>
      <c r="J238" s="410" t="inlineStr">
        <is>
          <t>2025-11-26</t>
        </is>
      </c>
      <c r="K238" s="385" t="inlineStr">
        <is>
          <t>1:1</t>
        </is>
      </c>
      <c r="L238" s="385" t="inlineStr">
        <is>
          <t>PG_BRONZE</t>
        </is>
      </c>
      <c r="M238" s="386" t="inlineStr">
        <is>
          <t>T24CORE_PD_PAYMENT_DUE_HIS_MV</t>
        </is>
      </c>
      <c r="N238" s="386" t="inlineStr">
        <is>
          <t>FINAL_DUE_DATE</t>
        </is>
      </c>
      <c r="O238" s="385" t="inlineStr">
        <is>
          <t>DATE</t>
        </is>
      </c>
      <c r="P238" s="420" t="n">
        <v>8</v>
      </c>
      <c r="Q238" s="386">
        <f>"COMMENT ON COLUMN "&amp;L238&amp;"."&amp;M238&amp;"."&amp;N238&amp;" IS '"&amp;E238&amp;"';"</f>
        <v/>
      </c>
      <c r="R238" s="414" t="inlineStr">
        <is>
          <t>Map 1:1 nguyên bản từ T24CORE.PD_PAYMENT_DUE_HIS_MV.FINAL_DUE_DATE -&gt; PG_BRONZE.T24CORE_PD_PAYMENT_DUE_HIS_MV.FINAL_DUE_DATE</t>
        </is>
      </c>
    </row>
    <row r="239" ht="14.25" customHeight="1" s="335">
      <c r="A239" s="412">
        <f>B239&amp;C239&amp;D239</f>
        <v/>
      </c>
      <c r="B239" s="412" t="inlineStr">
        <is>
          <t>T24CORE</t>
        </is>
      </c>
      <c r="C239" s="412" t="inlineStr">
        <is>
          <t>PD_PAYMENT_DUE_HIS_MV</t>
        </is>
      </c>
      <c r="D239" s="412" t="inlineStr">
        <is>
          <t>FLAG_STATUS</t>
        </is>
      </c>
      <c r="E239" s="412" t="inlineStr">
        <is>
          <t>Cờ đánh dấu trạng thái bản ghi</t>
        </is>
      </c>
      <c r="F239" s="410" t="inlineStr">
        <is>
          <t>X</t>
        </is>
      </c>
      <c r="G239" s="412" t="inlineStr">
        <is>
          <t>Arrangement Delinquency Summary / sk_lich_tra_no</t>
        </is>
      </c>
      <c r="H239" s="412" t="inlineStr">
        <is>
          <t>Flag Status</t>
        </is>
      </c>
      <c r="I239" s="412" t="inlineStr">
        <is>
          <t>Map 1:1 từ T24CORE.PD_PAYMENT_DUE_HIS_MV.FLAG_STATUS sang PG_BRONZE.T24CORE_PD_PAYMENT_DUE_HIS_MV.FLAG_STATUS</t>
        </is>
      </c>
      <c r="J239" s="410" t="inlineStr">
        <is>
          <t>2025-11-26</t>
        </is>
      </c>
      <c r="K239" s="385" t="inlineStr">
        <is>
          <t>1:1</t>
        </is>
      </c>
      <c r="L239" s="385" t="inlineStr">
        <is>
          <t>PG_BRONZE</t>
        </is>
      </c>
      <c r="M239" s="386" t="inlineStr">
        <is>
          <t>T24CORE_PD_PAYMENT_DUE_HIS_MV</t>
        </is>
      </c>
      <c r="N239" s="386" t="inlineStr">
        <is>
          <t>FLAG_STATUS</t>
        </is>
      </c>
      <c r="O239" s="385" t="inlineStr">
        <is>
          <t>VARCHAR2</t>
        </is>
      </c>
      <c r="P239" s="420" t="n">
        <v>100</v>
      </c>
      <c r="Q239" s="386">
        <f>"COMMENT ON COLUMN "&amp;L239&amp;"."&amp;M239&amp;"."&amp;N239&amp;" IS '"&amp;E239&amp;"';"</f>
        <v/>
      </c>
      <c r="R239" s="414" t="inlineStr">
        <is>
          <t>Map 1:1 nguyên bản từ T24CORE.PD_PAYMENT_DUE_HIS_MV.FLAG_STATUS -&gt; PG_BRONZE.T24CORE_PD_PAYMENT_DUE_HIS_MV.FLAG_STATUS</t>
        </is>
      </c>
    </row>
    <row r="240" ht="14.25" customHeight="1" s="335">
      <c r="A240" s="412">
        <f>B240&amp;C240&amp;D240</f>
        <v/>
      </c>
      <c r="B240" s="412" t="inlineStr">
        <is>
          <t>T24CORE</t>
        </is>
      </c>
      <c r="C240" s="412" t="inlineStr">
        <is>
          <t>PD_PAYMENT_DUE_HIS_MV</t>
        </is>
      </c>
      <c r="D240" s="412" t="inlineStr">
        <is>
          <t>ORIGINAL_MAT</t>
        </is>
      </c>
      <c r="E240" s="412" t="inlineStr">
        <is>
          <t>Ngày đáo hạn gốc</t>
        </is>
      </c>
      <c r="F240" s="410" t="inlineStr">
        <is>
          <t>X</t>
        </is>
      </c>
      <c r="G240" s="412" t="inlineStr">
        <is>
          <t>Arrangement Delinquency Summary / sk_lich_tra_no</t>
        </is>
      </c>
      <c r="H240" s="412" t="inlineStr">
        <is>
          <t>Original Mat</t>
        </is>
      </c>
      <c r="I240" s="412" t="inlineStr">
        <is>
          <t>Map 1:1 từ T24CORE.PD_PAYMENT_DUE_HIS_MV.ORIGINAL_MAT sang PG_BRONZE.T24CORE_PD_PAYMENT_DUE_HIS_MV.ORIGINAL_MAT</t>
        </is>
      </c>
      <c r="J240" s="410" t="inlineStr">
        <is>
          <t>2025-11-26</t>
        </is>
      </c>
      <c r="K240" s="385" t="inlineStr">
        <is>
          <t>1:1</t>
        </is>
      </c>
      <c r="L240" s="385" t="inlineStr">
        <is>
          <t>PG_BRONZE</t>
        </is>
      </c>
      <c r="M240" s="386" t="inlineStr">
        <is>
          <t>T24CORE_PD_PAYMENT_DUE_HIS_MV</t>
        </is>
      </c>
      <c r="N240" s="386" t="inlineStr">
        <is>
          <t>ORIGINAL_MAT</t>
        </is>
      </c>
      <c r="O240" s="385" t="inlineStr">
        <is>
          <t>DATE</t>
        </is>
      </c>
      <c r="P240" s="420" t="n">
        <v>8</v>
      </c>
      <c r="Q240" s="386">
        <f>"COMMENT ON COLUMN "&amp;L240&amp;"."&amp;M240&amp;"."&amp;N240&amp;" IS '"&amp;E240&amp;"';"</f>
        <v/>
      </c>
      <c r="R240" s="414" t="inlineStr">
        <is>
          <t>Map 1:1 nguyên bản từ T24CORE.PD_PAYMENT_DUE_HIS_MV.ORIGINAL_MAT -&gt; PG_BRONZE.T24CORE_PD_PAYMENT_DUE_HIS_MV.ORIGINAL_MAT</t>
        </is>
      </c>
    </row>
    <row r="241" ht="14.25" customHeight="1" s="335">
      <c r="A241" s="412">
        <f>B241&amp;C241&amp;D241</f>
        <v/>
      </c>
      <c r="B241" s="412" t="inlineStr">
        <is>
          <t>T24CORE</t>
        </is>
      </c>
      <c r="C241" s="412" t="inlineStr">
        <is>
          <t>PD_PAYMENT_DUE_HIS_MV</t>
        </is>
      </c>
      <c r="D241" s="412" t="inlineStr">
        <is>
          <t>PAY_TYPE</t>
        </is>
      </c>
      <c r="E241" s="412" t="inlineStr">
        <is>
          <t>Loại hình thanh toán</t>
        </is>
      </c>
      <c r="F241" s="410" t="inlineStr">
        <is>
          <t>X</t>
        </is>
      </c>
      <c r="G241" s="412" t="inlineStr">
        <is>
          <t>Arrangement Delinquency Summary / sk_lich_tra_no</t>
        </is>
      </c>
      <c r="H241" s="412" t="inlineStr">
        <is>
          <t>Pay Type</t>
        </is>
      </c>
      <c r="I241" s="412" t="inlineStr">
        <is>
          <t>Map 1:1 từ T24CORE.PD_PAYMENT_DUE_HIS_MV.PAY_TYPE sang PG_BRONZE.T24CORE_PD_PAYMENT_DUE_HIS_MV.PAY_TYPE</t>
        </is>
      </c>
      <c r="J241" s="410" t="inlineStr">
        <is>
          <t>2025-11-26</t>
        </is>
      </c>
      <c r="K241" s="385" t="inlineStr">
        <is>
          <t>1:1</t>
        </is>
      </c>
      <c r="L241" s="385" t="inlineStr">
        <is>
          <t>PG_BRONZE</t>
        </is>
      </c>
      <c r="M241" s="386" t="inlineStr">
        <is>
          <t>T24CORE_PD_PAYMENT_DUE_HIS_MV</t>
        </is>
      </c>
      <c r="N241" s="386" t="inlineStr">
        <is>
          <t>PAY_TYPE</t>
        </is>
      </c>
      <c r="O241" s="385" t="inlineStr">
        <is>
          <t>VARCHAR2</t>
        </is>
      </c>
      <c r="P241" s="420" t="n">
        <v>100</v>
      </c>
      <c r="Q241" s="386">
        <f>"COMMENT ON COLUMN "&amp;L241&amp;"."&amp;M241&amp;"."&amp;N241&amp;" IS '"&amp;E241&amp;"';"</f>
        <v/>
      </c>
      <c r="R241" s="414" t="inlineStr">
        <is>
          <t>Map 1:1 nguyên bản từ T24CORE.PD_PAYMENT_DUE_HIS_MV.PAY_TYPE -&gt; PG_BRONZE.T24CORE_PD_PAYMENT_DUE_HIS_MV.PAY_TYPE</t>
        </is>
      </c>
    </row>
    <row r="242" ht="14.25" customHeight="1" s="335">
      <c r="A242" s="412">
        <f>B242&amp;C242&amp;D242</f>
        <v/>
      </c>
      <c r="B242" s="412" t="inlineStr">
        <is>
          <t>T24CORE</t>
        </is>
      </c>
      <c r="C242" s="412" t="inlineStr">
        <is>
          <t>PD_PAYMENT_DUE_HIS_MV</t>
        </is>
      </c>
      <c r="D242" s="412" t="inlineStr">
        <is>
          <t>PD_TYPE</t>
        </is>
      </c>
      <c r="E242" s="412" t="inlineStr">
        <is>
          <t>Loại sản phẩm</t>
        </is>
      </c>
      <c r="F242" s="410" t="inlineStr">
        <is>
          <t>X</t>
        </is>
      </c>
      <c r="G242" s="412" t="inlineStr">
        <is>
          <t>Arrangement Delinquency Summary / sk_lich_tra_no</t>
        </is>
      </c>
      <c r="H242" s="412" t="inlineStr">
        <is>
          <t>Pd Type</t>
        </is>
      </c>
      <c r="I242" s="412" t="inlineStr">
        <is>
          <t>Map 1:1 từ T24CORE.PD_PAYMENT_DUE_HIS_MV.PD_TYPE sang PG_BRONZE.T24CORE_PD_PAYMENT_DUE_HIS_MV.PD_TYPE</t>
        </is>
      </c>
      <c r="J242" s="410" t="inlineStr">
        <is>
          <t>2025-11-26</t>
        </is>
      </c>
      <c r="K242" s="385" t="inlineStr">
        <is>
          <t>1:1</t>
        </is>
      </c>
      <c r="L242" s="385" t="inlineStr">
        <is>
          <t>PG_BRONZE</t>
        </is>
      </c>
      <c r="M242" s="386" t="inlineStr">
        <is>
          <t>T24CORE_PD_PAYMENT_DUE_HIS_MV</t>
        </is>
      </c>
      <c r="N242" s="386" t="inlineStr">
        <is>
          <t>PD_TYPE</t>
        </is>
      </c>
      <c r="O242" s="385" t="inlineStr">
        <is>
          <t>VARCHAR2</t>
        </is>
      </c>
      <c r="P242" s="420" t="n">
        <v>100</v>
      </c>
      <c r="Q242" s="386">
        <f>"COMMENT ON COLUMN "&amp;L242&amp;"."&amp;M242&amp;"."&amp;N242&amp;" IS '"&amp;E242&amp;"';"</f>
        <v/>
      </c>
      <c r="R242" s="414" t="inlineStr">
        <is>
          <t>Map 1:1 nguyên bản từ T24CORE.PD_PAYMENT_DUE_HIS_MV.PD_TYPE -&gt; PG_BRONZE.T24CORE_PD_PAYMENT_DUE_HIS_MV.PD_TYPE</t>
        </is>
      </c>
    </row>
    <row r="243" ht="14.25" customHeight="1" s="335">
      <c r="A243" s="412">
        <f>B243&amp;C243&amp;D243</f>
        <v/>
      </c>
      <c r="B243" s="412" t="inlineStr">
        <is>
          <t>T24CORE</t>
        </is>
      </c>
      <c r="C243" s="412" t="inlineStr">
        <is>
          <t>PD_PAYMENT_DUE_HIS_MV</t>
        </is>
      </c>
      <c r="D243" s="412" t="inlineStr">
        <is>
          <t>PE_RATE</t>
        </is>
      </c>
      <c r="E243" s="412" t="inlineStr">
        <is>
          <t>Lãi phạt penalty rate</t>
        </is>
      </c>
      <c r="F243" s="410" t="inlineStr">
        <is>
          <t>X</t>
        </is>
      </c>
      <c r="G243" s="412" t="inlineStr">
        <is>
          <t>Arrangement Delinquency Summary / sk_lich_tra_no</t>
        </is>
      </c>
      <c r="H243" s="412" t="inlineStr">
        <is>
          <t>Pe Rate</t>
        </is>
      </c>
      <c r="I243" s="412" t="inlineStr">
        <is>
          <t>Map 1:1 từ T24CORE.PD_PAYMENT_DUE_HIS_MV.PE_RATE sang PG_BRONZE.T24CORE_PD_PAYMENT_DUE_HIS_MV.PE_RATE</t>
        </is>
      </c>
      <c r="J243" s="410" t="inlineStr">
        <is>
          <t>2025-11-26</t>
        </is>
      </c>
      <c r="K243" s="385" t="inlineStr">
        <is>
          <t>1:1</t>
        </is>
      </c>
      <c r="L243" s="385" t="inlineStr">
        <is>
          <t>PG_BRONZE</t>
        </is>
      </c>
      <c r="M243" s="386" t="inlineStr">
        <is>
          <t>T24CORE_PD_PAYMENT_DUE_HIS_MV</t>
        </is>
      </c>
      <c r="N243" s="386" t="inlineStr">
        <is>
          <t>PE_RATE</t>
        </is>
      </c>
      <c r="O243" s="385" t="inlineStr">
        <is>
          <t>NUMBER</t>
        </is>
      </c>
      <c r="P243" s="420" t="n">
        <v>13.7</v>
      </c>
      <c r="Q243" s="386">
        <f>"COMMENT ON COLUMN "&amp;L243&amp;"."&amp;M243&amp;"."&amp;N243&amp;" IS '"&amp;E243&amp;"';"</f>
        <v/>
      </c>
      <c r="R243" s="414" t="inlineStr">
        <is>
          <t>Map 1:1 nguyên bản từ T24CORE.PD_PAYMENT_DUE_HIS_MV.PE_RATE -&gt; PG_BRONZE.T24CORE_PD_PAYMENT_DUE_HIS_MV.PE_RATE</t>
        </is>
      </c>
    </row>
    <row r="244" ht="14.25" customHeight="1" s="335">
      <c r="A244" s="412">
        <f>B244&amp;C244&amp;D244</f>
        <v/>
      </c>
      <c r="B244" s="412" t="inlineStr">
        <is>
          <t>T24CORE</t>
        </is>
      </c>
      <c r="C244" s="412" t="inlineStr">
        <is>
          <t>PD_PAYMENT_DUE_HIS_MV</t>
        </is>
      </c>
      <c r="D244" s="412" t="inlineStr">
        <is>
          <t>PENALTY_RATE</t>
        </is>
      </c>
      <c r="E244" s="412" t="inlineStr">
        <is>
          <t>Lãi suất phạt quá hạn danh nghĩa lịch sử</t>
        </is>
      </c>
      <c r="F244" s="410" t="inlineStr">
        <is>
          <t>X</t>
        </is>
      </c>
      <c r="G244" s="412" t="inlineStr">
        <is>
          <t>Arrangement Delinquency Summary / sk_lich_tra_no</t>
        </is>
      </c>
      <c r="H244" s="412" t="inlineStr">
        <is>
          <t>Penalty Rate</t>
        </is>
      </c>
      <c r="I244" s="412" t="inlineStr">
        <is>
          <t>Map 1:1 từ T24CORE.PD_PAYMENT_DUE_HIS_MV.PENALTY_RATE sang PG_BRONZE.T24CORE_PD_PAYMENT_DUE_HIS_MV.PENALTY_RATE</t>
        </is>
      </c>
      <c r="J244" s="410" t="inlineStr">
        <is>
          <t>2025-11-26</t>
        </is>
      </c>
      <c r="K244" s="385" t="inlineStr">
        <is>
          <t>1:1</t>
        </is>
      </c>
      <c r="L244" s="385" t="inlineStr">
        <is>
          <t>PG_BRONZE</t>
        </is>
      </c>
      <c r="M244" s="386" t="inlineStr">
        <is>
          <t>T24CORE_PD_PAYMENT_DUE_HIS_MV</t>
        </is>
      </c>
      <c r="N244" s="386" t="inlineStr">
        <is>
          <t>PENALTY_RATE</t>
        </is>
      </c>
      <c r="O244" s="385" t="inlineStr">
        <is>
          <t>NUMBER</t>
        </is>
      </c>
      <c r="P244" s="420" t="n">
        <v>13.7</v>
      </c>
      <c r="Q244" s="386">
        <f>"COMMENT ON COLUMN "&amp;L244&amp;"."&amp;M244&amp;"."&amp;N244&amp;" IS '"&amp;E244&amp;"';"</f>
        <v/>
      </c>
      <c r="R244" s="414" t="inlineStr">
        <is>
          <t>Map 1:1 nguyên bản từ T24CORE.PD_PAYMENT_DUE_HIS_MV.PENALTY_RATE -&gt; PG_BRONZE.T24CORE_PD_PAYMENT_DUE_HIS_MV.PENALTY_RATE</t>
        </is>
      </c>
    </row>
    <row r="245" ht="14.25" customHeight="1" s="335">
      <c r="A245" s="412">
        <f>B245&amp;C245&amp;D245</f>
        <v/>
      </c>
      <c r="B245" s="412" t="inlineStr">
        <is>
          <t>T24CORE</t>
        </is>
      </c>
      <c r="C245" s="412" t="inlineStr">
        <is>
          <t>PD_PAYMENT_DUE_HIS_MV</t>
        </is>
      </c>
      <c r="D245" s="412" t="inlineStr">
        <is>
          <t>RECID</t>
        </is>
      </c>
      <c r="E245" s="412" t="inlineStr">
        <is>
          <t>Key bản ghi</t>
        </is>
      </c>
      <c r="F245" s="410" t="inlineStr">
        <is>
          <t>X</t>
        </is>
      </c>
      <c r="G245" s="412" t="inlineStr">
        <is>
          <t>Arrangement Delinquency Summary / sk_lich_tra_no</t>
        </is>
      </c>
      <c r="H245" s="412" t="inlineStr">
        <is>
          <t>Recid</t>
        </is>
      </c>
      <c r="I245" s="412" t="inlineStr">
        <is>
          <t>Map 1:1 từ T24CORE.PD_PAYMENT_DUE_HIS_MV.RECID sang PG_BRONZE.T24CORE_PD_PAYMENT_DUE_HIS_MV.RECID</t>
        </is>
      </c>
      <c r="J245" s="410" t="inlineStr">
        <is>
          <t>2025-11-26</t>
        </is>
      </c>
      <c r="K245" s="385" t="inlineStr">
        <is>
          <t>1:1</t>
        </is>
      </c>
      <c r="L245" s="385" t="inlineStr">
        <is>
          <t>PG_BRONZE</t>
        </is>
      </c>
      <c r="M245" s="386" t="inlineStr">
        <is>
          <t>T24CORE_PD_PAYMENT_DUE_HIS_MV</t>
        </is>
      </c>
      <c r="N245" s="386" t="inlineStr">
        <is>
          <t>RECID</t>
        </is>
      </c>
      <c r="O245" s="385" t="inlineStr">
        <is>
          <t>VARCHAR2</t>
        </is>
      </c>
      <c r="P245" s="420" t="n">
        <v>100</v>
      </c>
      <c r="Q245" s="386">
        <f>"COMMENT ON COLUMN "&amp;L245&amp;"."&amp;M245&amp;"."&amp;N245&amp;" IS '"&amp;E245&amp;"';"</f>
        <v/>
      </c>
      <c r="R245" s="414" t="inlineStr">
        <is>
          <t>Map 1:1 nguyên bản từ T24CORE.PD_PAYMENT_DUE_HIS_MV.RECID -&gt; PG_BRONZE.T24CORE_PD_PAYMENT_DUE_HIS_MV.RECID</t>
        </is>
      </c>
    </row>
    <row r="246" ht="14.25" customHeight="1" s="335">
      <c r="A246" s="412">
        <f>B246&amp;C246&amp;D246</f>
        <v/>
      </c>
      <c r="B246" s="412" t="inlineStr">
        <is>
          <t>T24CORE</t>
        </is>
      </c>
      <c r="C246" s="412" t="inlineStr">
        <is>
          <t>PD_PAYMENT_DUE_HIS_MV</t>
        </is>
      </c>
      <c r="D246" s="412" t="inlineStr">
        <is>
          <t>RECORD_STATUS</t>
        </is>
      </c>
      <c r="E246" s="412" t="inlineStr">
        <is>
          <t>Trạng thái bản ghi</t>
        </is>
      </c>
      <c r="F246" s="410" t="inlineStr">
        <is>
          <t>X</t>
        </is>
      </c>
      <c r="G246" s="412" t="inlineStr">
        <is>
          <t>Arrangement Delinquency Summary / sk_lich_tra_no</t>
        </is>
      </c>
      <c r="H246" s="412" t="inlineStr">
        <is>
          <t>Record Status</t>
        </is>
      </c>
      <c r="I246" s="412" t="inlineStr">
        <is>
          <t>Map 1:1 từ T24CORE.PD_PAYMENT_DUE_HIS_MV.RECORD_STATUS sang PG_BRONZE.T24CORE_PD_PAYMENT_DUE_HIS_MV.RECORD_STATUS</t>
        </is>
      </c>
      <c r="J246" s="410" t="inlineStr">
        <is>
          <t>2025-11-26</t>
        </is>
      </c>
      <c r="K246" s="385" t="inlineStr">
        <is>
          <t>1:1</t>
        </is>
      </c>
      <c r="L246" s="385" t="inlineStr">
        <is>
          <t>PG_BRONZE</t>
        </is>
      </c>
      <c r="M246" s="386" t="inlineStr">
        <is>
          <t>T24CORE_PD_PAYMENT_DUE_HIS_MV</t>
        </is>
      </c>
      <c r="N246" s="386" t="inlineStr">
        <is>
          <t>RECORD_STATUS</t>
        </is>
      </c>
      <c r="O246" s="385" t="inlineStr">
        <is>
          <t>VARCHAR2</t>
        </is>
      </c>
      <c r="P246" s="420" t="n">
        <v>100</v>
      </c>
      <c r="Q246" s="386">
        <f>"COMMENT ON COLUMN "&amp;L246&amp;"."&amp;M246&amp;"."&amp;N246&amp;" IS '"&amp;E246&amp;"';"</f>
        <v/>
      </c>
      <c r="R246" s="414" t="inlineStr">
        <is>
          <t>Map 1:1 nguyên bản từ T24CORE.PD_PAYMENT_DUE_HIS_MV.RECORD_STATUS -&gt; PG_BRONZE.T24CORE_PD_PAYMENT_DUE_HIS_MV.RECORD_STATUS</t>
        </is>
      </c>
    </row>
    <row r="247" ht="14.25" customHeight="1" s="335">
      <c r="A247" s="412">
        <f>B247&amp;C247&amp;D247</f>
        <v/>
      </c>
      <c r="B247" s="412" t="inlineStr">
        <is>
          <t>T24CORE</t>
        </is>
      </c>
      <c r="C247" s="412" t="inlineStr">
        <is>
          <t>PD_PAYMENT_DUE_HIS_MV</t>
        </is>
      </c>
      <c r="D247" s="412" t="inlineStr">
        <is>
          <t>REPAYMENT_ACCT</t>
        </is>
      </c>
      <c r="E247" s="412" t="inlineStr">
        <is>
          <t>Số tài khoản thanh toán</t>
        </is>
      </c>
      <c r="F247" s="410" t="inlineStr">
        <is>
          <t>X</t>
        </is>
      </c>
      <c r="G247" s="412" t="inlineStr">
        <is>
          <t>Arrangement Delinquency Summary / sk_lich_tra_no</t>
        </is>
      </c>
      <c r="H247" s="412" t="inlineStr">
        <is>
          <t>Repayment Acct</t>
        </is>
      </c>
      <c r="I247" s="412" t="inlineStr">
        <is>
          <t>Map 1:1 từ T24CORE.PD_PAYMENT_DUE_HIS_MV.REPAYMENT_ACCT sang PG_BRONZE.T24CORE_PD_PAYMENT_DUE_HIS_MV.REPAYMENT_ACCT</t>
        </is>
      </c>
      <c r="J247" s="410" t="inlineStr">
        <is>
          <t>2025-11-26</t>
        </is>
      </c>
      <c r="K247" s="385" t="inlineStr">
        <is>
          <t>1:1</t>
        </is>
      </c>
      <c r="L247" s="385" t="inlineStr">
        <is>
          <t>PG_BRONZE</t>
        </is>
      </c>
      <c r="M247" s="386" t="inlineStr">
        <is>
          <t>T24CORE_PD_PAYMENT_DUE_HIS_MV</t>
        </is>
      </c>
      <c r="N247" s="386" t="inlineStr">
        <is>
          <t>REPAYMENT_ACCT</t>
        </is>
      </c>
      <c r="O247" s="385" t="inlineStr">
        <is>
          <t>VARCHAR2</t>
        </is>
      </c>
      <c r="P247" s="420" t="n">
        <v>100</v>
      </c>
      <c r="Q247" s="386">
        <f>"COMMENT ON COLUMN "&amp;L247&amp;"."&amp;M247&amp;"."&amp;N247&amp;" IS '"&amp;E247&amp;"';"</f>
        <v/>
      </c>
      <c r="R247" s="414" t="inlineStr">
        <is>
          <t>Map 1:1 nguyên bản từ T24CORE.PD_PAYMENT_DUE_HIS_MV.REPAYMENT_ACCT -&gt; PG_BRONZE.T24CORE_PD_PAYMENT_DUE_HIS_MV.REPAYMENT_ACCT</t>
        </is>
      </c>
    </row>
    <row r="248" ht="14.25" customHeight="1" s="335">
      <c r="A248" s="412">
        <f>B248&amp;C248&amp;D248</f>
        <v/>
      </c>
      <c r="B248" s="412" t="inlineStr">
        <is>
          <t>T24CORE</t>
        </is>
      </c>
      <c r="C248" s="412" t="inlineStr">
        <is>
          <t>PD_PAYMENT_DUE_MV</t>
        </is>
      </c>
      <c r="D248" s="412" t="inlineStr">
        <is>
          <t>ACC_FCC</t>
        </is>
      </c>
      <c r="E248" s="412" t="inlineStr">
        <is>
          <t>Mã hợp đồng FlexCube</t>
        </is>
      </c>
      <c r="F248" s="410" t="inlineStr">
        <is>
          <t>X</t>
        </is>
      </c>
      <c r="G248" s="412" t="inlineStr">
        <is>
          <t>Loan Arrangement</t>
        </is>
      </c>
      <c r="H248" s="412" t="inlineStr">
        <is>
          <t>FCC Arrangement Code</t>
        </is>
      </c>
      <c r="I248" s="412" t="inlineStr">
        <is>
          <t>Map 1:1 từ T24CORE.PD_PAYMENT_DUE_MV.ACC_FCC sang PG_BRONZE.T24CORE_PD_PAYMENT_DUE_MV.ACC_FCC</t>
        </is>
      </c>
      <c r="J248" s="410" t="inlineStr">
        <is>
          <t>2025-11-26</t>
        </is>
      </c>
      <c r="K248" s="385" t="inlineStr">
        <is>
          <t>1:1</t>
        </is>
      </c>
      <c r="L248" s="385" t="inlineStr">
        <is>
          <t>PG_BRONZE</t>
        </is>
      </c>
      <c r="M248" s="386" t="inlineStr">
        <is>
          <t>T24CORE_PD_PAYMENT_DUE_MV</t>
        </is>
      </c>
      <c r="N248" s="386" t="inlineStr">
        <is>
          <t>ACC_FCC</t>
        </is>
      </c>
      <c r="O248" s="385" t="inlineStr">
        <is>
          <t>VARCHAR2</t>
        </is>
      </c>
      <c r="P248" s="420" t="n">
        <v>100</v>
      </c>
      <c r="Q248" s="386">
        <f>"COMMENT ON COLUMN "&amp;L248&amp;"."&amp;M248&amp;"."&amp;N248&amp;" IS '"&amp;E248&amp;"';"</f>
        <v/>
      </c>
      <c r="R248" s="414" t="inlineStr">
        <is>
          <t>Map 1:1 nguyên bản từ T24CORE.PD_PAYMENT_DUE_MV.ACC_FCC -&gt; PG_BRONZE.T24CORE_PD_PAYMENT_DUE_MV.ACC_FCC</t>
        </is>
      </c>
    </row>
    <row r="249" ht="14.25" customHeight="1" s="335">
      <c r="A249" s="412">
        <f>B249&amp;C249&amp;D249</f>
        <v/>
      </c>
      <c r="B249" s="412" t="inlineStr">
        <is>
          <t>T24CORE</t>
        </is>
      </c>
      <c r="C249" s="412" t="inlineStr">
        <is>
          <t>PD_PAYMENT_DUE_MV</t>
        </is>
      </c>
      <c r="D249" s="412" t="inlineStr">
        <is>
          <t>APPROVE_AMOUNT</t>
        </is>
      </c>
      <c r="E249" s="412" t="inlineStr">
        <is>
          <t>Giá trị giải ngân</t>
        </is>
      </c>
      <c r="F249" s="410" t="inlineStr">
        <is>
          <t>X</t>
        </is>
      </c>
      <c r="G249" s="412" t="inlineStr">
        <is>
          <t>Loan Arrangement</t>
        </is>
      </c>
      <c r="H249" s="412" t="inlineStr">
        <is>
          <t>Original Amount FCY</t>
        </is>
      </c>
      <c r="I249" s="412" t="inlineStr">
        <is>
          <t>Map 1:1 từ T24CORE.PD_PAYMENT_DUE_MV.APPROVE_AMOUNT sang PG_BRONZE.T24CORE_PD_PAYMENT_DUE_MV.APPROVE_AMOUNT</t>
        </is>
      </c>
      <c r="J249" s="410" t="inlineStr">
        <is>
          <t>2025-11-26</t>
        </is>
      </c>
      <c r="K249" s="385" t="inlineStr">
        <is>
          <t>1:1</t>
        </is>
      </c>
      <c r="L249" s="385" t="inlineStr">
        <is>
          <t>PG_BRONZE</t>
        </is>
      </c>
      <c r="M249" s="386" t="inlineStr">
        <is>
          <t>T24CORE_PD_PAYMENT_DUE_MV</t>
        </is>
      </c>
      <c r="N249" s="386" t="inlineStr">
        <is>
          <t>APPROVE_AMOUNT</t>
        </is>
      </c>
      <c r="O249" s="385" t="inlineStr">
        <is>
          <t>NUMBER</t>
        </is>
      </c>
      <c r="P249" s="420" t="n">
        <v>25.5</v>
      </c>
      <c r="Q249" s="386">
        <f>"COMMENT ON COLUMN "&amp;L249&amp;"."&amp;M249&amp;"."&amp;N249&amp;" IS '"&amp;E249&amp;"';"</f>
        <v/>
      </c>
      <c r="R249" s="414" t="inlineStr">
        <is>
          <t>Map 1:1 nguyên bản từ T24CORE.PD_PAYMENT_DUE_MV.APPROVE_AMOUNT -&gt; PG_BRONZE.T24CORE_PD_PAYMENT_DUE_MV.APPROVE_AMOUNT</t>
        </is>
      </c>
    </row>
    <row r="250" ht="14.25" customHeight="1" s="335">
      <c r="A250" s="412">
        <f>B250&amp;C250&amp;D250</f>
        <v/>
      </c>
      <c r="B250" s="412" t="inlineStr">
        <is>
          <t>T24CORE</t>
        </is>
      </c>
      <c r="C250" s="412" t="inlineStr">
        <is>
          <t>PD_PAYMENT_DUE_MV</t>
        </is>
      </c>
      <c r="D250" s="412" t="inlineStr">
        <is>
          <t>CATEGORY</t>
        </is>
      </c>
      <c r="E250" s="412" t="inlineStr">
        <is>
          <t>Mã phân loại sản phẩm vay</t>
        </is>
      </c>
      <c r="F250" s="410" t="inlineStr">
        <is>
          <t>X</t>
        </is>
      </c>
      <c r="G250" s="412" t="inlineStr">
        <is>
          <t>Loan Arrangement</t>
        </is>
      </c>
      <c r="H250" s="412" t="inlineStr">
        <is>
          <t>Product Category Code</t>
        </is>
      </c>
      <c r="I250" s="412" t="inlineStr">
        <is>
          <t>Map 1:1 từ T24CORE.PD_PAYMENT_DUE_MV.CATEGORY sang PG_BRONZE.T24CORE_PD_PAYMENT_DUE_MV.CATEGORY</t>
        </is>
      </c>
      <c r="J250" s="410" t="inlineStr">
        <is>
          <t>2025-11-26</t>
        </is>
      </c>
      <c r="K250" s="385" t="inlineStr">
        <is>
          <t>1:1</t>
        </is>
      </c>
      <c r="L250" s="385" t="inlineStr">
        <is>
          <t>PG_BRONZE</t>
        </is>
      </c>
      <c r="M250" s="386" t="inlineStr">
        <is>
          <t>T24CORE_PD_PAYMENT_DUE_MV</t>
        </is>
      </c>
      <c r="N250" s="386" t="inlineStr">
        <is>
          <t>CATEGORY</t>
        </is>
      </c>
      <c r="O250" s="385" t="inlineStr">
        <is>
          <t>VARCHAR2</t>
        </is>
      </c>
      <c r="P250" s="420" t="n">
        <v>100</v>
      </c>
      <c r="Q250" s="386">
        <f>"COMMENT ON COLUMN "&amp;L250&amp;"."&amp;M250&amp;"."&amp;N250&amp;" IS '"&amp;E250&amp;"';"</f>
        <v/>
      </c>
      <c r="R250" s="414" t="inlineStr">
        <is>
          <t>Map 1:1 nguyên bản từ T24CORE.PD_PAYMENT_DUE_MV.CATEGORY -&gt; PG_BRONZE.T24CORE_PD_PAYMENT_DUE_MV.CATEGORY</t>
        </is>
      </c>
    </row>
    <row r="251" ht="14.25" customHeight="1" s="335">
      <c r="A251" s="412">
        <f>B251&amp;C251&amp;D251</f>
        <v/>
      </c>
      <c r="B251" s="412" t="inlineStr">
        <is>
          <t>T24CORE</t>
        </is>
      </c>
      <c r="C251" s="412" t="inlineStr">
        <is>
          <t>PD_PAYMENT_DUE_MV</t>
        </is>
      </c>
      <c r="D251" s="412" t="inlineStr">
        <is>
          <t>CO_CODE</t>
        </is>
      </c>
      <c r="E251" s="412" t="inlineStr">
        <is>
          <t>Mã chi nhánh</t>
        </is>
      </c>
      <c r="F251" s="410" t="inlineStr">
        <is>
          <t>X</t>
        </is>
      </c>
      <c r="G251" s="412" t="inlineStr">
        <is>
          <t>Loan Arrangement, Loan Arrangement Profile</t>
        </is>
      </c>
      <c r="H251" s="412" t="inlineStr">
        <is>
          <t>First Organization Unit Code , Organization Unit Code</t>
        </is>
      </c>
      <c r="I251" s="412" t="inlineStr">
        <is>
          <t>Map 1:1 từ T24CORE.PD_PAYMENT_DUE_MV.CO_CODE sang PG_BRONZE.T24CORE_PD_PAYMENT_DUE_MV.CO_CODE</t>
        </is>
      </c>
      <c r="J251" s="410" t="inlineStr">
        <is>
          <t>2025-11-26</t>
        </is>
      </c>
      <c r="K251" s="385" t="inlineStr">
        <is>
          <t>1:1</t>
        </is>
      </c>
      <c r="L251" s="385" t="inlineStr">
        <is>
          <t>PG_BRONZE</t>
        </is>
      </c>
      <c r="M251" s="386" t="inlineStr">
        <is>
          <t>T24CORE_PD_PAYMENT_DUE_MV</t>
        </is>
      </c>
      <c r="N251" s="386" t="inlineStr">
        <is>
          <t>CO_CODE</t>
        </is>
      </c>
      <c r="O251" s="385" t="inlineStr">
        <is>
          <t>VARCHAR2</t>
        </is>
      </c>
      <c r="P251" s="420" t="n">
        <v>100</v>
      </c>
      <c r="Q251" s="386">
        <f>"COMMENT ON COLUMN "&amp;L251&amp;"."&amp;M251&amp;"."&amp;N251&amp;" IS '"&amp;E251&amp;"';"</f>
        <v/>
      </c>
      <c r="R251" s="414" t="inlineStr">
        <is>
          <t>Map 1:1 nguyên bản từ T24CORE.PD_PAYMENT_DUE_MV.CO_CODE -&gt; PG_BRONZE.T24CORE_PD_PAYMENT_DUE_MV.CO_CODE</t>
        </is>
      </c>
    </row>
    <row r="252" ht="14.25" customHeight="1" s="335">
      <c r="A252" s="412">
        <f>B252&amp;C252&amp;D252</f>
        <v/>
      </c>
      <c r="B252" s="412" t="inlineStr">
        <is>
          <t>T24CORE</t>
        </is>
      </c>
      <c r="C252" s="412" t="inlineStr">
        <is>
          <t>PD_PAYMENT_DUE_MV</t>
        </is>
      </c>
      <c r="D252" s="412" t="inlineStr">
        <is>
          <t>COMMIT_ACTION</t>
        </is>
      </c>
      <c r="E252" s="412" t="inlineStr">
        <is>
          <t>Trường COMMIT_ACTION của bảng nguồn T24CORE.PD_PAYMENT_DUE_MV</t>
        </is>
      </c>
      <c r="F252" s="410" t="inlineStr">
        <is>
          <t>X</t>
        </is>
      </c>
      <c r="G252" s="412" t="inlineStr">
        <is>
          <t>Arrangement Activity Schedule Item / sk_lich_tra_no</t>
        </is>
      </c>
      <c r="H252" s="412" t="inlineStr">
        <is>
          <t>Commit Action</t>
        </is>
      </c>
      <c r="I252" s="412" t="inlineStr">
        <is>
          <t>Map 1:1 từ T24CORE.PD_PAYMENT_DUE_MV.COMMIT_ACTION sang PG_BRONZE.T24CORE_PD_PAYMENT_DUE_MV.COMMIT_ACTION</t>
        </is>
      </c>
      <c r="J252" s="410" t="inlineStr">
        <is>
          <t>2025-11-26</t>
        </is>
      </c>
      <c r="K252" s="385" t="inlineStr">
        <is>
          <t>1:1</t>
        </is>
      </c>
      <c r="L252" s="385" t="inlineStr">
        <is>
          <t>PG_BRONZE</t>
        </is>
      </c>
      <c r="M252" s="386" t="inlineStr">
        <is>
          <t>T24CORE_PD_PAYMENT_DUE_MV</t>
        </is>
      </c>
      <c r="N252" s="386" t="inlineStr">
        <is>
          <t>COMMIT_ACTION</t>
        </is>
      </c>
      <c r="O252" s="385" t="inlineStr">
        <is>
          <t>VARCHAR2</t>
        </is>
      </c>
      <c r="P252" s="420" t="n">
        <v>100</v>
      </c>
      <c r="Q252" s="386">
        <f>"COMMENT ON COLUMN "&amp;L252&amp;"."&amp;M252&amp;"."&amp;N252&amp;" IS '"&amp;E252&amp;"';"</f>
        <v/>
      </c>
      <c r="R252" s="414" t="inlineStr">
        <is>
          <t>Map 1:1 nguyên bản từ T24CORE.PD_PAYMENT_DUE_MV.COMMIT_ACTION -&gt; PG_BRONZE.T24CORE_PD_PAYMENT_DUE_MV.COMMIT_ACTION</t>
        </is>
      </c>
    </row>
    <row r="253" ht="14.25" customHeight="1" s="335">
      <c r="A253" s="412">
        <f>B253&amp;C253&amp;D253</f>
        <v/>
      </c>
      <c r="B253" s="412" t="inlineStr">
        <is>
          <t>T24CORE</t>
        </is>
      </c>
      <c r="C253" s="412" t="inlineStr">
        <is>
          <t>PD_PAYMENT_DUE_MV</t>
        </is>
      </c>
      <c r="D253" s="412" t="inlineStr">
        <is>
          <t>CREDIT_STATUS</t>
        </is>
      </c>
      <c r="E253" s="412" t="inlineStr">
        <is>
          <t>Nhóm nợ hợp đồng</t>
        </is>
      </c>
      <c r="F253" s="410" t="inlineStr">
        <is>
          <t>X</t>
        </is>
      </c>
      <c r="G253" s="412" t="inlineStr">
        <is>
          <t>Arrangement Activity Schedule Item / sk_lich_tra_no</t>
        </is>
      </c>
      <c r="H253" s="412" t="inlineStr">
        <is>
          <t>Credit Status</t>
        </is>
      </c>
      <c r="I253" s="412" t="inlineStr">
        <is>
          <t>Map 1:1 từ T24CORE.PD_PAYMENT_DUE_MV.CREDIT_STATUS sang PG_BRONZE.T24CORE_PD_PAYMENT_DUE_MV.CREDIT_STATUS</t>
        </is>
      </c>
      <c r="J253" s="410" t="inlineStr">
        <is>
          <t>2025-11-26</t>
        </is>
      </c>
      <c r="K253" s="385" t="inlineStr">
        <is>
          <t>1:1</t>
        </is>
      </c>
      <c r="L253" s="385" t="inlineStr">
        <is>
          <t>PG_BRONZE</t>
        </is>
      </c>
      <c r="M253" s="386" t="inlineStr">
        <is>
          <t>T24CORE_PD_PAYMENT_DUE_MV</t>
        </is>
      </c>
      <c r="N253" s="386" t="inlineStr">
        <is>
          <t>CREDIT_STATUS</t>
        </is>
      </c>
      <c r="O253" s="385" t="inlineStr">
        <is>
          <t>VARCHAR2</t>
        </is>
      </c>
      <c r="P253" s="420" t="n">
        <v>100</v>
      </c>
      <c r="Q253" s="386">
        <f>"COMMENT ON COLUMN "&amp;L253&amp;"."&amp;M253&amp;"."&amp;N253&amp;" IS '"&amp;E253&amp;"';"</f>
        <v/>
      </c>
      <c r="R253" s="414" t="inlineStr">
        <is>
          <t>Map 1:1 nguyên bản từ T24CORE.PD_PAYMENT_DUE_MV.CREDIT_STATUS -&gt; PG_BRONZE.T24CORE_PD_PAYMENT_DUE_MV.CREDIT_STATUS</t>
        </is>
      </c>
    </row>
    <row r="254" ht="14.25" customHeight="1" s="335">
      <c r="A254" s="412">
        <f>B254&amp;C254&amp;D254</f>
        <v/>
      </c>
      <c r="B254" s="412" t="inlineStr">
        <is>
          <t>T24CORE</t>
        </is>
      </c>
      <c r="C254" s="412" t="inlineStr">
        <is>
          <t>PD_PAYMENT_DUE_MV</t>
        </is>
      </c>
      <c r="D254" s="412" t="inlineStr">
        <is>
          <t>CURR_NO</t>
        </is>
      </c>
      <c r="E254" s="412" t="inlineStr">
        <is>
          <t>Version hiện tại của bản ghi</t>
        </is>
      </c>
      <c r="F254" s="410" t="inlineStr">
        <is>
          <t>X</t>
        </is>
      </c>
      <c r="G254" s="412" t="inlineStr">
        <is>
          <t>Arrangement Activity Schedule Item / sk_lich_tra_no</t>
        </is>
      </c>
      <c r="H254" s="412" t="inlineStr">
        <is>
          <t>Curr No</t>
        </is>
      </c>
      <c r="I254" s="412" t="inlineStr">
        <is>
          <t>Map 1:1 từ T24CORE.PD_PAYMENT_DUE_MV.CURR_NO sang PG_BRONZE.T24CORE_PD_PAYMENT_DUE_MV.CURR_NO</t>
        </is>
      </c>
      <c r="J254" s="410" t="inlineStr">
        <is>
          <t>2025-11-26</t>
        </is>
      </c>
      <c r="K254" s="385" t="inlineStr">
        <is>
          <t>1:1</t>
        </is>
      </c>
      <c r="L254" s="385" t="inlineStr">
        <is>
          <t>PG_BRONZE</t>
        </is>
      </c>
      <c r="M254" s="386" t="inlineStr">
        <is>
          <t>T24CORE_PD_PAYMENT_DUE_MV</t>
        </is>
      </c>
      <c r="N254" s="386" t="inlineStr">
        <is>
          <t>CURR_NO</t>
        </is>
      </c>
      <c r="O254" s="385" t="inlineStr">
        <is>
          <t>NUMBER</t>
        </is>
      </c>
      <c r="P254" s="420" t="n">
        <v>10</v>
      </c>
      <c r="Q254" s="386">
        <f>"COMMENT ON COLUMN "&amp;L254&amp;"."&amp;M254&amp;"."&amp;N254&amp;" IS '"&amp;E254&amp;"';"</f>
        <v/>
      </c>
      <c r="R254" s="414" t="inlineStr">
        <is>
          <t>Map 1:1 nguyên bản từ T24CORE.PD_PAYMENT_DUE_MV.CURR_NO -&gt; PG_BRONZE.T24CORE_PD_PAYMENT_DUE_MV.CURR_NO</t>
        </is>
      </c>
    </row>
    <row r="255" ht="14.25" customHeight="1" s="335">
      <c r="A255" s="412">
        <f>B255&amp;C255&amp;D255</f>
        <v/>
      </c>
      <c r="B255" s="412" t="inlineStr">
        <is>
          <t>T24CORE</t>
        </is>
      </c>
      <c r="C255" s="412" t="inlineStr">
        <is>
          <t>PD_PAYMENT_DUE_MV</t>
        </is>
      </c>
      <c r="D255" s="412" t="inlineStr">
        <is>
          <t>CUSTOMER</t>
        </is>
      </c>
      <c r="E255" s="412" t="inlineStr">
        <is>
          <t>Mã khách hàng</t>
        </is>
      </c>
      <c r="F255" s="410" t="inlineStr">
        <is>
          <t>X</t>
        </is>
      </c>
      <c r="G255" s="412" t="inlineStr">
        <is>
          <t>Loan Arrangement</t>
        </is>
      </c>
      <c r="H255" s="412" t="inlineStr">
        <is>
          <t>Customer Code/ Customer ID</t>
        </is>
      </c>
      <c r="I255" s="412" t="inlineStr">
        <is>
          <t>Map 1:1 từ T24CORE.PD_PAYMENT_DUE_MV.CUSTOMER sang PG_BRONZE.T24CORE_PD_PAYMENT_DUE_MV.CUSTOMER</t>
        </is>
      </c>
      <c r="J255" s="410" t="inlineStr">
        <is>
          <t>2025-11-26</t>
        </is>
      </c>
      <c r="K255" s="385" t="inlineStr">
        <is>
          <t>1:1</t>
        </is>
      </c>
      <c r="L255" s="385" t="inlineStr">
        <is>
          <t>PG_BRONZE</t>
        </is>
      </c>
      <c r="M255" s="386" t="inlineStr">
        <is>
          <t>T24CORE_PD_PAYMENT_DUE_MV</t>
        </is>
      </c>
      <c r="N255" s="386" t="inlineStr">
        <is>
          <t>CUSTOMER</t>
        </is>
      </c>
      <c r="O255" s="385" t="inlineStr">
        <is>
          <t>VARCHAR2</t>
        </is>
      </c>
      <c r="P255" s="420" t="n">
        <v>100</v>
      </c>
      <c r="Q255" s="386">
        <f>"COMMENT ON COLUMN "&amp;L255&amp;"."&amp;M255&amp;"."&amp;N255&amp;" IS '"&amp;E255&amp;"';"</f>
        <v/>
      </c>
      <c r="R255" s="414" t="inlineStr">
        <is>
          <t>Map 1:1 nguyên bản từ T24CORE.PD_PAYMENT_DUE_MV.CUSTOMER -&gt; PG_BRONZE.T24CORE_PD_PAYMENT_DUE_MV.CUSTOMER</t>
        </is>
      </c>
    </row>
    <row r="256" ht="14.25" customHeight="1" s="335">
      <c r="A256" s="412">
        <f>B256&amp;C256&amp;D256</f>
        <v/>
      </c>
      <c r="B256" s="412" t="inlineStr">
        <is>
          <t>T24CORE</t>
        </is>
      </c>
      <c r="C256" s="412" t="inlineStr">
        <is>
          <t>PD_PAYMENT_DUE_MV</t>
        </is>
      </c>
      <c r="D256" s="412" t="inlineStr">
        <is>
          <t>DATE_TIME</t>
        </is>
      </c>
      <c r="E256" s="412" t="inlineStr">
        <is>
          <t>Trường DATE_TIME của bảng nguồn T24CORE.PD_PAYMENT_DUE_MV</t>
        </is>
      </c>
      <c r="F256" s="410" t="inlineStr">
        <is>
          <t>X</t>
        </is>
      </c>
      <c r="G256" s="412" t="inlineStr">
        <is>
          <t>Arrangement Activity Schedule Item / sk_lich_tra_no</t>
        </is>
      </c>
      <c r="H256" s="412" t="inlineStr">
        <is>
          <t>Date Time</t>
        </is>
      </c>
      <c r="I256" s="412" t="inlineStr">
        <is>
          <t>Map 1:1 từ T24CORE.PD_PAYMENT_DUE_MV.DATE_TIME sang PG_BRONZE.T24CORE_PD_PAYMENT_DUE_MV.DATE_TIME</t>
        </is>
      </c>
      <c r="J256" s="410" t="inlineStr">
        <is>
          <t>2025-11-26</t>
        </is>
      </c>
      <c r="K256" s="385" t="inlineStr">
        <is>
          <t>1:1</t>
        </is>
      </c>
      <c r="L256" s="385" t="inlineStr">
        <is>
          <t>PG_BRONZE</t>
        </is>
      </c>
      <c r="M256" s="386" t="inlineStr">
        <is>
          <t>T24CORE_PD_PAYMENT_DUE_MV</t>
        </is>
      </c>
      <c r="N256" s="386" t="inlineStr">
        <is>
          <t>DATE_TIME</t>
        </is>
      </c>
      <c r="O256" s="385" t="inlineStr">
        <is>
          <t>DATE</t>
        </is>
      </c>
      <c r="P256" s="420" t="n">
        <v>8</v>
      </c>
      <c r="Q256" s="386">
        <f>"COMMENT ON COLUMN "&amp;L256&amp;"."&amp;M256&amp;"."&amp;N256&amp;" IS '"&amp;E256&amp;"';"</f>
        <v/>
      </c>
      <c r="R256" s="414" t="inlineStr">
        <is>
          <t>Map 1:1 nguyên bản từ T24CORE.PD_PAYMENT_DUE_MV.DATE_TIME -&gt; PG_BRONZE.T24CORE_PD_PAYMENT_DUE_MV.DATE_TIME</t>
        </is>
      </c>
    </row>
    <row r="257" ht="14.25" customHeight="1" s="335">
      <c r="A257" s="412">
        <f>B257&amp;C257&amp;D257</f>
        <v/>
      </c>
      <c r="B257" s="412" t="inlineStr">
        <is>
          <t>T24CORE</t>
        </is>
      </c>
      <c r="C257" s="412" t="inlineStr">
        <is>
          <t>PD_PAYMENT_DUE_MV</t>
        </is>
      </c>
      <c r="D257" s="412" t="inlineStr">
        <is>
          <t>FINAL_DUE_DATE</t>
        </is>
      </c>
      <c r="E257" s="412" t="inlineStr">
        <is>
          <t>Ngày trả nơ cuối khi quá hạn</t>
        </is>
      </c>
      <c r="F257" s="410" t="inlineStr">
        <is>
          <t>X</t>
        </is>
      </c>
      <c r="G257" s="412" t="inlineStr">
        <is>
          <t>Arrangement Activity Schedule Item / sk_lich_tra_no</t>
        </is>
      </c>
      <c r="H257" s="412" t="inlineStr">
        <is>
          <t>Final Due Date</t>
        </is>
      </c>
      <c r="I257" s="412" t="inlineStr">
        <is>
          <t>Map 1:1 từ T24CORE.PD_PAYMENT_DUE_MV.FINAL_DUE_DATE sang PG_BRONZE.T24CORE_PD_PAYMENT_DUE_MV.FINAL_DUE_DATE</t>
        </is>
      </c>
      <c r="J257" s="410" t="inlineStr">
        <is>
          <t>2025-11-26</t>
        </is>
      </c>
      <c r="K257" s="385" t="inlineStr">
        <is>
          <t>1:1</t>
        </is>
      </c>
      <c r="L257" s="385" t="inlineStr">
        <is>
          <t>PG_BRONZE</t>
        </is>
      </c>
      <c r="M257" s="386" t="inlineStr">
        <is>
          <t>T24CORE_PD_PAYMENT_DUE_MV</t>
        </is>
      </c>
      <c r="N257" s="386" t="inlineStr">
        <is>
          <t>FINAL_DUE_DATE</t>
        </is>
      </c>
      <c r="O257" s="385" t="inlineStr">
        <is>
          <t>DATE</t>
        </is>
      </c>
      <c r="P257" s="420" t="n">
        <v>8</v>
      </c>
      <c r="Q257" s="386">
        <f>"COMMENT ON COLUMN "&amp;L257&amp;"."&amp;M257&amp;"."&amp;N257&amp;" IS '"&amp;E257&amp;"';"</f>
        <v/>
      </c>
      <c r="R257" s="414" t="inlineStr">
        <is>
          <t>Map 1:1 nguyên bản từ T24CORE.PD_PAYMENT_DUE_MV.FINAL_DUE_DATE -&gt; PG_BRONZE.T24CORE_PD_PAYMENT_DUE_MV.FINAL_DUE_DATE</t>
        </is>
      </c>
    </row>
    <row r="258" ht="14.25" customHeight="1" s="335">
      <c r="A258" s="412">
        <f>B258&amp;C258&amp;D258</f>
        <v/>
      </c>
      <c r="B258" s="412" t="inlineStr">
        <is>
          <t>T24CORE</t>
        </is>
      </c>
      <c r="C258" s="412" t="inlineStr">
        <is>
          <t>PD_PAYMENT_DUE_MV</t>
        </is>
      </c>
      <c r="D258" s="412" t="inlineStr">
        <is>
          <t>FLAG_STATUS</t>
        </is>
      </c>
      <c r="E258" s="412" t="inlineStr">
        <is>
          <t>Cờ đánh dấu trạng thái bản ghi</t>
        </is>
      </c>
      <c r="F258" s="410" t="inlineStr">
        <is>
          <t>X</t>
        </is>
      </c>
      <c r="G258" s="412" t="inlineStr">
        <is>
          <t>Arrangement Activity Schedule Item / sk_lich_tra_no</t>
        </is>
      </c>
      <c r="H258" s="412" t="inlineStr">
        <is>
          <t>Flag Status</t>
        </is>
      </c>
      <c r="I258" s="412" t="inlineStr">
        <is>
          <t>Map 1:1 từ T24CORE.PD_PAYMENT_DUE_MV.FLAG_STATUS sang PG_BRONZE.T24CORE_PD_PAYMENT_DUE_MV.FLAG_STATUS</t>
        </is>
      </c>
      <c r="J258" s="410" t="inlineStr">
        <is>
          <t>2025-11-26</t>
        </is>
      </c>
      <c r="K258" s="385" t="inlineStr">
        <is>
          <t>1:1</t>
        </is>
      </c>
      <c r="L258" s="385" t="inlineStr">
        <is>
          <t>PG_BRONZE</t>
        </is>
      </c>
      <c r="M258" s="386" t="inlineStr">
        <is>
          <t>T24CORE_PD_PAYMENT_DUE_MV</t>
        </is>
      </c>
      <c r="N258" s="386" t="inlineStr">
        <is>
          <t>FLAG_STATUS</t>
        </is>
      </c>
      <c r="O258" s="385" t="inlineStr">
        <is>
          <t>VARCHAR2</t>
        </is>
      </c>
      <c r="P258" s="420" t="n">
        <v>100</v>
      </c>
      <c r="Q258" s="386">
        <f>"COMMENT ON COLUMN "&amp;L258&amp;"."&amp;M258&amp;"."&amp;N258&amp;" IS '"&amp;E258&amp;"';"</f>
        <v/>
      </c>
      <c r="R258" s="414" t="inlineStr">
        <is>
          <t>Map 1:1 nguyên bản từ T24CORE.PD_PAYMENT_DUE_MV.FLAG_STATUS -&gt; PG_BRONZE.T24CORE_PD_PAYMENT_DUE_MV.FLAG_STATUS</t>
        </is>
      </c>
    </row>
    <row r="259" ht="14.25" customHeight="1" s="335">
      <c r="A259" s="412">
        <f>B259&amp;C259&amp;D259</f>
        <v/>
      </c>
      <c r="B259" s="412" t="inlineStr">
        <is>
          <t>T24CORE</t>
        </is>
      </c>
      <c r="C259" s="412" t="inlineStr">
        <is>
          <t>PD_PAYMENT_DUE_MV</t>
        </is>
      </c>
      <c r="D259" s="412" t="inlineStr">
        <is>
          <t>ID</t>
        </is>
      </c>
      <c r="E259" s="412" t="inlineStr">
        <is>
          <t>Mã hợp đồng</t>
        </is>
      </c>
      <c r="F259" s="410" t="inlineStr">
        <is>
          <t>X</t>
        </is>
      </c>
      <c r="G259" s="412" t="inlineStr">
        <is>
          <t>Arrangement Activity Schedule Item / sk_lich_tra_no</t>
        </is>
      </c>
      <c r="H259" s="412" t="inlineStr">
        <is>
          <t>Id</t>
        </is>
      </c>
      <c r="I259" s="412" t="inlineStr">
        <is>
          <t>Map 1:1 từ T24CORE.PD_PAYMENT_DUE_MV.ID sang PG_BRONZE.T24CORE_PD_PAYMENT_DUE_MV.ID</t>
        </is>
      </c>
      <c r="J259" s="410" t="inlineStr">
        <is>
          <t>2025-11-26</t>
        </is>
      </c>
      <c r="K259" s="385" t="inlineStr">
        <is>
          <t>1:1</t>
        </is>
      </c>
      <c r="L259" s="385" t="inlineStr">
        <is>
          <t>PG_BRONZE</t>
        </is>
      </c>
      <c r="M259" s="386" t="inlineStr">
        <is>
          <t>T24CORE_PD_PAYMENT_DUE_MV</t>
        </is>
      </c>
      <c r="N259" s="386" t="inlineStr">
        <is>
          <t>ID</t>
        </is>
      </c>
      <c r="O259" s="385" t="inlineStr">
        <is>
          <t>VARCHAR2</t>
        </is>
      </c>
      <c r="P259" s="420" t="n">
        <v>100</v>
      </c>
      <c r="Q259" s="386">
        <f>"COMMENT ON COLUMN "&amp;L259&amp;"."&amp;M259&amp;"."&amp;N259&amp;" IS '"&amp;E259&amp;"';"</f>
        <v/>
      </c>
      <c r="R259" s="414" t="inlineStr">
        <is>
          <t>Map 1:1 nguyên bản từ T24CORE.PD_PAYMENT_DUE_MV.ID -&gt; PG_BRONZE.T24CORE_PD_PAYMENT_DUE_MV.ID</t>
        </is>
      </c>
    </row>
    <row r="260" ht="14.25" customHeight="1" s="335">
      <c r="A260" s="412">
        <f>B260&amp;C260&amp;D260</f>
        <v/>
      </c>
      <c r="B260" s="412" t="inlineStr">
        <is>
          <t>T24CORE</t>
        </is>
      </c>
      <c r="C260" s="412" t="inlineStr">
        <is>
          <t>PD_PAYMENT_DUE_MV</t>
        </is>
      </c>
      <c r="D260" s="412" t="inlineStr">
        <is>
          <t>ORIGINAL_MAT</t>
        </is>
      </c>
      <c r="E260" s="412" t="inlineStr">
        <is>
          <t>Ngày đáo hạn gốc</t>
        </is>
      </c>
      <c r="F260" s="410" t="inlineStr">
        <is>
          <t>X</t>
        </is>
      </c>
      <c r="G260" s="412" t="inlineStr">
        <is>
          <t>Loan Arrangement</t>
        </is>
      </c>
      <c r="H260" s="412" t="inlineStr">
        <is>
          <t>Maturity Date</t>
        </is>
      </c>
      <c r="I260" s="412" t="inlineStr">
        <is>
          <t>Map 1:1 từ T24CORE.PD_PAYMENT_DUE_MV.ORIGINAL_MAT sang PG_BRONZE.T24CORE_PD_PAYMENT_DUE_MV.ORIGINAL_MAT</t>
        </is>
      </c>
      <c r="J260" s="410" t="inlineStr">
        <is>
          <t>2025-11-26</t>
        </is>
      </c>
      <c r="K260" s="385" t="inlineStr">
        <is>
          <t>1:1</t>
        </is>
      </c>
      <c r="L260" s="385" t="inlineStr">
        <is>
          <t>PG_BRONZE</t>
        </is>
      </c>
      <c r="M260" s="386" t="inlineStr">
        <is>
          <t>T24CORE_PD_PAYMENT_DUE_MV</t>
        </is>
      </c>
      <c r="N260" s="386" t="inlineStr">
        <is>
          <t>ORIGINAL_MAT</t>
        </is>
      </c>
      <c r="O260" s="385" t="inlineStr">
        <is>
          <t>DATE</t>
        </is>
      </c>
      <c r="P260" s="420" t="n">
        <v>8</v>
      </c>
      <c r="Q260" s="386">
        <f>"COMMENT ON COLUMN "&amp;L260&amp;"."&amp;M260&amp;"."&amp;N260&amp;" IS '"&amp;E260&amp;"';"</f>
        <v/>
      </c>
      <c r="R260" s="414" t="inlineStr">
        <is>
          <t>Map 1:1 nguyên bản từ T24CORE.PD_PAYMENT_DUE_MV.ORIGINAL_MAT -&gt; PG_BRONZE.T24CORE_PD_PAYMENT_DUE_MV.ORIGINAL_MAT</t>
        </is>
      </c>
    </row>
    <row r="261" ht="14.25" customHeight="1" s="335">
      <c r="A261" s="412">
        <f>B261&amp;C261&amp;D261</f>
        <v/>
      </c>
      <c r="B261" s="412" t="inlineStr">
        <is>
          <t>T24CORE</t>
        </is>
      </c>
      <c r="C261" s="412" t="inlineStr">
        <is>
          <t>PD_PAYMENT_DUE_MV</t>
        </is>
      </c>
      <c r="D261" s="412" t="inlineStr">
        <is>
          <t>PAY_AMT_OUTS</t>
        </is>
      </c>
      <c r="E261" s="412" t="inlineStr">
        <is>
          <t>Số tiền còn lại chưa thanh toán</t>
        </is>
      </c>
      <c r="F261" s="410" t="inlineStr">
        <is>
          <t>X</t>
        </is>
      </c>
      <c r="G261" s="412" t="inlineStr">
        <is>
          <t>Arrangement Activity Schedule Item / sk_lich_tra_no</t>
        </is>
      </c>
      <c r="H261" s="412" t="inlineStr">
        <is>
          <t>Pay Amt Outs</t>
        </is>
      </c>
      <c r="I261" s="412" t="inlineStr">
        <is>
          <t>Map 1:1 từ T24CORE.PD_PAYMENT_DUE_MV.PAY_AMT_OUTS sang PG_BRONZE.T24CORE_PD_PAYMENT_DUE_MV.PAY_AMT_OUTS</t>
        </is>
      </c>
      <c r="J261" s="410" t="inlineStr">
        <is>
          <t>2025-11-26</t>
        </is>
      </c>
      <c r="K261" s="385" t="inlineStr">
        <is>
          <t>1:1</t>
        </is>
      </c>
      <c r="L261" s="385" t="inlineStr">
        <is>
          <t>PG_BRONZE</t>
        </is>
      </c>
      <c r="M261" s="386" t="inlineStr">
        <is>
          <t>T24CORE_PD_PAYMENT_DUE_MV</t>
        </is>
      </c>
      <c r="N261" s="386" t="inlineStr">
        <is>
          <t>PAY_AMT_OUTS</t>
        </is>
      </c>
      <c r="O261" s="385" t="inlineStr">
        <is>
          <t>NUMBER</t>
        </is>
      </c>
      <c r="P261" s="420" t="n">
        <v>25.5</v>
      </c>
      <c r="Q261" s="386">
        <f>"COMMENT ON COLUMN "&amp;L261&amp;"."&amp;M261&amp;"."&amp;N261&amp;" IS '"&amp;E261&amp;"';"</f>
        <v/>
      </c>
      <c r="R261" s="414" t="inlineStr">
        <is>
          <t>Map 1:1 nguyên bản từ T24CORE.PD_PAYMENT_DUE_MV.PAY_AMT_OUTS -&gt; PG_BRONZE.T24CORE_PD_PAYMENT_DUE_MV.PAY_AMT_OUTS</t>
        </is>
      </c>
    </row>
    <row r="262" ht="14.25" customHeight="1" s="335">
      <c r="A262" s="412">
        <f>B262&amp;C262&amp;D262</f>
        <v/>
      </c>
      <c r="B262" s="412" t="inlineStr">
        <is>
          <t>T24CORE</t>
        </is>
      </c>
      <c r="C262" s="412" t="inlineStr">
        <is>
          <t>PD_PAYMENT_DUE_MV</t>
        </is>
      </c>
      <c r="D262" s="412" t="inlineStr">
        <is>
          <t>PAY_TYPE</t>
        </is>
      </c>
      <c r="E262" s="412" t="inlineStr">
        <is>
          <t>Loại hình thanh toán</t>
        </is>
      </c>
      <c r="F262" s="410" t="inlineStr">
        <is>
          <t>X</t>
        </is>
      </c>
      <c r="G262" s="412" t="inlineStr">
        <is>
          <t>Arrangement Activity Schedule Item / sk_lich_tra_no</t>
        </is>
      </c>
      <c r="H262" s="412" t="inlineStr">
        <is>
          <t>Pay Type</t>
        </is>
      </c>
      <c r="I262" s="412" t="inlineStr">
        <is>
          <t>Map 1:1 từ T24CORE.PD_PAYMENT_DUE_MV.PAY_TYPE sang PG_BRONZE.T24CORE_PD_PAYMENT_DUE_MV.PAY_TYPE</t>
        </is>
      </c>
      <c r="J262" s="410" t="inlineStr">
        <is>
          <t>2025-11-26</t>
        </is>
      </c>
      <c r="K262" s="385" t="inlineStr">
        <is>
          <t>1:1</t>
        </is>
      </c>
      <c r="L262" s="385" t="inlineStr">
        <is>
          <t>PG_BRONZE</t>
        </is>
      </c>
      <c r="M262" s="386" t="inlineStr">
        <is>
          <t>T24CORE_PD_PAYMENT_DUE_MV</t>
        </is>
      </c>
      <c r="N262" s="386" t="inlineStr">
        <is>
          <t>PAY_TYPE</t>
        </is>
      </c>
      <c r="O262" s="385" t="inlineStr">
        <is>
          <t>VARCHAR2</t>
        </is>
      </c>
      <c r="P262" s="420" t="n">
        <v>100</v>
      </c>
      <c r="Q262" s="386">
        <f>"COMMENT ON COLUMN "&amp;L262&amp;"."&amp;M262&amp;"."&amp;N262&amp;" IS '"&amp;E262&amp;"';"</f>
        <v/>
      </c>
      <c r="R262" s="414" t="inlineStr">
        <is>
          <t>Map 1:1 nguyên bản từ T24CORE.PD_PAYMENT_DUE_MV.PAY_TYPE -&gt; PG_BRONZE.T24CORE_PD_PAYMENT_DUE_MV.PAY_TYPE</t>
        </is>
      </c>
    </row>
    <row r="263" ht="14.25" customHeight="1" s="335">
      <c r="A263" s="412">
        <f>B263&amp;C263&amp;D263</f>
        <v/>
      </c>
      <c r="B263" s="412" t="inlineStr">
        <is>
          <t>T24CORE</t>
        </is>
      </c>
      <c r="C263" s="412" t="inlineStr">
        <is>
          <t>PD_PAYMENT_DUE_MV</t>
        </is>
      </c>
      <c r="D263" s="412" t="inlineStr">
        <is>
          <t>PAYMENT_DTE_DUE</t>
        </is>
      </c>
      <c r="E263" s="412" t="inlineStr">
        <is>
          <t>Hạn thanh toán</t>
        </is>
      </c>
      <c r="F263" s="410" t="inlineStr">
        <is>
          <t>X</t>
        </is>
      </c>
      <c r="G263" s="412" t="inlineStr">
        <is>
          <t>Loan Arrangement</t>
        </is>
      </c>
      <c r="H263" s="412" t="inlineStr">
        <is>
          <t>Effective Date</t>
        </is>
      </c>
      <c r="I263" s="412" t="inlineStr">
        <is>
          <t>Map 1:1 từ T24CORE.PD_PAYMENT_DUE_MV.PAYMENT_DTE_DUE sang PG_BRONZE.T24CORE_PD_PAYMENT_DUE_MV.PAYMENT_DTE_DUE</t>
        </is>
      </c>
      <c r="J263" s="410" t="inlineStr">
        <is>
          <t>2025-11-26</t>
        </is>
      </c>
      <c r="K263" s="385" t="inlineStr">
        <is>
          <t>1:1</t>
        </is>
      </c>
      <c r="L263" s="385" t="inlineStr">
        <is>
          <t>PG_BRONZE</t>
        </is>
      </c>
      <c r="M263" s="386" t="inlineStr">
        <is>
          <t>T24CORE_PD_PAYMENT_DUE_MV</t>
        </is>
      </c>
      <c r="N263" s="386" t="inlineStr">
        <is>
          <t>PAYMENT_DTE_DUE</t>
        </is>
      </c>
      <c r="O263" s="385" t="inlineStr">
        <is>
          <t>DATE</t>
        </is>
      </c>
      <c r="P263" s="420" t="n">
        <v>8</v>
      </c>
      <c r="Q263" s="386">
        <f>"COMMENT ON COLUMN "&amp;L263&amp;"."&amp;M263&amp;"."&amp;N263&amp;" IS '"&amp;E263&amp;"';"</f>
        <v/>
      </c>
      <c r="R263" s="414" t="inlineStr">
        <is>
          <t>Map 1:1 nguyên bản từ T24CORE.PD_PAYMENT_DUE_MV.PAYMENT_DTE_DUE -&gt; PG_BRONZE.T24CORE_PD_PAYMENT_DUE_MV.PAYMENT_DTE_DUE</t>
        </is>
      </c>
    </row>
    <row r="264" ht="14.25" customHeight="1" s="335">
      <c r="A264" s="412">
        <f>B264&amp;C264&amp;D264</f>
        <v/>
      </c>
      <c r="B264" s="412" t="inlineStr">
        <is>
          <t>T24CORE</t>
        </is>
      </c>
      <c r="C264" s="412" t="inlineStr">
        <is>
          <t>PD_PAYMENT_DUE_MV</t>
        </is>
      </c>
      <c r="D264" s="412" t="inlineStr">
        <is>
          <t>PD_TYPE</t>
        </is>
      </c>
      <c r="E264" s="412" t="inlineStr">
        <is>
          <t>Loại sản phẩm</t>
        </is>
      </c>
      <c r="F264" s="410" t="inlineStr">
        <is>
          <t>X</t>
        </is>
      </c>
      <c r="G264" s="412" t="inlineStr">
        <is>
          <t>Arrangement Activity Schedule Item / sk_lich_tra_no</t>
        </is>
      </c>
      <c r="H264" s="412" t="inlineStr">
        <is>
          <t>Pd Type</t>
        </is>
      </c>
      <c r="I264" s="412" t="inlineStr">
        <is>
          <t>Map 1:1 từ T24CORE.PD_PAYMENT_DUE_MV.PD_TYPE sang PG_BRONZE.T24CORE_PD_PAYMENT_DUE_MV.PD_TYPE</t>
        </is>
      </c>
      <c r="J264" s="410" t="inlineStr">
        <is>
          <t>2025-11-26</t>
        </is>
      </c>
      <c r="K264" s="385" t="inlineStr">
        <is>
          <t>1:1</t>
        </is>
      </c>
      <c r="L264" s="385" t="inlineStr">
        <is>
          <t>PG_BRONZE</t>
        </is>
      </c>
      <c r="M264" s="386" t="inlineStr">
        <is>
          <t>T24CORE_PD_PAYMENT_DUE_MV</t>
        </is>
      </c>
      <c r="N264" s="386" t="inlineStr">
        <is>
          <t>PD_TYPE</t>
        </is>
      </c>
      <c r="O264" s="385" t="inlineStr">
        <is>
          <t>VARCHAR2</t>
        </is>
      </c>
      <c r="P264" s="420" t="n">
        <v>100</v>
      </c>
      <c r="Q264" s="386">
        <f>"COMMENT ON COLUMN "&amp;L264&amp;"."&amp;M264&amp;"."&amp;N264&amp;" IS '"&amp;E264&amp;"';"</f>
        <v/>
      </c>
      <c r="R264" s="414" t="inlineStr">
        <is>
          <t>Map 1:1 nguyên bản từ T24CORE.PD_PAYMENT_DUE_MV.PD_TYPE -&gt; PG_BRONZE.T24CORE_PD_PAYMENT_DUE_MV.PD_TYPE</t>
        </is>
      </c>
    </row>
    <row r="265" ht="14.25" customHeight="1" s="335">
      <c r="A265" s="412">
        <f>B265&amp;C265&amp;D265</f>
        <v/>
      </c>
      <c r="B265" s="412" t="inlineStr">
        <is>
          <t>T24CORE</t>
        </is>
      </c>
      <c r="C265" s="412" t="inlineStr">
        <is>
          <t>PD_PAYMENT_DUE_MV</t>
        </is>
      </c>
      <c r="D265" s="412" t="inlineStr">
        <is>
          <t>PE_RATE</t>
        </is>
      </c>
      <c r="E265" s="412" t="inlineStr">
        <is>
          <t>Lãi phạt penalty rate</t>
        </is>
      </c>
      <c r="F265" s="410" t="inlineStr">
        <is>
          <t>X</t>
        </is>
      </c>
      <c r="G265" s="412" t="inlineStr">
        <is>
          <t>Arrangement Rate History</t>
        </is>
      </c>
      <c r="H265" s="412" t="inlineStr">
        <is>
          <t>Penalty Rate</t>
        </is>
      </c>
      <c r="I265" s="412" t="inlineStr">
        <is>
          <t>Map 1:1 từ T24CORE.PD_PAYMENT_DUE_MV.PE_RATE sang PG_BRONZE.T24CORE_PD_PAYMENT_DUE_MV.PE_RATE</t>
        </is>
      </c>
      <c r="J265" s="410" t="inlineStr">
        <is>
          <t>2025-11-26</t>
        </is>
      </c>
      <c r="K265" s="385" t="inlineStr">
        <is>
          <t>1:1</t>
        </is>
      </c>
      <c r="L265" s="385" t="inlineStr">
        <is>
          <t>PG_BRONZE</t>
        </is>
      </c>
      <c r="M265" s="386" t="inlineStr">
        <is>
          <t>T24CORE_PD_PAYMENT_DUE_MV</t>
        </is>
      </c>
      <c r="N265" s="386" t="inlineStr">
        <is>
          <t>PE_RATE</t>
        </is>
      </c>
      <c r="O265" s="385" t="inlineStr">
        <is>
          <t>NUMBER</t>
        </is>
      </c>
      <c r="P265" s="420" t="n">
        <v>13.7</v>
      </c>
      <c r="Q265" s="386">
        <f>"COMMENT ON COLUMN "&amp;L265&amp;"."&amp;M265&amp;"."&amp;N265&amp;" IS '"&amp;E265&amp;"';"</f>
        <v/>
      </c>
      <c r="R265" s="414" t="inlineStr">
        <is>
          <t>Map 1:1 nguyên bản từ T24CORE.PD_PAYMENT_DUE_MV.PE_RATE -&gt; PG_BRONZE.T24CORE_PD_PAYMENT_DUE_MV.PE_RATE</t>
        </is>
      </c>
    </row>
    <row r="266" ht="14.25" customHeight="1" s="335">
      <c r="A266" s="412">
        <f>B266&amp;C266&amp;D266</f>
        <v/>
      </c>
      <c r="B266" s="412" t="inlineStr">
        <is>
          <t>T24CORE</t>
        </is>
      </c>
      <c r="C266" s="412" t="inlineStr">
        <is>
          <t>PD_PAYMENT_DUE_MV</t>
        </is>
      </c>
      <c r="D266" s="412" t="inlineStr">
        <is>
          <t>PENALTY_RATE</t>
        </is>
      </c>
      <c r="E266" s="412" t="inlineStr">
        <is>
          <t>Lãi suất phạt quá hạn danh nghĩa (Multi-value)</t>
        </is>
      </c>
      <c r="F266" s="410" t="inlineStr">
        <is>
          <t>X</t>
        </is>
      </c>
      <c r="G266" s="412" t="inlineStr">
        <is>
          <t>Arrangement Activity Schedule Item / sk_lich_tra_no</t>
        </is>
      </c>
      <c r="H266" s="412" t="inlineStr">
        <is>
          <t>Penalty Rate</t>
        </is>
      </c>
      <c r="I266" s="412" t="inlineStr">
        <is>
          <t>Map 1:1 từ T24CORE.PD_PAYMENT_DUE_MV.PENALTY_RATE sang PG_BRONZE.T24CORE_PD_PAYMENT_DUE_MV.PENALTY_RATE</t>
        </is>
      </c>
      <c r="J266" s="410" t="inlineStr">
        <is>
          <t>2025-11-26</t>
        </is>
      </c>
      <c r="K266" s="385" t="inlineStr">
        <is>
          <t>1:1</t>
        </is>
      </c>
      <c r="L266" s="385" t="inlineStr">
        <is>
          <t>PG_BRONZE</t>
        </is>
      </c>
      <c r="M266" s="386" t="inlineStr">
        <is>
          <t>T24CORE_PD_PAYMENT_DUE_MV</t>
        </is>
      </c>
      <c r="N266" s="386" t="inlineStr">
        <is>
          <t>PENALTY_RATE</t>
        </is>
      </c>
      <c r="O266" s="385" t="inlineStr">
        <is>
          <t>NUMBER</t>
        </is>
      </c>
      <c r="P266" s="420" t="n">
        <v>13.7</v>
      </c>
      <c r="Q266" s="386">
        <f>"COMMENT ON COLUMN "&amp;L266&amp;"."&amp;M266&amp;"."&amp;N266&amp;" IS '"&amp;E266&amp;"';"</f>
        <v/>
      </c>
      <c r="R266" s="414" t="inlineStr">
        <is>
          <t>Map 1:1 nguyên bản từ T24CORE.PD_PAYMENT_DUE_MV.PENALTY_RATE -&gt; PG_BRONZE.T24CORE_PD_PAYMENT_DUE_MV.PENALTY_RATE</t>
        </is>
      </c>
    </row>
    <row r="267" ht="14.25" customHeight="1" s="335">
      <c r="A267" s="412">
        <f>B267&amp;C267&amp;D267</f>
        <v/>
      </c>
      <c r="B267" s="412" t="inlineStr">
        <is>
          <t>T24CORE</t>
        </is>
      </c>
      <c r="C267" s="412" t="inlineStr">
        <is>
          <t>PD_PAYMENT_DUE_MV</t>
        </is>
      </c>
      <c r="D267" s="412" t="inlineStr">
        <is>
          <t>RECID</t>
        </is>
      </c>
      <c r="E267" s="412" t="inlineStr">
        <is>
          <t>Key bản ghi</t>
        </is>
      </c>
      <c r="F267" s="410" t="inlineStr">
        <is>
          <t>X</t>
        </is>
      </c>
      <c r="G267" s="412" t="inlineStr">
        <is>
          <t>Loan Arrangement</t>
        </is>
      </c>
      <c r="H267" s="412" t="inlineStr">
        <is>
          <t>Arrangement Code/Arrangement ID</t>
        </is>
      </c>
      <c r="I267" s="412" t="inlineStr">
        <is>
          <t>Map 1:1 từ T24CORE.PD_PAYMENT_DUE_MV.RECID sang PG_BRONZE.T24CORE_PD_PAYMENT_DUE_MV.RECID</t>
        </is>
      </c>
      <c r="J267" s="410" t="inlineStr">
        <is>
          <t>2025-11-26</t>
        </is>
      </c>
      <c r="K267" s="385" t="inlineStr">
        <is>
          <t>1:1</t>
        </is>
      </c>
      <c r="L267" s="385" t="inlineStr">
        <is>
          <t>PG_BRONZE</t>
        </is>
      </c>
      <c r="M267" s="386" t="inlineStr">
        <is>
          <t>T24CORE_PD_PAYMENT_DUE_MV</t>
        </is>
      </c>
      <c r="N267" s="386" t="inlineStr">
        <is>
          <t>RECID</t>
        </is>
      </c>
      <c r="O267" s="385" t="inlineStr">
        <is>
          <t>VARCHAR2</t>
        </is>
      </c>
      <c r="P267" s="420" t="n">
        <v>100</v>
      </c>
      <c r="Q267" s="386">
        <f>"COMMENT ON COLUMN "&amp;L267&amp;"."&amp;M267&amp;"."&amp;N267&amp;" IS '"&amp;E267&amp;"';"</f>
        <v/>
      </c>
      <c r="R267" s="414" t="inlineStr">
        <is>
          <t>Map 1:1 nguyên bản từ T24CORE.PD_PAYMENT_DUE_MV.RECID -&gt; PG_BRONZE.T24CORE_PD_PAYMENT_DUE_MV.RECID</t>
        </is>
      </c>
    </row>
    <row r="268" ht="14.25" customHeight="1" s="335">
      <c r="A268" s="412">
        <f>B268&amp;C268&amp;D268</f>
        <v/>
      </c>
      <c r="B268" s="412" t="inlineStr">
        <is>
          <t>T24CORE</t>
        </is>
      </c>
      <c r="C268" s="412" t="inlineStr">
        <is>
          <t>PD_PAYMENT_DUE_MV</t>
        </is>
      </c>
      <c r="D268" s="412" t="inlineStr">
        <is>
          <t>RECORD_STATUS</t>
        </is>
      </c>
      <c r="E268" s="412" t="inlineStr">
        <is>
          <t>Trạng thái bản ghi</t>
        </is>
      </c>
      <c r="F268" s="410" t="inlineStr">
        <is>
          <t>X</t>
        </is>
      </c>
      <c r="G268" s="412" t="inlineStr">
        <is>
          <t>Arrangement Activity Schedule Item / sk_lich_tra_no</t>
        </is>
      </c>
      <c r="H268" s="412" t="inlineStr">
        <is>
          <t>Record Status</t>
        </is>
      </c>
      <c r="I268" s="412" t="inlineStr">
        <is>
          <t>Map 1:1 từ T24CORE.PD_PAYMENT_DUE_MV.RECORD_STATUS sang PG_BRONZE.T24CORE_PD_PAYMENT_DUE_MV.RECORD_STATUS</t>
        </is>
      </c>
      <c r="J268" s="410" t="inlineStr">
        <is>
          <t>2025-11-26</t>
        </is>
      </c>
      <c r="K268" s="385" t="inlineStr">
        <is>
          <t>1:1</t>
        </is>
      </c>
      <c r="L268" s="385" t="inlineStr">
        <is>
          <t>PG_BRONZE</t>
        </is>
      </c>
      <c r="M268" s="386" t="inlineStr">
        <is>
          <t>T24CORE_PD_PAYMENT_DUE_MV</t>
        </is>
      </c>
      <c r="N268" s="386" t="inlineStr">
        <is>
          <t>RECORD_STATUS</t>
        </is>
      </c>
      <c r="O268" s="385" t="inlineStr">
        <is>
          <t>VARCHAR2</t>
        </is>
      </c>
      <c r="P268" s="420" t="n">
        <v>100</v>
      </c>
      <c r="Q268" s="386">
        <f>"COMMENT ON COLUMN "&amp;L268&amp;"."&amp;M268&amp;"."&amp;N268&amp;" IS '"&amp;E268&amp;"';"</f>
        <v/>
      </c>
      <c r="R268" s="414" t="inlineStr">
        <is>
          <t>Map 1:1 nguyên bản từ T24CORE.PD_PAYMENT_DUE_MV.RECORD_STATUS -&gt; PG_BRONZE.T24CORE_PD_PAYMENT_DUE_MV.RECORD_STATUS</t>
        </is>
      </c>
    </row>
    <row r="269" ht="14.25" customHeight="1" s="335">
      <c r="A269" s="412">
        <f>B269&amp;C269&amp;D269</f>
        <v/>
      </c>
      <c r="B269" s="412" t="inlineStr">
        <is>
          <t>T24CORE</t>
        </is>
      </c>
      <c r="C269" s="412" t="inlineStr">
        <is>
          <t>PD_PAYMENT_DUE_MV</t>
        </is>
      </c>
      <c r="D269" s="412" t="inlineStr">
        <is>
          <t>REPAID_AMT</t>
        </is>
      </c>
      <c r="E269" s="412" t="inlineStr">
        <is>
          <t>Số tiền đã trả</t>
        </is>
      </c>
      <c r="F269" s="410" t="inlineStr">
        <is>
          <t>X</t>
        </is>
      </c>
      <c r="G269" s="412" t="inlineStr">
        <is>
          <t>Arrangement Activity Schedule Item / sk_lich_tra_no</t>
        </is>
      </c>
      <c r="H269" s="412" t="inlineStr">
        <is>
          <t>Repaid Amt</t>
        </is>
      </c>
      <c r="I269" s="412" t="inlineStr">
        <is>
          <t>Map 1:1 từ T24CORE.PD_PAYMENT_DUE_MV.REPAID_AMT sang PG_BRONZE.T24CORE_PD_PAYMENT_DUE_MV.REPAID_AMT</t>
        </is>
      </c>
      <c r="J269" s="410" t="inlineStr">
        <is>
          <t>2025-11-26</t>
        </is>
      </c>
      <c r="K269" s="385" t="inlineStr">
        <is>
          <t>1:1</t>
        </is>
      </c>
      <c r="L269" s="385" t="inlineStr">
        <is>
          <t>PG_BRONZE</t>
        </is>
      </c>
      <c r="M269" s="386" t="inlineStr">
        <is>
          <t>T24CORE_PD_PAYMENT_DUE_MV</t>
        </is>
      </c>
      <c r="N269" s="386" t="inlineStr">
        <is>
          <t>REPAID_AMT</t>
        </is>
      </c>
      <c r="O269" s="385" t="inlineStr">
        <is>
          <t>NUMBER</t>
        </is>
      </c>
      <c r="P269" s="420" t="n">
        <v>25.5</v>
      </c>
      <c r="Q269" s="386">
        <f>"COMMENT ON COLUMN "&amp;L269&amp;"."&amp;M269&amp;"."&amp;N269&amp;" IS '"&amp;E269&amp;"';"</f>
        <v/>
      </c>
      <c r="R269" s="414" t="inlineStr">
        <is>
          <t>Map 1:1 nguyên bản từ T24CORE.PD_PAYMENT_DUE_MV.REPAID_AMT -&gt; PG_BRONZE.T24CORE_PD_PAYMENT_DUE_MV.REPAID_AMT</t>
        </is>
      </c>
    </row>
    <row r="270" ht="14.25" customHeight="1" s="335">
      <c r="A270" s="412">
        <f>B270&amp;C270&amp;D270</f>
        <v/>
      </c>
      <c r="B270" s="412" t="inlineStr">
        <is>
          <t>T24CORE</t>
        </is>
      </c>
      <c r="C270" s="412" t="inlineStr">
        <is>
          <t>PD_PAYMENT_DUE_MV</t>
        </is>
      </c>
      <c r="D270" s="412" t="inlineStr">
        <is>
          <t>REPAYMENT_ACCT</t>
        </is>
      </c>
      <c r="E270" s="412" t="inlineStr">
        <is>
          <t>Số tài khoản thanh toán</t>
        </is>
      </c>
      <c r="F270" s="410" t="inlineStr">
        <is>
          <t>X</t>
        </is>
      </c>
      <c r="G270" s="412" t="inlineStr">
        <is>
          <t>Loan Arrangement Profile</t>
        </is>
      </c>
      <c r="H270" s="412" t="inlineStr">
        <is>
          <t>Interest Liquid Arrangement Code /Interest Liquid Arrangement Id</t>
        </is>
      </c>
      <c r="I270" s="412" t="inlineStr">
        <is>
          <t>Map 1:1 từ T24CORE.PD_PAYMENT_DUE_MV.REPAYMENT_ACCT sang PG_BRONZE.T24CORE_PD_PAYMENT_DUE_MV.REPAYMENT_ACCT</t>
        </is>
      </c>
      <c r="J270" s="410" t="inlineStr">
        <is>
          <t>2025-11-26</t>
        </is>
      </c>
      <c r="K270" s="385" t="inlineStr">
        <is>
          <t>1:1</t>
        </is>
      </c>
      <c r="L270" s="385" t="inlineStr">
        <is>
          <t>PG_BRONZE</t>
        </is>
      </c>
      <c r="M270" s="386" t="inlineStr">
        <is>
          <t>T24CORE_PD_PAYMENT_DUE_MV</t>
        </is>
      </c>
      <c r="N270" s="386" t="inlineStr">
        <is>
          <t>REPAYMENT_ACCT</t>
        </is>
      </c>
      <c r="O270" s="385" t="inlineStr">
        <is>
          <t>VARCHAR2</t>
        </is>
      </c>
      <c r="P270" s="420" t="n">
        <v>100</v>
      </c>
      <c r="Q270" s="386">
        <f>"COMMENT ON COLUMN "&amp;L270&amp;"."&amp;M270&amp;"."&amp;N270&amp;" IS '"&amp;E270&amp;"';"</f>
        <v/>
      </c>
      <c r="R270" s="414" t="inlineStr">
        <is>
          <t>Map 1:1 nguyên bản từ T24CORE.PD_PAYMENT_DUE_MV.REPAYMENT_ACCT -&gt; PG_BRONZE.T24CORE_PD_PAYMENT_DUE_MV.REPAYMENT_ACCT</t>
        </is>
      </c>
    </row>
    <row r="271" ht="14.25" customHeight="1" s="335">
      <c r="A271" s="412">
        <f>B271&amp;C271&amp;D271</f>
        <v/>
      </c>
      <c r="B271" s="412" t="inlineStr">
        <is>
          <t>T24CORE</t>
        </is>
      </c>
      <c r="C271" s="412" t="inlineStr">
        <is>
          <t>SECTOR</t>
        </is>
      </c>
      <c r="D271" s="412" t="inlineStr">
        <is>
          <t>CUSTOMER_TYPE</t>
        </is>
      </c>
      <c r="E271" s="412" t="inlineStr">
        <is>
          <t>Loại khách hàng</t>
        </is>
      </c>
      <c r="F271" s="410" t="inlineStr">
        <is>
          <t>X</t>
        </is>
      </c>
      <c r="G271" s="412" t="inlineStr">
        <is>
          <t>Customer / sk_lich_tra_no / sk_lich_tra_no</t>
        </is>
      </c>
      <c r="H271" s="412" t="inlineStr">
        <is>
          <t>Customer Type</t>
        </is>
      </c>
      <c r="I271" s="412" t="inlineStr">
        <is>
          <t>Map 1:1 từ T24CORE.SECTOR.CUSTOMER_TYPE sang PG_BRONZE.T24CORE_SECTOR.CUSTOMER_TYPE</t>
        </is>
      </c>
      <c r="J271" s="410" t="inlineStr">
        <is>
          <t>2025-11-26</t>
        </is>
      </c>
      <c r="K271" s="385" t="inlineStr">
        <is>
          <t>1:1</t>
        </is>
      </c>
      <c r="L271" s="385" t="inlineStr">
        <is>
          <t>PG_BRONZE</t>
        </is>
      </c>
      <c r="M271" s="386" t="inlineStr">
        <is>
          <t>T24CORE_SECTOR</t>
        </is>
      </c>
      <c r="N271" s="386" t="inlineStr">
        <is>
          <t>CUSTOMER_TYPE</t>
        </is>
      </c>
      <c r="O271" s="385" t="inlineStr">
        <is>
          <t>VARCHAR2</t>
        </is>
      </c>
      <c r="P271" s="420" t="n">
        <v>100</v>
      </c>
      <c r="Q271" s="386">
        <f>"COMMENT ON COLUMN "&amp;L271&amp;"."&amp;M271&amp;"."&amp;N271&amp;" IS '"&amp;E271&amp;"';"</f>
        <v/>
      </c>
      <c r="R271" s="414" t="inlineStr">
        <is>
          <t>Map 1:1 nguyên bản từ T24CORE.SECTOR.CUSTOMER_TYPE -&gt; PG_BRONZE.T24CORE_SECTOR.CUSTOMER_TYPE</t>
        </is>
      </c>
    </row>
    <row r="272" ht="14.25" customHeight="1" s="335">
      <c r="A272" s="412">
        <f>B272&amp;C272&amp;D272</f>
        <v/>
      </c>
      <c r="B272" s="412" t="inlineStr">
        <is>
          <t>T24CORE</t>
        </is>
      </c>
      <c r="C272" s="412" t="inlineStr">
        <is>
          <t>SECTOR</t>
        </is>
      </c>
      <c r="D272" s="412" t="inlineStr">
        <is>
          <t>RECID</t>
        </is>
      </c>
      <c r="E272" s="412" t="inlineStr">
        <is>
          <t>Mã định danh</t>
        </is>
      </c>
      <c r="F272" s="410" t="inlineStr">
        <is>
          <t>X</t>
        </is>
      </c>
      <c r="G272" s="412" t="inlineStr">
        <is>
          <t>Customer / sk_lich_tra_no / sk_lich_tra_no</t>
        </is>
      </c>
      <c r="H272" s="412" t="inlineStr">
        <is>
          <t>Recid</t>
        </is>
      </c>
      <c r="I272" s="412" t="inlineStr">
        <is>
          <t>Map 1:1 từ T24CORE.SECTOR.RECID sang PG_BRONZE.T24CORE_SECTOR.RECID</t>
        </is>
      </c>
      <c r="J272" s="410" t="inlineStr">
        <is>
          <t>2025-11-26</t>
        </is>
      </c>
      <c r="K272" s="385" t="inlineStr">
        <is>
          <t>1:1</t>
        </is>
      </c>
      <c r="L272" s="385" t="inlineStr">
        <is>
          <t>PG_BRONZE</t>
        </is>
      </c>
      <c r="M272" s="386" t="inlineStr">
        <is>
          <t>T24CORE_SECTOR</t>
        </is>
      </c>
      <c r="N272" s="386" t="inlineStr">
        <is>
          <t>RECID</t>
        </is>
      </c>
      <c r="O272" s="385" t="inlineStr">
        <is>
          <t>VARCHAR2</t>
        </is>
      </c>
      <c r="P272" s="420" t="n">
        <v>100</v>
      </c>
      <c r="Q272" s="386">
        <f>"COMMENT ON COLUMN "&amp;L272&amp;"."&amp;M272&amp;"."&amp;N272&amp;" IS '"&amp;E272&amp;"';"</f>
        <v/>
      </c>
      <c r="R272" s="414" t="inlineStr">
        <is>
          <t>Map 1:1 nguyên bản từ T24CORE.SECTOR.RECID -&gt; PG_BRONZE.T24CORE_SECTOR.RECID</t>
        </is>
      </c>
    </row>
    <row r="273" ht="14.25" customHeight="1" s="335">
      <c r="A273" s="412">
        <f>B273&amp;C273&amp;D273</f>
        <v/>
      </c>
      <c r="B273" s="412" t="inlineStr">
        <is>
          <t>T24CORE</t>
        </is>
      </c>
      <c r="C273" s="412" t="inlineStr">
        <is>
          <t>STMT_ENTRY</t>
        </is>
      </c>
      <c r="D273" s="412" t="inlineStr">
        <is>
          <t>AMOUNT_FCY</t>
        </is>
      </c>
      <c r="E273" s="412" t="inlineStr">
        <is>
          <t>Dư nợ nguyên tệ</t>
        </is>
      </c>
      <c r="F273" s="410" t="inlineStr">
        <is>
          <t>X</t>
        </is>
      </c>
      <c r="G273" s="412" t="inlineStr">
        <is>
          <t>Posting Entry</t>
        </is>
      </c>
      <c r="H273" s="412" t="inlineStr">
        <is>
          <t>Posting Entry Amount FCY</t>
        </is>
      </c>
      <c r="I273" s="412" t="inlineStr">
        <is>
          <t>Map 1:1 từ T24CORE.STMT_ENTRY.AMOUNT_FCY sang PG_BRONZE.T24CORE_STMT_ENTRY.AMOUNT_FCY</t>
        </is>
      </c>
      <c r="J273" s="410" t="inlineStr">
        <is>
          <t>2025-11-26</t>
        </is>
      </c>
      <c r="K273" s="385" t="inlineStr">
        <is>
          <t>1:1</t>
        </is>
      </c>
      <c r="L273" s="385" t="inlineStr">
        <is>
          <t>PG_BRONZE</t>
        </is>
      </c>
      <c r="M273" s="386" t="inlineStr">
        <is>
          <t>T24CORE_STMT_ENTRY</t>
        </is>
      </c>
      <c r="N273" s="386" t="inlineStr">
        <is>
          <t>AMOUNT_FCY</t>
        </is>
      </c>
      <c r="O273" s="385" t="inlineStr">
        <is>
          <t>NUMBER</t>
        </is>
      </c>
      <c r="P273" s="420" t="n">
        <v>25.5</v>
      </c>
      <c r="Q273" s="386">
        <f>"COMMENT ON COLUMN "&amp;L273&amp;"."&amp;M273&amp;"."&amp;N273&amp;" IS '"&amp;E273&amp;"';"</f>
        <v/>
      </c>
      <c r="R273" s="414" t="inlineStr">
        <is>
          <t>Map 1:1 nguyên bản từ T24CORE.STMT_ENTRY.AMOUNT_FCY -&gt; PG_BRONZE.T24CORE_STMT_ENTRY.AMOUNT_FCY</t>
        </is>
      </c>
    </row>
    <row r="274" ht="14.25" customHeight="1" s="335">
      <c r="A274" s="412">
        <f>B274&amp;C274&amp;D274</f>
        <v/>
      </c>
      <c r="B274" s="412" t="inlineStr">
        <is>
          <t>T24CORE</t>
        </is>
      </c>
      <c r="C274" s="412" t="inlineStr">
        <is>
          <t>STMT_ENTRY</t>
        </is>
      </c>
      <c r="D274" s="412" t="inlineStr">
        <is>
          <t>AMOUNT_LCY</t>
        </is>
      </c>
      <c r="E274" s="412" t="inlineStr">
        <is>
          <t>Dư nợ quy đổi</t>
        </is>
      </c>
      <c r="F274" s="410" t="inlineStr">
        <is>
          <t>X</t>
        </is>
      </c>
      <c r="G274" s="412" t="inlineStr">
        <is>
          <t>Posting Entry</t>
        </is>
      </c>
      <c r="H274" s="423" t="inlineStr">
        <is>
          <t>Posting Entry Amount LCY</t>
        </is>
      </c>
      <c r="I274" s="412" t="inlineStr">
        <is>
          <t>Map 1:1 từ T24CORE.STMT_ENTRY.AMOUNT_LCY sang PG_BRONZE.T24CORE_STMT_ENTRY.AMOUNT_LCY</t>
        </is>
      </c>
      <c r="J274" s="410" t="inlineStr">
        <is>
          <t>2025-11-26</t>
        </is>
      </c>
      <c r="K274" s="385" t="inlineStr">
        <is>
          <t>1:1</t>
        </is>
      </c>
      <c r="L274" s="385" t="inlineStr">
        <is>
          <t>PG_BRONZE</t>
        </is>
      </c>
      <c r="M274" s="386" t="inlineStr">
        <is>
          <t>T24CORE_STMT_ENTRY</t>
        </is>
      </c>
      <c r="N274" s="386" t="inlineStr">
        <is>
          <t>AMOUNT_LCY</t>
        </is>
      </c>
      <c r="O274" s="385" t="inlineStr">
        <is>
          <t>NUMBER</t>
        </is>
      </c>
      <c r="P274" s="420" t="n">
        <v>25.5</v>
      </c>
      <c r="Q274" s="386">
        <f>"COMMENT ON COLUMN "&amp;L274&amp;"."&amp;M274&amp;"."&amp;N274&amp;" IS '"&amp;E274&amp;"';"</f>
        <v/>
      </c>
      <c r="R274" s="414" t="inlineStr">
        <is>
          <t>Map 1:1 nguyên bản từ T24CORE.STMT_ENTRY.AMOUNT_LCY -&gt; PG_BRONZE.T24CORE_STMT_ENTRY.AMOUNT_LCY</t>
        </is>
      </c>
    </row>
    <row r="275" ht="14.25" customHeight="1" s="335">
      <c r="A275" s="412">
        <f>B275&amp;C275&amp;D275</f>
        <v/>
      </c>
      <c r="B275" s="412" t="inlineStr">
        <is>
          <t>T24CORE</t>
        </is>
      </c>
      <c r="C275" s="412" t="inlineStr">
        <is>
          <t>STMT_ENTRY</t>
        </is>
      </c>
      <c r="D275" s="412" t="inlineStr">
        <is>
          <t>BOOKING_DATE</t>
        </is>
      </c>
      <c r="E275" s="412" t="inlineStr">
        <is>
          <t>Ngay but toan ghi nhan vao he thong</t>
        </is>
      </c>
      <c r="F275" s="410" t="inlineStr">
        <is>
          <t>X</t>
        </is>
      </c>
      <c r="G275" s="412" t="inlineStr">
        <is>
          <t>Posting Entry</t>
        </is>
      </c>
      <c r="H275" s="423" t="inlineStr">
        <is>
          <t>Posting Date</t>
        </is>
      </c>
      <c r="I275" s="412" t="inlineStr">
        <is>
          <t>Map 1:1 từ T24CORE.STMT_ENTRY.BOOKING_DATE sang PG_BRONZE.T24CORE_STMT_ENTRY.BOOKING_DATE</t>
        </is>
      </c>
      <c r="J275" s="410" t="inlineStr">
        <is>
          <t>2025-11-26</t>
        </is>
      </c>
      <c r="K275" s="385" t="inlineStr">
        <is>
          <t>1:1</t>
        </is>
      </c>
      <c r="L275" s="385" t="inlineStr">
        <is>
          <t>PG_BRONZE</t>
        </is>
      </c>
      <c r="M275" s="386" t="inlineStr">
        <is>
          <t>T24CORE_STMT_ENTRY</t>
        </is>
      </c>
      <c r="N275" s="386" t="inlineStr">
        <is>
          <t>BOOKING_DATE</t>
        </is>
      </c>
      <c r="O275" s="385" t="inlineStr">
        <is>
          <t>DATE</t>
        </is>
      </c>
      <c r="P275" s="420" t="n">
        <v>8</v>
      </c>
      <c r="Q275" s="386">
        <f>"COMMENT ON COLUMN "&amp;L275&amp;"."&amp;M275&amp;"."&amp;N275&amp;" IS '"&amp;E275&amp;"';"</f>
        <v/>
      </c>
      <c r="R275" s="414" t="inlineStr">
        <is>
          <t>Map 1:1 nguyên bản từ T24CORE.STMT_ENTRY.BOOKING_DATE -&gt; PG_BRONZE.T24CORE_STMT_ENTRY.BOOKING_DATE</t>
        </is>
      </c>
    </row>
    <row r="276" ht="14.25" customHeight="1" s="335">
      <c r="A276" s="412">
        <f>B276&amp;C276&amp;D276</f>
        <v/>
      </c>
      <c r="B276" s="412" t="inlineStr">
        <is>
          <t>T24CORE</t>
        </is>
      </c>
      <c r="C276" s="412" t="inlineStr">
        <is>
          <t>STMT_ENTRY</t>
        </is>
      </c>
      <c r="D276" s="412" t="inlineStr">
        <is>
          <t>CURRENCY</t>
        </is>
      </c>
      <c r="E276" s="412" t="inlineStr">
        <is>
          <t>Loai tien but toan</t>
        </is>
      </c>
      <c r="F276" s="410" t="inlineStr">
        <is>
          <t>X</t>
        </is>
      </c>
      <c r="G276" s="412" t="inlineStr">
        <is>
          <t>Posting Entry</t>
        </is>
      </c>
      <c r="H276" s="423" t="inlineStr">
        <is>
          <t>Currency Code</t>
        </is>
      </c>
      <c r="I276" s="412" t="inlineStr">
        <is>
          <t>Map 1:1 từ T24CORE.STMT_ENTRY.CURRENCY sang PG_BRONZE.T24CORE_STMT_ENTRY.CURRENCY</t>
        </is>
      </c>
      <c r="J276" s="410" t="inlineStr">
        <is>
          <t>2025-11-26</t>
        </is>
      </c>
      <c r="K276" s="385" t="inlineStr">
        <is>
          <t>1:1</t>
        </is>
      </c>
      <c r="L276" s="385" t="inlineStr">
        <is>
          <t>PG_BRONZE</t>
        </is>
      </c>
      <c r="M276" s="386" t="inlineStr">
        <is>
          <t>T24CORE_STMT_ENTRY</t>
        </is>
      </c>
      <c r="N276" s="386" t="inlineStr">
        <is>
          <t>CURRENCY</t>
        </is>
      </c>
      <c r="O276" s="385" t="inlineStr">
        <is>
          <t>VARCHAR2</t>
        </is>
      </c>
      <c r="P276" s="420" t="n">
        <v>100</v>
      </c>
      <c r="Q276" s="386">
        <f>"COMMENT ON COLUMN "&amp;L276&amp;"."&amp;M276&amp;"."&amp;N276&amp;" IS '"&amp;E276&amp;"';"</f>
        <v/>
      </c>
      <c r="R276" s="414" t="inlineStr">
        <is>
          <t>Map 1:1 nguyên bản từ T24CORE.STMT_ENTRY.CURRENCY -&gt; PG_BRONZE.T24CORE_STMT_ENTRY.CURRENCY</t>
        </is>
      </c>
    </row>
    <row r="277" ht="14.25" customHeight="1" s="335">
      <c r="A277" s="412">
        <f>B277&amp;C277&amp;D277</f>
        <v/>
      </c>
      <c r="B277" s="412" t="inlineStr">
        <is>
          <t>T24CORE</t>
        </is>
      </c>
      <c r="C277" s="412" t="inlineStr">
        <is>
          <t>STMT_ENTRY</t>
        </is>
      </c>
      <c r="D277" s="412" t="inlineStr">
        <is>
          <t>OUR_REFERENCE</t>
        </is>
      </c>
      <c r="E277" s="412" t="inlineStr">
        <is>
          <t>Ma tham chieu</t>
        </is>
      </c>
      <c r="F277" s="410" t="inlineStr">
        <is>
          <t>X</t>
        </is>
      </c>
      <c r="G277" s="412" t="inlineStr">
        <is>
          <t>Posting Entry</t>
        </is>
      </c>
      <c r="H277" s="423" t="inlineStr">
        <is>
          <t>Transaction Number</t>
        </is>
      </c>
      <c r="I277" s="412" t="inlineStr">
        <is>
          <t>Map 1:1 từ T24CORE.STMT_ENTRY.OUR_REFERENCE sang PG_BRONZE.T24CORE_STMT_ENTRY.OUR_REFERENCE</t>
        </is>
      </c>
      <c r="J277" s="410" t="inlineStr">
        <is>
          <t>2025-11-26</t>
        </is>
      </c>
      <c r="K277" s="385" t="inlineStr">
        <is>
          <t>1:1</t>
        </is>
      </c>
      <c r="L277" s="385" t="inlineStr">
        <is>
          <t>PG_BRONZE</t>
        </is>
      </c>
      <c r="M277" s="386" t="inlineStr">
        <is>
          <t>T24CORE_STMT_ENTRY</t>
        </is>
      </c>
      <c r="N277" s="386" t="inlineStr">
        <is>
          <t>OUR_REFERENCE</t>
        </is>
      </c>
      <c r="O277" s="385" t="inlineStr">
        <is>
          <t>VARCHAR2</t>
        </is>
      </c>
      <c r="P277" s="420" t="n">
        <v>100</v>
      </c>
      <c r="Q277" s="386">
        <f>"COMMENT ON COLUMN "&amp;L277&amp;"."&amp;M277&amp;"."&amp;N277&amp;" IS '"&amp;E277&amp;"';"</f>
        <v/>
      </c>
      <c r="R277" s="414" t="inlineStr">
        <is>
          <t>Map 1:1 nguyên bản từ T24CORE.STMT_ENTRY.OUR_REFERENCE -&gt; PG_BRONZE.T24CORE_STMT_ENTRY.OUR_REFERENCE</t>
        </is>
      </c>
    </row>
    <row r="278" ht="14.25" customHeight="1" s="335">
      <c r="A278" s="412">
        <f>B278&amp;C278&amp;D278</f>
        <v/>
      </c>
      <c r="B278" s="412" t="inlineStr">
        <is>
          <t>T24CORE</t>
        </is>
      </c>
      <c r="C278" s="412" t="inlineStr">
        <is>
          <t>STMT_ENTRY</t>
        </is>
      </c>
      <c r="D278" s="412" t="inlineStr">
        <is>
          <t>RECID</t>
        </is>
      </c>
      <c r="E278" s="412" t="inlineStr">
        <is>
          <t>Mã giao dịch, Unique ID</t>
        </is>
      </c>
      <c r="F278" s="410" t="inlineStr">
        <is>
          <t>X</t>
        </is>
      </c>
      <c r="G278" s="412" t="inlineStr">
        <is>
          <t>Posting Entry</t>
        </is>
      </c>
      <c r="H278" s="423" t="inlineStr">
        <is>
          <t>Posting Entry Number</t>
        </is>
      </c>
      <c r="I278" s="412" t="inlineStr">
        <is>
          <t>Map 1:1 từ T24CORE.STMT_ENTRY.RECID sang PG_BRONZE.T24CORE_STMT_ENTRY.RECID</t>
        </is>
      </c>
      <c r="J278" s="410" t="inlineStr">
        <is>
          <t>2025-11-26</t>
        </is>
      </c>
      <c r="K278" s="385" t="inlineStr">
        <is>
          <t>1:1</t>
        </is>
      </c>
      <c r="L278" s="385" t="inlineStr">
        <is>
          <t>PG_BRONZE</t>
        </is>
      </c>
      <c r="M278" s="386" t="inlineStr">
        <is>
          <t>T24CORE_STMT_ENTRY</t>
        </is>
      </c>
      <c r="N278" s="386" t="inlineStr">
        <is>
          <t>RECID</t>
        </is>
      </c>
      <c r="O278" s="385" t="inlineStr">
        <is>
          <t>VARCHAR2</t>
        </is>
      </c>
      <c r="P278" s="420" t="n">
        <v>100</v>
      </c>
      <c r="Q278" s="386">
        <f>"COMMENT ON COLUMN "&amp;L278&amp;"."&amp;M278&amp;"."&amp;N278&amp;" IS '"&amp;E278&amp;"';"</f>
        <v/>
      </c>
      <c r="R278" s="414" t="inlineStr">
        <is>
          <t>Map 1:1 nguyên bản từ T24CORE.STMT_ENTRY.RECID -&gt; PG_BRONZE.T24CORE_STMT_ENTRY.RECID</t>
        </is>
      </c>
    </row>
    <row r="279" ht="14.25" customHeight="1" s="335">
      <c r="A279" s="412">
        <f>B279&amp;C279&amp;D279</f>
        <v/>
      </c>
      <c r="B279" s="412" t="inlineStr">
        <is>
          <t>T24CORE</t>
        </is>
      </c>
      <c r="C279" s="412" t="inlineStr">
        <is>
          <t>STMT_ENTRY</t>
        </is>
      </c>
      <c r="D279" s="412" t="inlineStr">
        <is>
          <t>TRANSACTION_CODE</t>
        </is>
      </c>
      <c r="E279" s="412" t="inlineStr">
        <is>
          <t>Mã giao dịch</t>
        </is>
      </c>
      <c r="F279" s="410" t="inlineStr">
        <is>
          <t>X</t>
        </is>
      </c>
      <c r="G279" s="412" t="inlineStr">
        <is>
          <t>Posting Entry</t>
        </is>
      </c>
      <c r="H279" s="412" t="inlineStr">
        <is>
          <t>Transaction Type</t>
        </is>
      </c>
      <c r="I279" s="412" t="inlineStr">
        <is>
          <t>Map 1:1 từ T24CORE.STMT_ENTRY.TRANSACTION_CODE sang PG_BRONZE.T24CORE_STMT_ENTRY.TRANSACTION_CODE</t>
        </is>
      </c>
      <c r="J279" s="410" t="inlineStr">
        <is>
          <t>2025-11-26</t>
        </is>
      </c>
      <c r="K279" s="385" t="inlineStr">
        <is>
          <t>1:1</t>
        </is>
      </c>
      <c r="L279" s="385" t="inlineStr">
        <is>
          <t>PG_BRONZE</t>
        </is>
      </c>
      <c r="M279" s="386" t="inlineStr">
        <is>
          <t>T24CORE_STMT_ENTRY</t>
        </is>
      </c>
      <c r="N279" s="386" t="inlineStr">
        <is>
          <t>TRANSACTION_CODE</t>
        </is>
      </c>
      <c r="O279" s="385" t="inlineStr">
        <is>
          <t>VARCHAR2</t>
        </is>
      </c>
      <c r="P279" s="420" t="n">
        <v>100</v>
      </c>
      <c r="Q279" s="386">
        <f>"COMMENT ON COLUMN "&amp;L279&amp;"."&amp;M279&amp;"."&amp;N279&amp;" IS '"&amp;E279&amp;"';"</f>
        <v/>
      </c>
      <c r="R279" s="414" t="inlineStr">
        <is>
          <t>Map 1:1 nguyên bản từ T24CORE.STMT_ENTRY.TRANSACTION_CODE -&gt; PG_BRONZE.T24CORE_STMT_ENTRY.TRANSACTION_CODE</t>
        </is>
      </c>
    </row>
    <row r="280" ht="14.25" customHeight="1" s="335">
      <c r="A280" s="412">
        <f>B280&amp;C280&amp;D280</f>
        <v/>
      </c>
      <c r="B280" s="412" t="inlineStr">
        <is>
          <t>T24CORE</t>
        </is>
      </c>
      <c r="C280" s="412" t="inlineStr">
        <is>
          <t>STMT_ENTRY</t>
        </is>
      </c>
      <c r="D280" s="412" t="inlineStr">
        <is>
          <t>VALUE_DATE</t>
        </is>
      </c>
      <c r="E280" s="412" t="inlineStr">
        <is>
          <t>Ngay Hieu luc but toan</t>
        </is>
      </c>
      <c r="F280" s="410" t="inlineStr">
        <is>
          <t>X</t>
        </is>
      </c>
      <c r="G280" s="412" t="inlineStr">
        <is>
          <t>Posting Entry</t>
        </is>
      </c>
      <c r="H280" s="412" t="inlineStr">
        <is>
          <t>Value Date</t>
        </is>
      </c>
      <c r="I280" s="412" t="inlineStr">
        <is>
          <t>Map 1:1 từ T24CORE.STMT_ENTRY.VALUE_DATE sang PG_BRONZE.T24CORE_STMT_ENTRY.VALUE_DATE</t>
        </is>
      </c>
      <c r="J280" s="410" t="inlineStr">
        <is>
          <t>2025-11-26</t>
        </is>
      </c>
      <c r="K280" s="385" t="inlineStr">
        <is>
          <t>1:1</t>
        </is>
      </c>
      <c r="L280" s="385" t="inlineStr">
        <is>
          <t>PG_BRONZE</t>
        </is>
      </c>
      <c r="M280" s="386" t="inlineStr">
        <is>
          <t>T24CORE_STMT_ENTRY</t>
        </is>
      </c>
      <c r="N280" s="386" t="inlineStr">
        <is>
          <t>VALUE_DATE</t>
        </is>
      </c>
      <c r="O280" s="385" t="inlineStr">
        <is>
          <t>DATE</t>
        </is>
      </c>
      <c r="P280" s="420" t="n">
        <v>8</v>
      </c>
      <c r="Q280" s="386">
        <f>"COMMENT ON COLUMN "&amp;L280&amp;"."&amp;M280&amp;"."&amp;N280&amp;" IS '"&amp;E280&amp;"';"</f>
        <v/>
      </c>
      <c r="R280" s="414" t="inlineStr">
        <is>
          <t>Map 1:1 nguyên bản từ T24CORE.STMT_ENTRY.VALUE_DATE -&gt; PG_BRONZE.T24CORE_STMT_ENTRY.VALUE_DATE</t>
        </is>
      </c>
    </row>
    <row r="281" ht="14.25" customHeight="1" s="335">
      <c r="A281" s="412">
        <f>B281&amp;C281&amp;D281</f>
        <v/>
      </c>
      <c r="B281" s="412" t="inlineStr">
        <is>
          <t>T24CORE</t>
        </is>
      </c>
      <c r="C281" s="412" t="inlineStr">
        <is>
          <t>STMT_ENTRY</t>
        </is>
      </c>
      <c r="D281" s="412" t="inlineStr">
        <is>
          <t>COMPANY_CODE</t>
        </is>
      </c>
      <c r="E281" s="412" t="inlineStr">
        <is>
          <t>Mã chi nhánh hạch toán</t>
        </is>
      </c>
      <c r="F281" s="410" t="inlineStr">
        <is>
          <t>X</t>
        </is>
      </c>
      <c r="G281" s="412" t="inlineStr">
        <is>
          <t>Posting Entry</t>
        </is>
      </c>
      <c r="H281" s="412" t="inlineStr">
        <is>
          <t>Organization Unit Code</t>
        </is>
      </c>
      <c r="I281" s="412" t="inlineStr">
        <is>
          <t>Map 1:1 từ T24CORE.STMT_ENTRY.COMPANY_CODE sang PG_BRONZE.T24CORE_STMT_ENTRY.COMPANY_CODE</t>
        </is>
      </c>
      <c r="J281" s="410" t="inlineStr">
        <is>
          <t>2025-11-26</t>
        </is>
      </c>
      <c r="K281" s="385" t="inlineStr">
        <is>
          <t>1:1</t>
        </is>
      </c>
      <c r="L281" s="385" t="inlineStr">
        <is>
          <t>PG_BRONZE</t>
        </is>
      </c>
      <c r="M281" s="386" t="inlineStr">
        <is>
          <t>T24CORE_STMT_ENTRY</t>
        </is>
      </c>
      <c r="N281" s="386" t="inlineStr">
        <is>
          <t>COMPANY_CODE</t>
        </is>
      </c>
      <c r="O281" s="385" t="inlineStr">
        <is>
          <t>VARCHAR2</t>
        </is>
      </c>
      <c r="P281" s="420" t="n">
        <v>100</v>
      </c>
      <c r="Q281" s="386">
        <f>"COMMENT ON COLUMN "&amp;L281&amp;"."&amp;M281&amp;"."&amp;N281&amp;" IS '"&amp;E281&amp;"';"</f>
        <v/>
      </c>
      <c r="R281" s="414" t="inlineStr">
        <is>
          <t>Map 1:1 nguyên bản từ T24CORE.STMT_ENTRY.COMPANY_CODE -&gt; PG_BRONZE.T24CORE_STMT_ENTRY.COMPANY_CODE</t>
        </is>
      </c>
    </row>
    <row r="282" ht="14.25" customHeight="1" s="335">
      <c r="A282" s="412">
        <f>B282&amp;C282&amp;D282</f>
        <v/>
      </c>
      <c r="B282" s="412" t="inlineStr">
        <is>
          <t>T24CORE</t>
        </is>
      </c>
      <c r="C282" s="412" t="inlineStr">
        <is>
          <t>STMT_ENTRY</t>
        </is>
      </c>
      <c r="D282" s="412" t="inlineStr">
        <is>
          <t>CONSOL_KEY</t>
        </is>
      </c>
      <c r="E282" s="412" t="inlineStr">
        <is>
          <t>Consol key của bút toán STMT</t>
        </is>
      </c>
      <c r="F282" s="410" t="inlineStr">
        <is>
          <t>X</t>
        </is>
      </c>
      <c r="G282" s="412" t="inlineStr">
        <is>
          <t>Posting Entry</t>
        </is>
      </c>
      <c r="H282" s="412" t="inlineStr">
        <is>
          <t>Consolidate Key</t>
        </is>
      </c>
      <c r="I282" s="412" t="inlineStr">
        <is>
          <t>Map 1:1 từ T24CORE.STMT_ENTRY.CONSOL_KEY sang PG_BRONZE.T24CORE_STMT_ENTRY.CONSOL_KEY</t>
        </is>
      </c>
      <c r="J282" s="410" t="inlineStr">
        <is>
          <t>2025-11-26</t>
        </is>
      </c>
      <c r="K282" s="385" t="inlineStr">
        <is>
          <t>1:1</t>
        </is>
      </c>
      <c r="L282" s="385" t="inlineStr">
        <is>
          <t>PG_BRONZE</t>
        </is>
      </c>
      <c r="M282" s="386" t="inlineStr">
        <is>
          <t>T24CORE_STMT_ENTRY</t>
        </is>
      </c>
      <c r="N282" s="386" t="inlineStr">
        <is>
          <t>CONSOL_KEY</t>
        </is>
      </c>
      <c r="O282" s="385" t="inlineStr">
        <is>
          <t>VARCHAR2</t>
        </is>
      </c>
      <c r="P282" s="420" t="n">
        <v>100</v>
      </c>
      <c r="Q282" s="386">
        <f>"COMMENT ON COLUMN "&amp;L282&amp;"."&amp;M282&amp;"."&amp;N282&amp;" IS '"&amp;E282&amp;"';"</f>
        <v/>
      </c>
      <c r="R282" s="414" t="inlineStr">
        <is>
          <t>Map 1:1 nguyên bản từ T24CORE.STMT_ENTRY.CONSOL_KEY -&gt; PG_BRONZE.T24CORE_STMT_ENTRY.CONSOL_KEY</t>
        </is>
      </c>
    </row>
    <row r="283" ht="14.25" customHeight="1" s="335">
      <c r="A283" s="412">
        <f>B283&amp;C283&amp;D283</f>
        <v/>
      </c>
      <c r="B283" s="412" t="inlineStr">
        <is>
          <t>T24CORE</t>
        </is>
      </c>
      <c r="C283" s="412" t="inlineStr">
        <is>
          <t>STMT_ENTRY</t>
        </is>
      </c>
      <c r="D283" s="412" t="inlineStr">
        <is>
          <t>CUSTOMER_ID</t>
        </is>
      </c>
      <c r="E283" s="412" t="inlineStr">
        <is>
          <t>Mã khách hàng ứng với Account_number</t>
        </is>
      </c>
      <c r="F283" s="410" t="inlineStr">
        <is>
          <t>X</t>
        </is>
      </c>
      <c r="G283" s="412" t="inlineStr">
        <is>
          <t>Posting Entry</t>
        </is>
      </c>
      <c r="H283" s="412" t="inlineStr">
        <is>
          <t>Customer Id/ Customer Code</t>
        </is>
      </c>
      <c r="I283" s="412" t="inlineStr">
        <is>
          <t>Map 1:1 từ T24CORE.STMT_ENTRY.CUSTOMER_ID sang PG_BRONZE.T24CORE_STMT_ENTRY.CUSTOMER_ID</t>
        </is>
      </c>
      <c r="J283" s="410" t="inlineStr">
        <is>
          <t>2025-11-26</t>
        </is>
      </c>
      <c r="K283" s="385" t="inlineStr">
        <is>
          <t>1:1</t>
        </is>
      </c>
      <c r="L283" s="385" t="inlineStr">
        <is>
          <t>PG_BRONZE</t>
        </is>
      </c>
      <c r="M283" s="386" t="inlineStr">
        <is>
          <t>T24CORE_STMT_ENTRY</t>
        </is>
      </c>
      <c r="N283" s="386" t="inlineStr">
        <is>
          <t>CUSTOMER_ID</t>
        </is>
      </c>
      <c r="O283" s="385" t="inlineStr">
        <is>
          <t>VARCHAR2</t>
        </is>
      </c>
      <c r="P283" s="420" t="n">
        <v>100</v>
      </c>
      <c r="Q283" s="386">
        <f>"COMMENT ON COLUMN "&amp;L283&amp;"."&amp;M283&amp;"."&amp;N283&amp;" IS '"&amp;E283&amp;"';"</f>
        <v/>
      </c>
      <c r="R283" s="414" t="inlineStr">
        <is>
          <t>Map 1:1 nguyên bản từ T24CORE.STMT_ENTRY.CUSTOMER_ID -&gt; PG_BRONZE.T24CORE_STMT_ENTRY.CUSTOMER_ID</t>
        </is>
      </c>
    </row>
    <row r="284" ht="14.25" customHeight="1" s="335">
      <c r="A284" s="412">
        <f>B284&amp;C284&amp;D284</f>
        <v/>
      </c>
      <c r="B284" s="412" t="inlineStr">
        <is>
          <t>T24CORE</t>
        </is>
      </c>
      <c r="C284" s="412" t="inlineStr">
        <is>
          <t>STMT_ENTRY</t>
        </is>
      </c>
      <c r="D284" s="412" t="inlineStr">
        <is>
          <t>SYSTEM_ID</t>
        </is>
      </c>
      <c r="E284" s="412" t="inlineStr">
        <is>
          <t>Mã phân hệ</t>
        </is>
      </c>
      <c r="F284" s="410" t="inlineStr">
        <is>
          <t>X</t>
        </is>
      </c>
      <c r="G284" s="412" t="inlineStr">
        <is>
          <t>Posting Entry</t>
        </is>
      </c>
      <c r="H284" s="412" t="inlineStr">
        <is>
          <t>Module Code</t>
        </is>
      </c>
      <c r="I284" s="412" t="inlineStr">
        <is>
          <t>Map 1:1 từ T24CORE.STMT_ENTRY.SYSTEM_ID sang PG_BRONZE.T24CORE_STMT_ENTRY.SYSTEM_ID</t>
        </is>
      </c>
      <c r="J284" s="410" t="inlineStr">
        <is>
          <t>2025-11-26</t>
        </is>
      </c>
      <c r="K284" s="385" t="inlineStr">
        <is>
          <t>1:1</t>
        </is>
      </c>
      <c r="L284" s="385" t="inlineStr">
        <is>
          <t>PG_BRONZE</t>
        </is>
      </c>
      <c r="M284" s="386" t="inlineStr">
        <is>
          <t>T24CORE_STMT_ENTRY</t>
        </is>
      </c>
      <c r="N284" s="386" t="inlineStr">
        <is>
          <t>SYSTEM_ID</t>
        </is>
      </c>
      <c r="O284" s="385" t="inlineStr">
        <is>
          <t>VARCHAR2</t>
        </is>
      </c>
      <c r="P284" s="420" t="n">
        <v>100</v>
      </c>
      <c r="Q284" s="386">
        <f>"COMMENT ON COLUMN "&amp;L284&amp;"."&amp;M284&amp;"."&amp;N284&amp;" IS '"&amp;E284&amp;"';"</f>
        <v/>
      </c>
      <c r="R284" s="414" t="inlineStr">
        <is>
          <t>Map 1:1 nguyên bản từ T24CORE.STMT_ENTRY.SYSTEM_ID -&gt; PG_BRONZE.T24CORE_STMT_ENTRY.SYSTEM_ID</t>
        </is>
      </c>
    </row>
    <row r="285" ht="14.25" customHeight="1" s="335">
      <c r="A285" s="412">
        <f>B285&amp;C285&amp;D285</f>
        <v/>
      </c>
      <c r="B285" s="412" t="inlineStr">
        <is>
          <t>T24CORE</t>
        </is>
      </c>
      <c r="C285" s="412" t="inlineStr">
        <is>
          <t>STMT_ENTRY</t>
        </is>
      </c>
      <c r="D285" s="412" t="inlineStr">
        <is>
          <t>EXCHANGE_RATE</t>
        </is>
      </c>
      <c r="E285" s="412" t="inlineStr">
        <is>
          <t>Tỷ giá quy đổi</t>
        </is>
      </c>
      <c r="F285" s="410" t="inlineStr">
        <is>
          <t>X</t>
        </is>
      </c>
      <c r="G285" s="412" t="inlineStr">
        <is>
          <t>Posting Entry</t>
        </is>
      </c>
      <c r="H285" s="412" t="inlineStr">
        <is>
          <t>Exchange Rate To Local Currency</t>
        </is>
      </c>
      <c r="I285" s="412" t="inlineStr">
        <is>
          <t>Map 1:1 từ T24CORE.STMT_ENTRY.EXCHANGE_RATE sang PG_BRONZE.T24CORE_STMT_ENTRY.EXCHANGE_RATE</t>
        </is>
      </c>
      <c r="J285" s="410" t="inlineStr">
        <is>
          <t>2025-11-26</t>
        </is>
      </c>
      <c r="K285" s="385" t="inlineStr">
        <is>
          <t>1:1</t>
        </is>
      </c>
      <c r="L285" s="385" t="inlineStr">
        <is>
          <t>PG_BRONZE</t>
        </is>
      </c>
      <c r="M285" s="386" t="inlineStr">
        <is>
          <t>T24CORE_STMT_ENTRY</t>
        </is>
      </c>
      <c r="N285" s="386" t="inlineStr">
        <is>
          <t>EXCHANGE_RATE</t>
        </is>
      </c>
      <c r="O285" s="385" t="inlineStr">
        <is>
          <t>NUMBER</t>
        </is>
      </c>
      <c r="P285" s="420" t="n">
        <v>13.7</v>
      </c>
      <c r="Q285" s="386">
        <f>"COMMENT ON COLUMN "&amp;L285&amp;"."&amp;M285&amp;"."&amp;N285&amp;" IS '"&amp;E285&amp;"';"</f>
        <v/>
      </c>
      <c r="R285" s="414" t="inlineStr">
        <is>
          <t>Map 1:1 nguyên bản từ T24CORE.STMT_ENTRY.EXCHANGE_RATE -&gt; PG_BRONZE.T24CORE_STMT_ENTRY.EXCHANGE_RATE</t>
        </is>
      </c>
    </row>
    <row r="286" ht="14.25" customHeight="1" s="335">
      <c r="A286" s="412">
        <f>B286&amp;C286&amp;D286</f>
        <v/>
      </c>
      <c r="B286" s="412" t="inlineStr">
        <is>
          <t>T24CORE</t>
        </is>
      </c>
      <c r="C286" s="412" t="inlineStr">
        <is>
          <t>STMT_ENTRY</t>
        </is>
      </c>
      <c r="D286" s="412" t="inlineStr">
        <is>
          <t>PRODUCT_CATEGORY</t>
        </is>
      </c>
      <c r="E286" s="412" t="inlineStr">
        <is>
          <t>Loại sản phẩm hạch toán</t>
        </is>
      </c>
      <c r="F286" s="410" t="inlineStr">
        <is>
          <t>X</t>
        </is>
      </c>
      <c r="G286" s="412" t="inlineStr">
        <is>
          <t>Posting Entry</t>
        </is>
      </c>
      <c r="H286" s="412" t="inlineStr">
        <is>
          <t>Accounting Product Category Code</t>
        </is>
      </c>
      <c r="I286" s="412" t="inlineStr">
        <is>
          <t>Map 1:1 từ T24CORE.STMT_ENTRY.PRODUCT_CATEGORY sang PG_BRONZE.T24CORE_STMT_ENTRY.PRODUCT_CATEGORY</t>
        </is>
      </c>
      <c r="J286" s="410" t="inlineStr">
        <is>
          <t>2025-11-26</t>
        </is>
      </c>
      <c r="K286" s="385" t="inlineStr">
        <is>
          <t>1:1</t>
        </is>
      </c>
      <c r="L286" s="385" t="inlineStr">
        <is>
          <t>PG_BRONZE</t>
        </is>
      </c>
      <c r="M286" s="386" t="inlineStr">
        <is>
          <t>T24CORE_STMT_ENTRY</t>
        </is>
      </c>
      <c r="N286" s="386" t="inlineStr">
        <is>
          <t>PRODUCT_CATEGORY</t>
        </is>
      </c>
      <c r="O286" s="385" t="inlineStr">
        <is>
          <t>VARCHAR2</t>
        </is>
      </c>
      <c r="P286" s="420" t="n">
        <v>100</v>
      </c>
      <c r="Q286" s="386">
        <f>"COMMENT ON COLUMN "&amp;L286&amp;"."&amp;M286&amp;"."&amp;N286&amp;" IS '"&amp;E286&amp;"';"</f>
        <v/>
      </c>
      <c r="R286" s="414" t="inlineStr">
        <is>
          <t>Map 1:1 nguyên bản từ T24CORE.STMT_ENTRY.PRODUCT_CATEGORY -&gt; PG_BRONZE.T24CORE_STMT_ENTRY.PRODUCT_CATEGORY</t>
        </is>
      </c>
    </row>
    <row r="287" ht="14.25" customHeight="1" s="335">
      <c r="A287" s="412">
        <f>B287&amp;C287&amp;D287</f>
        <v/>
      </c>
      <c r="B287" s="412" t="inlineStr">
        <is>
          <t>T24CORE</t>
        </is>
      </c>
      <c r="C287" s="412" t="inlineStr">
        <is>
          <t>STMT_ENTRY</t>
        </is>
      </c>
      <c r="D287" s="412" t="inlineStr">
        <is>
          <t>NARRATIVE</t>
        </is>
      </c>
      <c r="E287" s="412" t="inlineStr">
        <is>
          <t>Mô tả bút toán</t>
        </is>
      </c>
      <c r="F287" s="410" t="inlineStr">
        <is>
          <t>X</t>
        </is>
      </c>
      <c r="G287" s="412" t="inlineStr">
        <is>
          <t>Posting Entry</t>
        </is>
      </c>
      <c r="H287" s="412" t="inlineStr">
        <is>
          <t>Posting Entry Description</t>
        </is>
      </c>
      <c r="I287" s="412" t="inlineStr">
        <is>
          <t>Map 1:1 từ T24CORE.STMT_ENTRY.NARRATIVE sang PG_BRONZE.T24CORE_STMT_ENTRY.NARRATIVE</t>
        </is>
      </c>
      <c r="J287" s="410" t="inlineStr">
        <is>
          <t>2025-11-26</t>
        </is>
      </c>
      <c r="K287" s="385" t="inlineStr">
        <is>
          <t>1:1</t>
        </is>
      </c>
      <c r="L287" s="385" t="inlineStr">
        <is>
          <t>PG_BRONZE</t>
        </is>
      </c>
      <c r="M287" s="386" t="inlineStr">
        <is>
          <t>T24CORE_STMT_ENTRY</t>
        </is>
      </c>
      <c r="N287" s="386" t="inlineStr">
        <is>
          <t>NARRATIVE</t>
        </is>
      </c>
      <c r="O287" s="385" t="inlineStr">
        <is>
          <t>VARCHAR2</t>
        </is>
      </c>
      <c r="P287" s="420" t="n">
        <v>255</v>
      </c>
      <c r="Q287" s="386">
        <f>"COMMENT ON COLUMN "&amp;L287&amp;"."&amp;M287&amp;"."&amp;N287&amp;" IS '"&amp;E287&amp;"';"</f>
        <v/>
      </c>
      <c r="R287" s="414" t="inlineStr">
        <is>
          <t>Map 1:1 nguyên bản từ T24CORE.STMT_ENTRY.NARRATIVE -&gt; PG_BRONZE.T24CORE_STMT_ENTRY.NARRATIVE</t>
        </is>
      </c>
    </row>
    <row r="288" ht="14.25" customHeight="1" s="335">
      <c r="A288" s="412">
        <f>B288&amp;C288&amp;D288</f>
        <v/>
      </c>
      <c r="B288" s="412" t="inlineStr">
        <is>
          <t>T24CORE</t>
        </is>
      </c>
      <c r="C288" s="412" t="inlineStr">
        <is>
          <t>STMT_ENTRY</t>
        </is>
      </c>
      <c r="D288" s="412" t="inlineStr">
        <is>
          <t>ACCOUNT_NUMBER</t>
        </is>
      </c>
      <c r="E288" s="412" t="inlineStr">
        <is>
          <t>Số tài khoản liên quan</t>
        </is>
      </c>
      <c r="F288" s="410" t="inlineStr">
        <is>
          <t>X</t>
        </is>
      </c>
      <c r="G288" s="412" t="inlineStr">
        <is>
          <t>Posting Entry</t>
        </is>
      </c>
      <c r="H288" s="412" t="inlineStr">
        <is>
          <t>Account Number</t>
        </is>
      </c>
      <c r="I288" s="412" t="inlineStr">
        <is>
          <t>Map 1:1 từ T24CORE.STMT_ENTRY.ACCOUNT_NUMBER sang PG_BRONZE.T24CORE_STMT_ENTRY.ACCOUNT_NUMBER</t>
        </is>
      </c>
      <c r="J288" s="410" t="inlineStr">
        <is>
          <t>2025-11-26</t>
        </is>
      </c>
      <c r="K288" s="385" t="inlineStr">
        <is>
          <t>1:1</t>
        </is>
      </c>
      <c r="L288" s="385" t="inlineStr">
        <is>
          <t>PG_BRONZE</t>
        </is>
      </c>
      <c r="M288" s="386" t="inlineStr">
        <is>
          <t>T24CORE_STMT_ENTRY</t>
        </is>
      </c>
      <c r="N288" s="386" t="inlineStr">
        <is>
          <t>ACCOUNT_NUMBER</t>
        </is>
      </c>
      <c r="O288" s="385" t="inlineStr">
        <is>
          <t>VARCHAR2</t>
        </is>
      </c>
      <c r="P288" s="420" t="n">
        <v>100</v>
      </c>
      <c r="Q288" s="386">
        <f>"COMMENT ON COLUMN "&amp;L288&amp;"."&amp;M288&amp;"."&amp;N288&amp;" IS '"&amp;E288&amp;"';"</f>
        <v/>
      </c>
      <c r="R288" s="414" t="inlineStr">
        <is>
          <t>Map 1:1 nguyên bản từ T24CORE.STMT_ENTRY.ACCOUNT_NUMBER -&gt; PG_BRONZE.T24CORE_STMT_ENTRY.ACCOUNT_NUMBER</t>
        </is>
      </c>
    </row>
    <row r="289" ht="14.25" customHeight="1" s="335">
      <c r="A289" s="412">
        <f>B289&amp;C289&amp;D289</f>
        <v/>
      </c>
      <c r="B289" s="412" t="inlineStr">
        <is>
          <t>T24CORE</t>
        </is>
      </c>
      <c r="C289" s="412" t="inlineStr">
        <is>
          <t>STMT_ENTRY</t>
        </is>
      </c>
      <c r="D289" s="412" t="inlineStr">
        <is>
          <t>CRF_TYPE</t>
        </is>
      </c>
      <c r="E289" s="412" t="inlineStr">
        <is>
          <t>Cờ đánh dấu ghi nợ/ghi có</t>
        </is>
      </c>
      <c r="F289" s="410" t="inlineStr">
        <is>
          <t>X</t>
        </is>
      </c>
      <c r="G289" s="412" t="inlineStr">
        <is>
          <t>Posting Entry</t>
        </is>
      </c>
      <c r="H289" s="423" t="inlineStr">
        <is>
          <t>Accounting Credit Debit Flag</t>
        </is>
      </c>
      <c r="I289" s="412" t="inlineStr">
        <is>
          <t>Map 1:1 từ T24CORE.STMT_ENTRY.CRF_TYPE sang PG_BRONZE.T24CORE_STMT_ENTRY.CRF_TYPE</t>
        </is>
      </c>
      <c r="J289" s="410" t="inlineStr">
        <is>
          <t>2025-11-26</t>
        </is>
      </c>
      <c r="K289" s="385" t="inlineStr">
        <is>
          <t>1:1</t>
        </is>
      </c>
      <c r="L289" s="385" t="inlineStr">
        <is>
          <t>PG_BRONZE</t>
        </is>
      </c>
      <c r="M289" s="386" t="inlineStr">
        <is>
          <t>T24CORE_STMT_ENTRY</t>
        </is>
      </c>
      <c r="N289" s="386" t="inlineStr">
        <is>
          <t>CRF_TYPE</t>
        </is>
      </c>
      <c r="O289" s="385" t="inlineStr">
        <is>
          <t>VARCHAR2</t>
        </is>
      </c>
      <c r="P289" s="420" t="n">
        <v>100</v>
      </c>
      <c r="Q289" s="386">
        <f>"COMMENT ON COLUMN "&amp;L289&amp;"."&amp;M289&amp;"."&amp;N289&amp;" IS '"&amp;E289&amp;"';"</f>
        <v/>
      </c>
      <c r="R289" s="414" t="inlineStr">
        <is>
          <t>Map 1:1 nguyên bản từ T24CORE.STMT_ENTRY.CRF_TYPE -&gt; PG_BRONZE.T24CORE_STMT_ENTRY.CRF_TYPE</t>
        </is>
      </c>
    </row>
    <row r="290" ht="14.25" customHeight="1" s="335">
      <c r="A290" s="412">
        <f>B290&amp;C290&amp;D290</f>
        <v/>
      </c>
      <c r="B290" s="412" t="inlineStr">
        <is>
          <t>T24CORE</t>
        </is>
      </c>
      <c r="C290" s="412" t="inlineStr">
        <is>
          <t>STMT_ENTRY</t>
        </is>
      </c>
      <c r="D290" s="412" t="inlineStr">
        <is>
          <t>ACCOUNTING_DATE</t>
        </is>
      </c>
      <c r="E290" s="412" t="inlineStr">
        <is>
          <t>Ngày hạch toán</t>
        </is>
      </c>
      <c r="F290" s="410" t="inlineStr">
        <is>
          <t>X</t>
        </is>
      </c>
      <c r="G290" s="412" t="inlineStr">
        <is>
          <t>Posting Entry</t>
        </is>
      </c>
      <c r="H290" s="412" t="inlineStr">
        <is>
          <t>Accounting Date</t>
        </is>
      </c>
      <c r="I290" s="412" t="inlineStr">
        <is>
          <t>Map 1:1 từ T24CORE.STMT_ENTRY.ACCOUNTING_DATE sang PG_BRONZE.T24CORE_STMT_ENTRY.ACCOUNTING_DATE</t>
        </is>
      </c>
      <c r="J290" s="410" t="inlineStr">
        <is>
          <t>2025-11-26</t>
        </is>
      </c>
      <c r="K290" s="385" t="inlineStr">
        <is>
          <t>1:1</t>
        </is>
      </c>
      <c r="L290" s="385" t="inlineStr">
        <is>
          <t>PG_BRONZE</t>
        </is>
      </c>
      <c r="M290" s="386" t="inlineStr">
        <is>
          <t>T24CORE_STMT_ENTRY</t>
        </is>
      </c>
      <c r="N290" s="386" t="inlineStr">
        <is>
          <t>ACCOUNTING_DATE</t>
        </is>
      </c>
      <c r="O290" s="385" t="inlineStr">
        <is>
          <t>DATE</t>
        </is>
      </c>
      <c r="P290" s="420" t="n">
        <v>8</v>
      </c>
      <c r="Q290" s="386">
        <f>"COMMENT ON COLUMN "&amp;L290&amp;"."&amp;M290&amp;"."&amp;N290&amp;" IS '"&amp;E290&amp;"';"</f>
        <v/>
      </c>
      <c r="R290" s="414" t="inlineStr">
        <is>
          <t>Map 1:1 nguyên bản từ T24CORE.STMT_ENTRY.ACCOUNTING_DATE -&gt; PG_BRONZE.T24CORE_STMT_ENTRY.ACCOUNTING_DATE</t>
        </is>
      </c>
    </row>
    <row r="291" ht="14.25" customHeight="1" s="335">
      <c r="A291" s="412">
        <f>B291&amp;C291&amp;D291</f>
        <v/>
      </c>
      <c r="B291" s="412" t="inlineStr">
        <is>
          <t>T24CORE</t>
        </is>
      </c>
      <c r="C291" s="412" t="inlineStr">
        <is>
          <t>STMT_ENTRY</t>
        </is>
      </c>
      <c r="D291" s="412" t="inlineStr">
        <is>
          <t>ACCT_ID</t>
        </is>
      </c>
      <c r="E291" s="412" t="inlineStr">
        <is>
          <t>Maã định danh tài khoản</t>
        </is>
      </c>
      <c r="F291" s="410" t="inlineStr">
        <is>
          <t>X</t>
        </is>
      </c>
      <c r="G291" s="412" t="inlineStr">
        <is>
          <t>Posting Entry</t>
        </is>
      </c>
      <c r="H291" s="412" t="inlineStr">
        <is>
          <t>Account Id</t>
        </is>
      </c>
      <c r="I291" s="412" t="inlineStr">
        <is>
          <t>Map 1:1 từ T24CORE.STMT_ENTRY.ACCT_ID sang PG_BRONZE.T24CORE_STMT_ENTRY.ACCT_ID</t>
        </is>
      </c>
      <c r="J291" s="410" t="inlineStr">
        <is>
          <t>2025-11-26</t>
        </is>
      </c>
      <c r="K291" s="385" t="inlineStr">
        <is>
          <t>1:1</t>
        </is>
      </c>
      <c r="L291" s="385" t="inlineStr">
        <is>
          <t>PG_BRONZE</t>
        </is>
      </c>
      <c r="M291" s="386" t="inlineStr">
        <is>
          <t>T24CORE_STMT_ENTRY</t>
        </is>
      </c>
      <c r="N291" s="386" t="inlineStr">
        <is>
          <t>ACCT_ID</t>
        </is>
      </c>
      <c r="O291" s="385" t="inlineStr">
        <is>
          <t>VARCHAR2</t>
        </is>
      </c>
      <c r="P291" s="420" t="n">
        <v>100</v>
      </c>
      <c r="Q291" s="386">
        <f>"COMMENT ON COLUMN "&amp;L291&amp;"."&amp;M291&amp;"."&amp;N291&amp;" IS '"&amp;E291&amp;"';"</f>
        <v/>
      </c>
      <c r="R291" s="414" t="inlineStr">
        <is>
          <t>Map 1:1 nguyên bản từ T24CORE.STMT_ENTRY.ACCT_ID -&gt; PG_BRONZE.T24CORE_STMT_ENTRY.ACCT_ID</t>
        </is>
      </c>
    </row>
    <row r="292" ht="14.25" customHeight="1" s="335">
      <c r="A292" s="412">
        <f>B292&amp;C292&amp;D292</f>
        <v/>
      </c>
      <c r="B292" s="412" t="inlineStr">
        <is>
          <t>T24CORE</t>
        </is>
      </c>
      <c r="C292" s="412" t="inlineStr">
        <is>
          <t>STMT_ENTRY</t>
        </is>
      </c>
      <c r="D292" s="412" t="inlineStr">
        <is>
          <t>BALANCE_TYPE</t>
        </is>
      </c>
      <c r="E292" s="412" t="inlineStr">
        <is>
          <t>Loại bút toán</t>
        </is>
      </c>
      <c r="F292" s="410" t="inlineStr">
        <is>
          <t>X</t>
        </is>
      </c>
      <c r="G292" s="412" t="inlineStr">
        <is>
          <t>Posting Entry</t>
        </is>
      </c>
      <c r="H292" s="412" t="inlineStr">
        <is>
          <t>Balance Type</t>
        </is>
      </c>
      <c r="I292" s="412" t="inlineStr">
        <is>
          <t>Map 1:1 từ T24CORE.STMT_ENTRY.BALANCE_TYPE sang PG_BRONZE.T24CORE_STMT_ENTRY.BALANCE_TYPE</t>
        </is>
      </c>
      <c r="J292" s="410" t="inlineStr">
        <is>
          <t>2025-11-26</t>
        </is>
      </c>
      <c r="K292" s="385" t="inlineStr">
        <is>
          <t>1:1</t>
        </is>
      </c>
      <c r="L292" s="385" t="inlineStr">
        <is>
          <t>PG_BRONZE</t>
        </is>
      </c>
      <c r="M292" s="386" t="inlineStr">
        <is>
          <t>T24CORE_STMT_ENTRY</t>
        </is>
      </c>
      <c r="N292" s="386" t="inlineStr">
        <is>
          <t>BALANCE_TYPE</t>
        </is>
      </c>
      <c r="O292" s="385" t="inlineStr">
        <is>
          <t>VARCHAR2</t>
        </is>
      </c>
      <c r="P292" s="420" t="n">
        <v>20</v>
      </c>
      <c r="Q292" s="386">
        <f>"COMMENT ON COLUMN "&amp;L292&amp;"."&amp;M292&amp;"."&amp;N292&amp;" IS '"&amp;E292&amp;"';"</f>
        <v/>
      </c>
      <c r="R292" s="414" t="inlineStr">
        <is>
          <t>Map 1:1 nguyên bản từ T24CORE.STMT_ENTRY.BALANCE_TYPE -&gt; PG_BRONZE.T24CORE_STMT_ENTRY.BALANCE_TYPE</t>
        </is>
      </c>
    </row>
    <row r="293" ht="14.25" customHeight="1" s="335">
      <c r="A293" s="412">
        <f>B293&amp;C293&amp;D293</f>
        <v/>
      </c>
      <c r="B293" s="412" t="inlineStr">
        <is>
          <t>T24CORE</t>
        </is>
      </c>
      <c r="C293" s="412" t="inlineStr">
        <is>
          <t>STMT_ENTRY</t>
        </is>
      </c>
      <c r="D293" s="412" t="inlineStr">
        <is>
          <t>CARD_NUMBER</t>
        </is>
      </c>
      <c r="E293" s="412" t="inlineStr">
        <is>
          <t>Số thẻ</t>
        </is>
      </c>
      <c r="F293" s="410" t="inlineStr">
        <is>
          <t>X</t>
        </is>
      </c>
      <c r="G293" s="412" t="inlineStr">
        <is>
          <t>Posting Entry</t>
        </is>
      </c>
      <c r="H293" s="412" t="inlineStr">
        <is>
          <t>Card Number</t>
        </is>
      </c>
      <c r="I293" s="412" t="inlineStr">
        <is>
          <t>Map 1:1 từ T24CORE.STMT_ENTRY.CARD_NUMBER sang PG_BRONZE.T24CORE_STMT_ENTRY.CARD_NUMBER</t>
        </is>
      </c>
      <c r="J293" s="410" t="inlineStr">
        <is>
          <t>2025-11-26</t>
        </is>
      </c>
      <c r="K293" s="385" t="inlineStr">
        <is>
          <t>1:1</t>
        </is>
      </c>
      <c r="L293" s="385" t="inlineStr">
        <is>
          <t>PG_BRONZE</t>
        </is>
      </c>
      <c r="M293" s="386" t="inlineStr">
        <is>
          <t>T24CORE_STMT_ENTRY</t>
        </is>
      </c>
      <c r="N293" s="386" t="inlineStr">
        <is>
          <t>CARD_NUMBER</t>
        </is>
      </c>
      <c r="O293" s="385" t="inlineStr">
        <is>
          <t>VARCHAR2</t>
        </is>
      </c>
      <c r="P293" s="420" t="n">
        <v>100</v>
      </c>
      <c r="Q293" s="386">
        <f>"COMMENT ON COLUMN "&amp;L293&amp;"."&amp;M293&amp;"."&amp;N293&amp;" IS '"&amp;E293&amp;"';"</f>
        <v/>
      </c>
      <c r="R293" s="414" t="inlineStr">
        <is>
          <t>Map 1:1 nguyên bản từ T24CORE.STMT_ENTRY.CARD_NUMBER -&gt; PG_BRONZE.T24CORE_STMT_ENTRY.CARD_NUMBER</t>
        </is>
      </c>
    </row>
    <row r="294" ht="14.25" customHeight="1" s="335">
      <c r="A294" s="412">
        <f>B294&amp;C294&amp;D294</f>
        <v/>
      </c>
      <c r="B294" s="412" t="inlineStr">
        <is>
          <t>T24CORE</t>
        </is>
      </c>
      <c r="C294" s="412" t="inlineStr">
        <is>
          <t>STMT_ENTRY</t>
        </is>
      </c>
      <c r="D294" s="412" t="inlineStr">
        <is>
          <t>COMMIT_ACTION</t>
        </is>
      </c>
      <c r="E294" s="412" t="inlineStr">
        <is>
          <t>Trường kỹ thuật đánh dấu bản ghi IUD</t>
        </is>
      </c>
      <c r="F294" s="410" t="inlineStr">
        <is>
          <t>X</t>
        </is>
      </c>
      <c r="G294" s="412" t="inlineStr">
        <is>
          <t>Posting Entry</t>
        </is>
      </c>
      <c r="H294" s="412" t="inlineStr">
        <is>
          <t>Commit Action</t>
        </is>
      </c>
      <c r="I294" s="412" t="inlineStr">
        <is>
          <t>Map 1:1 từ T24CORE.STMT_ENTRY.COMMIT_ACTION sang PG_BRONZE.T24CORE_STMT_ENTRY.COMMIT_ACTION</t>
        </is>
      </c>
      <c r="J294" s="410" t="inlineStr">
        <is>
          <t>2025-11-26</t>
        </is>
      </c>
      <c r="K294" s="385" t="inlineStr">
        <is>
          <t>1:1</t>
        </is>
      </c>
      <c r="L294" s="385" t="inlineStr">
        <is>
          <t>PG_BRONZE</t>
        </is>
      </c>
      <c r="M294" s="386" t="inlineStr">
        <is>
          <t>T24CORE_STMT_ENTRY</t>
        </is>
      </c>
      <c r="N294" s="386" t="inlineStr">
        <is>
          <t>COMMIT_ACTION</t>
        </is>
      </c>
      <c r="O294" s="385" t="inlineStr">
        <is>
          <t>VARCHAR2</t>
        </is>
      </c>
      <c r="P294" s="420" t="n">
        <v>100</v>
      </c>
      <c r="Q294" s="386">
        <f>"COMMENT ON COLUMN "&amp;L294&amp;"."&amp;M294&amp;"."&amp;N294&amp;" IS '"&amp;E294&amp;"';"</f>
        <v/>
      </c>
      <c r="R294" s="414" t="inlineStr">
        <is>
          <t>Map 1:1 nguyên bản từ T24CORE.STMT_ENTRY.COMMIT_ACTION -&gt; PG_BRONZE.T24CORE_STMT_ENTRY.COMMIT_ACTION</t>
        </is>
      </c>
    </row>
    <row r="295" ht="14.25" customHeight="1" s="335">
      <c r="A295" s="412">
        <f>B295&amp;C295&amp;D295</f>
        <v/>
      </c>
      <c r="B295" s="412" t="inlineStr">
        <is>
          <t>T24CORE</t>
        </is>
      </c>
      <c r="C295" s="412" t="inlineStr">
        <is>
          <t>STMT_ENTRY</t>
        </is>
      </c>
      <c r="D295" s="412" t="inlineStr">
        <is>
          <t>COMMIT_TS</t>
        </is>
      </c>
      <c r="E295" s="412" t="inlineStr">
        <is>
          <t>Thời điểm ghi nhận commit giao dịch trên Core T24</t>
        </is>
      </c>
      <c r="F295" s="410" t="inlineStr">
        <is>
          <t>X</t>
        </is>
      </c>
      <c r="G295" s="412" t="inlineStr">
        <is>
          <t>Posting Entry</t>
        </is>
      </c>
      <c r="H295" s="412" t="inlineStr">
        <is>
          <t>Commit Timestamp</t>
        </is>
      </c>
      <c r="I295" s="412" t="inlineStr">
        <is>
          <t>Map 1:1 từ T24CORE.STMT_ENTRY.COMMIT_TS sang PG_BRONZE.T24CORE_STMT_ENTRY.COMMIT_TS</t>
        </is>
      </c>
      <c r="J295" s="410" t="inlineStr">
        <is>
          <t>2025-11-26</t>
        </is>
      </c>
      <c r="K295" s="385" t="inlineStr">
        <is>
          <t>1:1</t>
        </is>
      </c>
      <c r="L295" s="385" t="inlineStr">
        <is>
          <t>PG_BRONZE</t>
        </is>
      </c>
      <c r="M295" s="386" t="inlineStr">
        <is>
          <t>T24CORE_STMT_ENTRY</t>
        </is>
      </c>
      <c r="N295" s="386" t="inlineStr">
        <is>
          <t>COMMIT_TS</t>
        </is>
      </c>
      <c r="O295" s="385" t="inlineStr">
        <is>
          <t>TIMESTAMP</t>
        </is>
      </c>
      <c r="P295" s="420" t="n">
        <v>11</v>
      </c>
      <c r="Q295" s="386">
        <f>"COMMENT ON COLUMN "&amp;L295&amp;"."&amp;M295&amp;"."&amp;N295&amp;" IS '"&amp;E295&amp;"';"</f>
        <v/>
      </c>
      <c r="R295" s="414" t="inlineStr">
        <is>
          <t>Map 1:1 nguyên bản từ T24CORE.STMT_ENTRY.COMMIT_TS -&gt; PG_BRONZE.T24CORE_STMT_ENTRY.COMMIT_TS</t>
        </is>
      </c>
    </row>
    <row r="296" ht="14.25" customHeight="1" s="335">
      <c r="A296" s="412">
        <f>B296&amp;C296&amp;D296</f>
        <v/>
      </c>
      <c r="B296" s="412" t="inlineStr">
        <is>
          <t>T24CORE</t>
        </is>
      </c>
      <c r="C296" s="412" t="inlineStr">
        <is>
          <t>STMT_ENTRY</t>
        </is>
      </c>
      <c r="D296" s="412" t="inlineStr">
        <is>
          <t>CRF_PROD_CAT</t>
        </is>
      </c>
      <c r="E296" s="412" t="inlineStr">
        <is>
          <t>Mã Category phân loại bút toán</t>
        </is>
      </c>
      <c r="F296" s="410" t="inlineStr">
        <is>
          <t>X</t>
        </is>
      </c>
      <c r="G296" s="412" t="inlineStr">
        <is>
          <t>Posting Entry</t>
        </is>
      </c>
      <c r="H296" s="412" t="inlineStr">
        <is>
          <t>Category Product Code</t>
        </is>
      </c>
      <c r="I296" s="412" t="inlineStr">
        <is>
          <t>Map 1:1 từ T24CORE.STMT_ENTRY.CRF_PROD_CAT sang PG_BRONZE.T24CORE_STMT_ENTRY.CRF_PROD_CAT</t>
        </is>
      </c>
      <c r="J296" s="410" t="inlineStr">
        <is>
          <t>2025-11-26</t>
        </is>
      </c>
      <c r="K296" s="385" t="inlineStr">
        <is>
          <t>1:1</t>
        </is>
      </c>
      <c r="L296" s="385" t="inlineStr">
        <is>
          <t>PG_BRONZE</t>
        </is>
      </c>
      <c r="M296" s="386" t="inlineStr">
        <is>
          <t>T24CORE_STMT_ENTRY</t>
        </is>
      </c>
      <c r="N296" s="386" t="inlineStr">
        <is>
          <t>CRF_PROD_CAT</t>
        </is>
      </c>
      <c r="O296" s="385" t="inlineStr">
        <is>
          <t>VARCHAR2</t>
        </is>
      </c>
      <c r="P296" s="420" t="n">
        <v>100</v>
      </c>
      <c r="Q296" s="386">
        <f>"COMMENT ON COLUMN "&amp;L296&amp;"."&amp;M296&amp;"."&amp;N296&amp;" IS '"&amp;E296&amp;"';"</f>
        <v/>
      </c>
      <c r="R296" s="414" t="inlineStr">
        <is>
          <t>Map 1:1 nguyên bản từ T24CORE.STMT_ENTRY.CRF_PROD_CAT -&gt; PG_BRONZE.T24CORE_STMT_ENTRY.CRF_PROD_CAT</t>
        </is>
      </c>
    </row>
    <row r="297" ht="14.25" customHeight="1" s="335">
      <c r="A297" s="412">
        <f>B297&amp;C297&amp;D297</f>
        <v/>
      </c>
      <c r="B297" s="412" t="inlineStr">
        <is>
          <t>T24CORE</t>
        </is>
      </c>
      <c r="C297" s="412" t="inlineStr">
        <is>
          <t>STMT_ENTRY</t>
        </is>
      </c>
      <c r="D297" s="412" t="inlineStr">
        <is>
          <t>CURR_NO</t>
        </is>
      </c>
      <c r="E297" s="412" t="inlineStr">
        <is>
          <t>Trường kỹ thuật, đánh dấu version thay đổi bút toán</t>
        </is>
      </c>
      <c r="F297" s="410" t="inlineStr">
        <is>
          <t>X</t>
        </is>
      </c>
      <c r="G297" s="412" t="inlineStr">
        <is>
          <t>Posting Entry</t>
        </is>
      </c>
      <c r="H297" s="412" t="inlineStr">
        <is>
          <t>Current Number</t>
        </is>
      </c>
      <c r="I297" s="412" t="inlineStr">
        <is>
          <t>Map 1:1 từ T24CORE.STMT_ENTRY.CURR_NO sang PG_BRONZE.T24CORE_STMT_ENTRY.CURR_NO</t>
        </is>
      </c>
      <c r="J297" s="410" t="inlineStr">
        <is>
          <t>2025-11-26</t>
        </is>
      </c>
      <c r="K297" s="385" t="inlineStr">
        <is>
          <t>1:1</t>
        </is>
      </c>
      <c r="L297" s="385" t="inlineStr">
        <is>
          <t>PG_BRONZE</t>
        </is>
      </c>
      <c r="M297" s="386" t="inlineStr">
        <is>
          <t>T24CORE_STMT_ENTRY</t>
        </is>
      </c>
      <c r="N297" s="386" t="inlineStr">
        <is>
          <t>CURR_NO</t>
        </is>
      </c>
      <c r="O297" s="385" t="inlineStr">
        <is>
          <t>NUMBER</t>
        </is>
      </c>
      <c r="P297" s="420" t="n">
        <v>10</v>
      </c>
      <c r="Q297" s="386">
        <f>"COMMENT ON COLUMN "&amp;L297&amp;"."&amp;M297&amp;"."&amp;N297&amp;" IS '"&amp;E297&amp;"';"</f>
        <v/>
      </c>
      <c r="R297" s="414" t="inlineStr">
        <is>
          <t>Map 1:1 nguyên bản từ T24CORE.STMT_ENTRY.CURR_NO -&gt; PG_BRONZE.T24CORE_STMT_ENTRY.CURR_NO</t>
        </is>
      </c>
    </row>
    <row r="298" ht="14.25" customHeight="1" s="335">
      <c r="A298" s="412">
        <f>B298&amp;C298&amp;D298</f>
        <v/>
      </c>
      <c r="B298" s="412" t="inlineStr">
        <is>
          <t>T24CORE</t>
        </is>
      </c>
      <c r="C298" s="412" t="inlineStr">
        <is>
          <t>STMT_ENTRY</t>
        </is>
      </c>
      <c r="D298" s="412" t="inlineStr">
        <is>
          <t>CYCLE_FORWARD</t>
        </is>
      </c>
      <c r="E298" s="412" t="inlineStr">
        <is>
          <t>Cờ kết chuyển chu kỳ hạch toán (Cycle Forward)</t>
        </is>
      </c>
      <c r="F298" s="410" t="inlineStr">
        <is>
          <t>X</t>
        </is>
      </c>
      <c r="G298" s="412" t="inlineStr">
        <is>
          <t>Posting Entry</t>
        </is>
      </c>
      <c r="H298" s="412" t="inlineStr">
        <is>
          <t>Cycle Forward</t>
        </is>
      </c>
      <c r="I298" s="412" t="inlineStr">
        <is>
          <t>Map 1:1 từ T24CORE.STMT_ENTRY.CYCLE_FORWARD sang PG_BRONZE.T24CORE_STMT_ENTRY.CYCLE_FORWARD</t>
        </is>
      </c>
      <c r="J298" s="410" t="inlineStr">
        <is>
          <t>2025-11-26</t>
        </is>
      </c>
      <c r="K298" s="385" t="inlineStr">
        <is>
          <t>1:1</t>
        </is>
      </c>
      <c r="L298" s="385" t="inlineStr">
        <is>
          <t>PG_BRONZE</t>
        </is>
      </c>
      <c r="M298" s="386" t="inlineStr">
        <is>
          <t>T24CORE_STMT_ENTRY</t>
        </is>
      </c>
      <c r="N298" s="386" t="inlineStr">
        <is>
          <t>CYCLE_FORWARD</t>
        </is>
      </c>
      <c r="O298" s="385" t="inlineStr">
        <is>
          <t>DATE</t>
        </is>
      </c>
      <c r="P298" s="420" t="n"/>
      <c r="Q298" s="386">
        <f>"COMMENT ON COLUMN "&amp;L298&amp;"."&amp;M298&amp;"."&amp;N298&amp;" IS '"&amp;E298&amp;"';"</f>
        <v/>
      </c>
      <c r="R298" s="414" t="inlineStr">
        <is>
          <t>Map 1:1 nguyên bản từ T24CORE.STMT_ENTRY.CYCLE_FORWARD -&gt; PG_BRONZE.T24CORE_STMT_ENTRY.CYCLE_FORWARD</t>
        </is>
      </c>
    </row>
    <row r="299" ht="14.25" customHeight="1" s="335">
      <c r="A299" s="412">
        <f>B299&amp;C299&amp;D299</f>
        <v/>
      </c>
      <c r="B299" s="412" t="inlineStr">
        <is>
          <t>T24CORE</t>
        </is>
      </c>
      <c r="C299" s="412" t="inlineStr">
        <is>
          <t>STMT_ENTRY</t>
        </is>
      </c>
      <c r="D299" s="412" t="inlineStr">
        <is>
          <t>DATE_TIME</t>
        </is>
      </c>
      <c r="E299" s="412" t="inlineStr">
        <is>
          <t>Trường kỹ thuật, ghi nhận thời gian sửa đổi</t>
        </is>
      </c>
      <c r="F299" s="410" t="inlineStr">
        <is>
          <t>X</t>
        </is>
      </c>
      <c r="G299" s="412" t="inlineStr">
        <is>
          <t>Posting Entry</t>
        </is>
      </c>
      <c r="H299" s="412" t="inlineStr">
        <is>
          <t>Date Time</t>
        </is>
      </c>
      <c r="I299" s="412" t="inlineStr">
        <is>
          <t>Map 1:1 từ T24CORE.STMT_ENTRY.DATE_TIME sang PG_BRONZE.T24CORE_STMT_ENTRY.DATE_TIME</t>
        </is>
      </c>
      <c r="J299" s="410" t="inlineStr">
        <is>
          <t>2025-11-26</t>
        </is>
      </c>
      <c r="K299" s="385" t="inlineStr">
        <is>
          <t>1:1</t>
        </is>
      </c>
      <c r="L299" s="385" t="inlineStr">
        <is>
          <t>PG_BRONZE</t>
        </is>
      </c>
      <c r="M299" s="386" t="inlineStr">
        <is>
          <t>T24CORE_STMT_ENTRY</t>
        </is>
      </c>
      <c r="N299" s="386" t="inlineStr">
        <is>
          <t>DATE_TIME</t>
        </is>
      </c>
      <c r="O299" s="385" t="inlineStr">
        <is>
          <t>DATE</t>
        </is>
      </c>
      <c r="P299" s="420" t="n">
        <v>8</v>
      </c>
      <c r="Q299" s="386">
        <f>"COMMENT ON COLUMN "&amp;L299&amp;"."&amp;M299&amp;"."&amp;N299&amp;" IS '"&amp;E299&amp;"';"</f>
        <v/>
      </c>
      <c r="R299" s="414" t="inlineStr">
        <is>
          <t>Map 1:1 nguyên bản từ T24CORE.STMT_ENTRY.DATE_TIME -&gt; PG_BRONZE.T24CORE_STMT_ENTRY.DATE_TIME</t>
        </is>
      </c>
    </row>
    <row r="300" ht="14.25" customHeight="1" s="335">
      <c r="A300" s="412">
        <f>B300&amp;C300&amp;D300</f>
        <v/>
      </c>
      <c r="B300" s="412" t="inlineStr">
        <is>
          <t>T24CORE</t>
        </is>
      </c>
      <c r="C300" s="412" t="inlineStr">
        <is>
          <t>STMT_ENTRY</t>
        </is>
      </c>
      <c r="D300" s="412" t="inlineStr">
        <is>
          <t>DEPARTMENT_CODE</t>
        </is>
      </c>
      <c r="E300" s="412" t="inlineStr">
        <is>
          <t>Mã đơn vị hạch toán</t>
        </is>
      </c>
      <c r="F300" s="410" t="inlineStr">
        <is>
          <t>X</t>
        </is>
      </c>
      <c r="G300" s="412" t="inlineStr">
        <is>
          <t>Posting Entry</t>
        </is>
      </c>
      <c r="H300" s="412" t="inlineStr">
        <is>
          <t>Department Code</t>
        </is>
      </c>
      <c r="I300" s="412" t="inlineStr">
        <is>
          <t>Map 1:1 từ T24CORE.STMT_ENTRY.DEPARTMENT_CODE sang PG_BRONZE.T24CORE_STMT_ENTRY.DEPARTMENT_CODE</t>
        </is>
      </c>
      <c r="J300" s="410" t="inlineStr">
        <is>
          <t>2025-11-26</t>
        </is>
      </c>
      <c r="K300" s="385" t="inlineStr">
        <is>
          <t>1:1</t>
        </is>
      </c>
      <c r="L300" s="385" t="inlineStr">
        <is>
          <t>PG_BRONZE</t>
        </is>
      </c>
      <c r="M300" s="386" t="inlineStr">
        <is>
          <t>T24CORE_STMT_ENTRY</t>
        </is>
      </c>
      <c r="N300" s="386" t="inlineStr">
        <is>
          <t>DEPARTMENT_CODE</t>
        </is>
      </c>
      <c r="O300" s="385" t="inlineStr">
        <is>
          <t>VARCHAR2</t>
        </is>
      </c>
      <c r="P300" s="420" t="n">
        <v>100</v>
      </c>
      <c r="Q300" s="386">
        <f>"COMMENT ON COLUMN "&amp;L300&amp;"."&amp;M300&amp;"."&amp;N300&amp;" IS '"&amp;E300&amp;"';"</f>
        <v/>
      </c>
      <c r="R300" s="414" t="inlineStr">
        <is>
          <t>Map 1:1 nguyên bản từ T24CORE.STMT_ENTRY.DEPARTMENT_CODE -&gt; PG_BRONZE.T24CORE_STMT_ENTRY.DEPARTMENT_CODE</t>
        </is>
      </c>
    </row>
    <row r="301" ht="14.25" customHeight="1" s="335">
      <c r="A301" s="412">
        <f>B301&amp;C301&amp;D301</f>
        <v/>
      </c>
      <c r="B301" s="412" t="inlineStr">
        <is>
          <t>T24CORE</t>
        </is>
      </c>
      <c r="C301" s="412" t="inlineStr">
        <is>
          <t>STMT_ENTRY</t>
        </is>
      </c>
      <c r="D301" s="412" t="inlineStr">
        <is>
          <t>DRAWN_ACCOUNT</t>
        </is>
      </c>
      <c r="E301" s="412" t="inlineStr">
        <is>
          <t>Tài khoản ghi nhận số tiền rút</t>
        </is>
      </c>
      <c r="F301" s="410" t="inlineStr">
        <is>
          <t>X</t>
        </is>
      </c>
      <c r="G301" s="412" t="inlineStr">
        <is>
          <t>Posting Entry</t>
        </is>
      </c>
      <c r="H301" s="412" t="inlineStr">
        <is>
          <t>Drawn Account</t>
        </is>
      </c>
      <c r="I301" s="412" t="inlineStr">
        <is>
          <t>Map 1:1 từ T24CORE.STMT_ENTRY.DRAWN_ACCOUNT sang PG_BRONZE.T24CORE_STMT_ENTRY.DRAWN_ACCOUNT</t>
        </is>
      </c>
      <c r="J301" s="410" t="inlineStr">
        <is>
          <t>2025-11-26</t>
        </is>
      </c>
      <c r="K301" s="385" t="inlineStr">
        <is>
          <t>1:1</t>
        </is>
      </c>
      <c r="L301" s="385" t="inlineStr">
        <is>
          <t>PG_BRONZE</t>
        </is>
      </c>
      <c r="M301" s="386" t="inlineStr">
        <is>
          <t>T24CORE_STMT_ENTRY</t>
        </is>
      </c>
      <c r="N301" s="386" t="inlineStr">
        <is>
          <t>DRAWN_ACCOUNT</t>
        </is>
      </c>
      <c r="O301" s="385" t="inlineStr">
        <is>
          <t>VARCHAR2</t>
        </is>
      </c>
      <c r="P301" s="420" t="n">
        <v>100</v>
      </c>
      <c r="Q301" s="386">
        <f>"COMMENT ON COLUMN "&amp;L301&amp;"."&amp;M301&amp;"."&amp;N301&amp;" IS '"&amp;E301&amp;"';"</f>
        <v/>
      </c>
      <c r="R301" s="414" t="inlineStr">
        <is>
          <t>Map 1:1 nguyên bản từ T24CORE.STMT_ENTRY.DRAWN_ACCOUNT -&gt; PG_BRONZE.T24CORE_STMT_ENTRY.DRAWN_ACCOUNT</t>
        </is>
      </c>
    </row>
    <row r="302" ht="14.25" customHeight="1" s="335">
      <c r="A302" s="412">
        <f>B302&amp;C302&amp;D302</f>
        <v/>
      </c>
      <c r="B302" s="412" t="inlineStr">
        <is>
          <t>T24CORE</t>
        </is>
      </c>
      <c r="C302" s="412" t="inlineStr">
        <is>
          <t>STMT_ENTRY</t>
        </is>
      </c>
      <c r="D302" s="412" t="inlineStr">
        <is>
          <t>INTERNAL_CATEGORY</t>
        </is>
      </c>
      <c r="E302" s="412" t="inlineStr">
        <is>
          <t>Mã Category nội bộ</t>
        </is>
      </c>
      <c r="F302" s="410" t="inlineStr">
        <is>
          <t>X</t>
        </is>
      </c>
      <c r="G302" s="412" t="inlineStr">
        <is>
          <t>Posting Entry</t>
        </is>
      </c>
      <c r="H302" s="412" t="inlineStr">
        <is>
          <t>Internal Category</t>
        </is>
      </c>
      <c r="I302" s="412" t="inlineStr">
        <is>
          <t>Map 1:1 từ T24CORE.STMT_ENTRY.INTERNAL_CATEGORY sang PG_BRONZE.T24CORE_STMT_ENTRY.INTERNAL_CATEGORY</t>
        </is>
      </c>
      <c r="J302" s="410" t="inlineStr">
        <is>
          <t>2025-11-26</t>
        </is>
      </c>
      <c r="K302" s="385" t="inlineStr">
        <is>
          <t>1:1</t>
        </is>
      </c>
      <c r="L302" s="385" t="inlineStr">
        <is>
          <t>PG_BRONZE</t>
        </is>
      </c>
      <c r="M302" s="386" t="inlineStr">
        <is>
          <t>T24CORE_STMT_ENTRY</t>
        </is>
      </c>
      <c r="N302" s="386" t="inlineStr">
        <is>
          <t>INTERNAL_CATEGORY</t>
        </is>
      </c>
      <c r="O302" s="385" t="inlineStr">
        <is>
          <t>VARCHAR2</t>
        </is>
      </c>
      <c r="P302" s="420" t="n">
        <v>100</v>
      </c>
      <c r="Q302" s="386">
        <f>"COMMENT ON COLUMN "&amp;L302&amp;"."&amp;M302&amp;"."&amp;N302&amp;" IS '"&amp;E302&amp;"';"</f>
        <v/>
      </c>
      <c r="R302" s="414" t="inlineStr">
        <is>
          <t>Map 1:1 nguyên bản từ T24CORE.STMT_ENTRY.INTERNAL_CATEGORY -&gt; PG_BRONZE.T24CORE_STMT_ENTRY.INTERNAL_CATEGORY</t>
        </is>
      </c>
    </row>
    <row r="303" ht="14.25" customHeight="1" s="335">
      <c r="A303" s="412">
        <f>B303&amp;C303&amp;D303</f>
        <v/>
      </c>
      <c r="B303" s="412" t="inlineStr">
        <is>
          <t>T24CORE</t>
        </is>
      </c>
      <c r="C303" s="412" t="inlineStr">
        <is>
          <t>STMT_ENTRY</t>
        </is>
      </c>
      <c r="D303" s="412" t="inlineStr">
        <is>
          <t>LOCAL_REF</t>
        </is>
      </c>
      <c r="E303" s="412" t="inlineStr">
        <is>
          <t>Trường multivalue - đa nghĩa của T24</t>
        </is>
      </c>
      <c r="F303" s="410" t="inlineStr">
        <is>
          <t>X</t>
        </is>
      </c>
      <c r="G303" s="412" t="inlineStr">
        <is>
          <t>Posting Entry</t>
        </is>
      </c>
      <c r="H303" s="412" t="inlineStr">
        <is>
          <t>Local Reference</t>
        </is>
      </c>
      <c r="I303" s="412" t="inlineStr">
        <is>
          <t>Map 1:1 từ T24CORE.STMT_ENTRY.LOCAL_REF sang PG_BRONZE.T24CORE_STMT_ENTRY.LOCAL_REF</t>
        </is>
      </c>
      <c r="J303" s="410" t="inlineStr">
        <is>
          <t>2025-11-26</t>
        </is>
      </c>
      <c r="K303" s="385" t="inlineStr">
        <is>
          <t>1:1</t>
        </is>
      </c>
      <c r="L303" s="385" t="inlineStr">
        <is>
          <t>PG_BRONZE</t>
        </is>
      </c>
      <c r="M303" s="386" t="inlineStr">
        <is>
          <t>T24CORE_STMT_ENTRY</t>
        </is>
      </c>
      <c r="N303" s="386" t="inlineStr">
        <is>
          <t>LOCAL_REF</t>
        </is>
      </c>
      <c r="O303" s="385" t="inlineStr">
        <is>
          <t>VARCHAR2</t>
        </is>
      </c>
      <c r="P303" s="420" t="n">
        <v>100</v>
      </c>
      <c r="Q303" s="386">
        <f>"COMMENT ON COLUMN "&amp;L303&amp;"."&amp;M303&amp;"."&amp;N303&amp;" IS '"&amp;E303&amp;"';"</f>
        <v/>
      </c>
      <c r="R303" s="414" t="inlineStr">
        <is>
          <t>Map 1:1 nguyên bản từ T24CORE.STMT_ENTRY.LOCAL_REF -&gt; PG_BRONZE.T24CORE_STMT_ENTRY.LOCAL_REF</t>
        </is>
      </c>
    </row>
    <row r="304" ht="14.25" customHeight="1" s="335">
      <c r="A304" s="412">
        <f>B304&amp;C304&amp;D304</f>
        <v/>
      </c>
      <c r="B304" s="412" t="inlineStr">
        <is>
          <t>T24CORE</t>
        </is>
      </c>
      <c r="C304" s="412" t="inlineStr">
        <is>
          <t>STMT_ENTRY</t>
        </is>
      </c>
      <c r="D304" s="412" t="inlineStr">
        <is>
          <t>ORIG_AMOUNT_LCY</t>
        </is>
      </c>
      <c r="E304" s="412" t="inlineStr">
        <is>
          <t>Giá trị hạch toán ban đầu quy đổi</t>
        </is>
      </c>
      <c r="F304" s="410" t="inlineStr">
        <is>
          <t>X</t>
        </is>
      </c>
      <c r="G304" s="412" t="inlineStr">
        <is>
          <t>Posting Entry</t>
        </is>
      </c>
      <c r="H304" s="412" t="inlineStr">
        <is>
          <t>Original Amount LCY</t>
        </is>
      </c>
      <c r="I304" s="412" t="inlineStr">
        <is>
          <t>Map 1:1 từ T24CORE.STMT_ENTRY.ORIG_AMOUNT_LCY sang PG_BRONZE.T24CORE_STMT_ENTRY.ORIG_AMOUNT_LCY</t>
        </is>
      </c>
      <c r="J304" s="410" t="inlineStr">
        <is>
          <t>2025-11-26</t>
        </is>
      </c>
      <c r="K304" s="385" t="inlineStr">
        <is>
          <t>1:1</t>
        </is>
      </c>
      <c r="L304" s="385" t="inlineStr">
        <is>
          <t>PG_BRONZE</t>
        </is>
      </c>
      <c r="M304" s="386" t="inlineStr">
        <is>
          <t>T24CORE_STMT_ENTRY</t>
        </is>
      </c>
      <c r="N304" s="386" t="inlineStr">
        <is>
          <t>ORIG_AMOUNT_LCY</t>
        </is>
      </c>
      <c r="O304" s="385" t="inlineStr">
        <is>
          <t>NUMBER</t>
        </is>
      </c>
      <c r="P304" s="420" t="n">
        <v>25.5</v>
      </c>
      <c r="Q304" s="386">
        <f>"COMMENT ON COLUMN "&amp;L304&amp;"."&amp;M304&amp;"."&amp;N304&amp;" IS '"&amp;E304&amp;"';"</f>
        <v/>
      </c>
      <c r="R304" s="414" t="inlineStr">
        <is>
          <t>Map 1:1 nguyên bản từ T24CORE.STMT_ENTRY.ORIG_AMOUNT_LCY -&gt; PG_BRONZE.T24CORE_STMT_ENTRY.ORIG_AMOUNT_LCY</t>
        </is>
      </c>
    </row>
    <row r="305" ht="14.25" customHeight="1" s="335">
      <c r="A305" s="412">
        <f>B305&amp;C305&amp;D305</f>
        <v/>
      </c>
      <c r="B305" s="412" t="inlineStr">
        <is>
          <t>T24CORE</t>
        </is>
      </c>
      <c r="C305" s="412" t="inlineStr">
        <is>
          <t>STMT_ENTRY</t>
        </is>
      </c>
      <c r="D305" s="412" t="inlineStr">
        <is>
          <t>ORIGINAL_ACCT</t>
        </is>
      </c>
      <c r="E305" s="412" t="inlineStr">
        <is>
          <t>Số tài khoản hạch toán ban đầu</t>
        </is>
      </c>
      <c r="F305" s="410" t="inlineStr">
        <is>
          <t>X</t>
        </is>
      </c>
      <c r="G305" s="412" t="inlineStr">
        <is>
          <t>Posting Entry</t>
        </is>
      </c>
      <c r="H305" s="412" t="inlineStr">
        <is>
          <t>Original Account</t>
        </is>
      </c>
      <c r="I305" s="412" t="inlineStr">
        <is>
          <t>Map 1:1 từ T24CORE.STMT_ENTRY.ORIGINAL_ACCT sang PG_BRONZE.T24CORE_STMT_ENTRY.ORIGINAL_ACCT</t>
        </is>
      </c>
      <c r="J305" s="410" t="inlineStr">
        <is>
          <t>2025-11-26</t>
        </is>
      </c>
      <c r="K305" s="385" t="inlineStr">
        <is>
          <t>1:1</t>
        </is>
      </c>
      <c r="L305" s="385" t="inlineStr">
        <is>
          <t>PG_BRONZE</t>
        </is>
      </c>
      <c r="M305" s="386" t="inlineStr">
        <is>
          <t>T24CORE_STMT_ENTRY</t>
        </is>
      </c>
      <c r="N305" s="386" t="inlineStr">
        <is>
          <t>ORIGINAL_ACCT</t>
        </is>
      </c>
      <c r="O305" s="385" t="inlineStr">
        <is>
          <t>VARCHAR2</t>
        </is>
      </c>
      <c r="P305" s="420" t="n">
        <v>100</v>
      </c>
      <c r="Q305" s="386">
        <f>"COMMENT ON COLUMN "&amp;L305&amp;"."&amp;M305&amp;"."&amp;N305&amp;" IS '"&amp;E305&amp;"';"</f>
        <v/>
      </c>
      <c r="R305" s="414" t="inlineStr">
        <is>
          <t>Map 1:1 nguyên bản từ T24CORE.STMT_ENTRY.ORIGINAL_ACCT -&gt; PG_BRONZE.T24CORE_STMT_ENTRY.ORIGINAL_ACCT</t>
        </is>
      </c>
    </row>
    <row r="306" ht="14.25" customHeight="1" s="335">
      <c r="A306" s="412">
        <f>B306&amp;C306&amp;D306</f>
        <v/>
      </c>
      <c r="B306" s="412" t="inlineStr">
        <is>
          <t>T24CORE</t>
        </is>
      </c>
      <c r="C306" s="412" t="inlineStr">
        <is>
          <t>STMT_ENTRY</t>
        </is>
      </c>
      <c r="D306" s="412" t="inlineStr">
        <is>
          <t>ORIGINAL_AMOUNT</t>
        </is>
      </c>
      <c r="E306" s="412" t="inlineStr">
        <is>
          <t>Giá trị hạch toán ban đầu nguyên tệ</t>
        </is>
      </c>
      <c r="F306" s="410" t="inlineStr">
        <is>
          <t>X</t>
        </is>
      </c>
      <c r="G306" s="412" t="inlineStr">
        <is>
          <t>Posting Entry</t>
        </is>
      </c>
      <c r="H306" s="412" t="inlineStr">
        <is>
          <t>Original Amount</t>
        </is>
      </c>
      <c r="I306" s="412" t="inlineStr">
        <is>
          <t>Map 1:1 từ T24CORE.STMT_ENTRY.ORIGINAL_AMOUNT sang PG_BRONZE.T24CORE_STMT_ENTRY.ORIGINAL_AMOUNT</t>
        </is>
      </c>
      <c r="J306" s="410" t="inlineStr">
        <is>
          <t>2025-11-26</t>
        </is>
      </c>
      <c r="K306" s="385" t="inlineStr">
        <is>
          <t>1:1</t>
        </is>
      </c>
      <c r="L306" s="385" t="inlineStr">
        <is>
          <t>PG_BRONZE</t>
        </is>
      </c>
      <c r="M306" s="386" t="inlineStr">
        <is>
          <t>T24CORE_STMT_ENTRY</t>
        </is>
      </c>
      <c r="N306" s="386" t="inlineStr">
        <is>
          <t>ORIGINAL_AMOUNT</t>
        </is>
      </c>
      <c r="O306" s="385" t="inlineStr">
        <is>
          <t>NUMBER</t>
        </is>
      </c>
      <c r="P306" s="420" t="n">
        <v>25.5</v>
      </c>
      <c r="Q306" s="386">
        <f>"COMMENT ON COLUMN "&amp;L306&amp;"."&amp;M306&amp;"."&amp;N306&amp;" IS '"&amp;E306&amp;"';"</f>
        <v/>
      </c>
      <c r="R306" s="414" t="inlineStr">
        <is>
          <t>Map 1:1 nguyên bản từ T24CORE.STMT_ENTRY.ORIGINAL_AMOUNT -&gt; PG_BRONZE.T24CORE_STMT_ENTRY.ORIGINAL_AMOUNT</t>
        </is>
      </c>
    </row>
    <row r="307" ht="14.25" customHeight="1" s="335">
      <c r="A307" s="412">
        <f>B307&amp;C307&amp;D307</f>
        <v/>
      </c>
      <c r="B307" s="412" t="inlineStr">
        <is>
          <t>T24CORE</t>
        </is>
      </c>
      <c r="C307" s="412" t="inlineStr">
        <is>
          <t>STMT_ENTRY</t>
        </is>
      </c>
      <c r="D307" s="412" t="inlineStr">
        <is>
          <t>ORIGINAL_CCY</t>
        </is>
      </c>
      <c r="E307" s="412" t="inlineStr">
        <is>
          <t>Loại tiền giao dịch ban đầu</t>
        </is>
      </c>
      <c r="F307" s="410" t="inlineStr">
        <is>
          <t>X</t>
        </is>
      </c>
      <c r="G307" s="412" t="inlineStr">
        <is>
          <t>Posting Entry</t>
        </is>
      </c>
      <c r="H307" s="412" t="inlineStr">
        <is>
          <t>Original Currency</t>
        </is>
      </c>
      <c r="I307" s="412" t="inlineStr">
        <is>
          <t>Map 1:1 từ T24CORE.STMT_ENTRY.ORIGINAL_CCY sang PG_BRONZE.T24CORE_STMT_ENTRY.ORIGINAL_CCY</t>
        </is>
      </c>
      <c r="J307" s="410" t="inlineStr">
        <is>
          <t>2025-11-26</t>
        </is>
      </c>
      <c r="K307" s="385" t="inlineStr">
        <is>
          <t>1:1</t>
        </is>
      </c>
      <c r="L307" s="385" t="inlineStr">
        <is>
          <t>PG_BRONZE</t>
        </is>
      </c>
      <c r="M307" s="386" t="inlineStr">
        <is>
          <t>T24CORE_STMT_ENTRY</t>
        </is>
      </c>
      <c r="N307" s="386" t="inlineStr">
        <is>
          <t>ORIGINAL_CCY</t>
        </is>
      </c>
      <c r="O307" s="385" t="inlineStr">
        <is>
          <t>VARCHAR2</t>
        </is>
      </c>
      <c r="P307" s="420" t="n">
        <v>100</v>
      </c>
      <c r="Q307" s="386">
        <f>"COMMENT ON COLUMN "&amp;L307&amp;"."&amp;M307&amp;"."&amp;N307&amp;" IS '"&amp;E307&amp;"';"</f>
        <v/>
      </c>
      <c r="R307" s="414" t="inlineStr">
        <is>
          <t>Map 1:1 nguyên bản từ T24CORE.STMT_ENTRY.ORIGINAL_CCY -&gt; PG_BRONZE.T24CORE_STMT_ENTRY.ORIGINAL_CCY</t>
        </is>
      </c>
    </row>
    <row r="308" ht="14.25" customHeight="1" s="335">
      <c r="A308" s="412">
        <f>B308&amp;C308&amp;D308</f>
        <v/>
      </c>
      <c r="B308" s="412" t="inlineStr">
        <is>
          <t>T24CORE</t>
        </is>
      </c>
      <c r="C308" s="412" t="inlineStr">
        <is>
          <t>STMT_ENTRY</t>
        </is>
      </c>
      <c r="D308" s="412" t="inlineStr">
        <is>
          <t>ORIGINAL_EXCH_RATE</t>
        </is>
      </c>
      <c r="E308" s="412" t="inlineStr">
        <is>
          <t>Tỷ giá quy đổi cho loại tiền ban đầu</t>
        </is>
      </c>
      <c r="F308" s="410" t="inlineStr">
        <is>
          <t>X</t>
        </is>
      </c>
      <c r="G308" s="412" t="inlineStr">
        <is>
          <t>Posting Entry</t>
        </is>
      </c>
      <c r="H308" s="412" t="inlineStr">
        <is>
          <t>Original Exchange Rate</t>
        </is>
      </c>
      <c r="I308" s="412" t="inlineStr">
        <is>
          <t>Map 1:1 từ T24CORE.STMT_ENTRY.ORIGINAL_EXCH_RATE sang PG_BRONZE.T24CORE_STMT_ENTRY.ORIGINAL_EXCH_RATE</t>
        </is>
      </c>
      <c r="J308" s="410" t="inlineStr">
        <is>
          <t>2025-11-26</t>
        </is>
      </c>
      <c r="K308" s="385" t="inlineStr">
        <is>
          <t>1:1</t>
        </is>
      </c>
      <c r="L308" s="385" t="inlineStr">
        <is>
          <t>PG_BRONZE</t>
        </is>
      </c>
      <c r="M308" s="386" t="inlineStr">
        <is>
          <t>T24CORE_STMT_ENTRY</t>
        </is>
      </c>
      <c r="N308" s="386" t="inlineStr">
        <is>
          <t>ORIGINAL_EXCH_RATE</t>
        </is>
      </c>
      <c r="O308" s="385" t="inlineStr">
        <is>
          <t>NUMBER</t>
        </is>
      </c>
      <c r="P308" s="420" t="n">
        <v>13.7</v>
      </c>
      <c r="Q308" s="386">
        <f>"COMMENT ON COLUMN "&amp;L308&amp;"."&amp;M308&amp;"."&amp;N308&amp;" IS '"&amp;E308&amp;"';"</f>
        <v/>
      </c>
      <c r="R308" s="414" t="inlineStr">
        <is>
          <t>Map 1:1 nguyên bản từ T24CORE.STMT_ENTRY.ORIGINAL_EXCH_RATE -&gt; PG_BRONZE.T24CORE_STMT_ENTRY.ORIGINAL_EXCH_RATE</t>
        </is>
      </c>
    </row>
    <row r="309" ht="14.25" customHeight="1" s="335">
      <c r="A309" s="412">
        <f>B309&amp;C309&amp;D309</f>
        <v/>
      </c>
      <c r="B309" s="412" t="inlineStr">
        <is>
          <t>T24CORE</t>
        </is>
      </c>
      <c r="C309" s="412" t="inlineStr">
        <is>
          <t>STMT_ENTRY</t>
        </is>
      </c>
      <c r="D309" s="412" t="inlineStr">
        <is>
          <t>OUTSTANDING_BAL</t>
        </is>
      </c>
      <c r="E309" s="412" t="inlineStr">
        <is>
          <t>Dư nợ tín dụng của hợp đồng ( OUR_REFERENCE)</t>
        </is>
      </c>
      <c r="F309" s="410" t="inlineStr">
        <is>
          <t>X</t>
        </is>
      </c>
      <c r="G309" s="412" t="inlineStr">
        <is>
          <t>Posting Entry</t>
        </is>
      </c>
      <c r="H309" s="412" t="inlineStr">
        <is>
          <t>Outstanding Balance</t>
        </is>
      </c>
      <c r="I309" s="412" t="inlineStr">
        <is>
          <t>Map 1:1 từ T24CORE.STMT_ENTRY.OUTSTANDING_BAL sang PG_BRONZE.T24CORE_STMT_ENTRY.OUTSTANDING_BAL</t>
        </is>
      </c>
      <c r="J309" s="410" t="inlineStr">
        <is>
          <t>2025-11-26</t>
        </is>
      </c>
      <c r="K309" s="385" t="inlineStr">
        <is>
          <t>1:1</t>
        </is>
      </c>
      <c r="L309" s="385" t="inlineStr">
        <is>
          <t>PG_BRONZE</t>
        </is>
      </c>
      <c r="M309" s="386" t="inlineStr">
        <is>
          <t>T24CORE_STMT_ENTRY</t>
        </is>
      </c>
      <c r="N309" s="386" t="inlineStr">
        <is>
          <t>OUTSTANDING_BAL</t>
        </is>
      </c>
      <c r="O309" s="385" t="inlineStr">
        <is>
          <t>NUMBER</t>
        </is>
      </c>
      <c r="P309" s="420" t="n">
        <v>25.5</v>
      </c>
      <c r="Q309" s="386">
        <f>"COMMENT ON COLUMN "&amp;L309&amp;"."&amp;M309&amp;"."&amp;N309&amp;" IS '"&amp;E309&amp;"';"</f>
        <v/>
      </c>
      <c r="R309" s="414" t="inlineStr">
        <is>
          <t>Map 1:1 nguyên bản từ T24CORE.STMT_ENTRY.OUTSTANDING_BAL -&gt; PG_BRONZE.T24CORE_STMT_ENTRY.OUTSTANDING_BAL</t>
        </is>
      </c>
    </row>
    <row r="310" ht="14.25" customHeight="1" s="335">
      <c r="A310" s="412">
        <f>B310&amp;C310&amp;D310</f>
        <v/>
      </c>
      <c r="B310" s="412" t="inlineStr">
        <is>
          <t>T24CORE</t>
        </is>
      </c>
      <c r="C310" s="412" t="inlineStr">
        <is>
          <t>STMT_ENTRY</t>
        </is>
      </c>
      <c r="D310" s="412" t="inlineStr">
        <is>
          <t>OVERRIDE</t>
        </is>
      </c>
      <c r="E310" s="412" t="inlineStr">
        <is>
          <t>Cờ cảnh báo</t>
        </is>
      </c>
      <c r="F310" s="410" t="inlineStr">
        <is>
          <t>X</t>
        </is>
      </c>
      <c r="G310" s="412" t="inlineStr">
        <is>
          <t>Posting Entry</t>
        </is>
      </c>
      <c r="H310" s="412" t="inlineStr">
        <is>
          <t>Override Flag</t>
        </is>
      </c>
      <c r="I310" s="412" t="inlineStr">
        <is>
          <t>Map 1:1 từ T24CORE.STMT_ENTRY.OVERRIDE sang PG_BRONZE.T24CORE_STMT_ENTRY.OVERRIDE</t>
        </is>
      </c>
      <c r="J310" s="410" t="inlineStr">
        <is>
          <t>2025-11-26</t>
        </is>
      </c>
      <c r="K310" s="385" t="inlineStr">
        <is>
          <t>1:1</t>
        </is>
      </c>
      <c r="L310" s="385" t="inlineStr">
        <is>
          <t>PG_BRONZE</t>
        </is>
      </c>
      <c r="M310" s="386" t="inlineStr">
        <is>
          <t>T24CORE_STMT_ENTRY</t>
        </is>
      </c>
      <c r="N310" s="386" t="inlineStr">
        <is>
          <t>OVERRIDE</t>
        </is>
      </c>
      <c r="O310" s="385" t="inlineStr">
        <is>
          <t>VARCHAR2</t>
        </is>
      </c>
      <c r="P310" s="420" t="n">
        <v>100</v>
      </c>
      <c r="Q310" s="386">
        <f>"COMMENT ON COLUMN "&amp;L310&amp;"."&amp;M310&amp;"."&amp;N310&amp;" IS '"&amp;E310&amp;"';"</f>
        <v/>
      </c>
      <c r="R310" s="414" t="inlineStr">
        <is>
          <t>Map 1:1 nguyên bản từ T24CORE.STMT_ENTRY.OVERRIDE -&gt; PG_BRONZE.T24CORE_STMT_ENTRY.OVERRIDE</t>
        </is>
      </c>
    </row>
    <row r="311" ht="14.25" customHeight="1" s="335">
      <c r="A311" s="412">
        <f>B311&amp;C311&amp;D311</f>
        <v/>
      </c>
      <c r="B311" s="412" t="inlineStr">
        <is>
          <t>T24CORE</t>
        </is>
      </c>
      <c r="C311" s="412" t="inlineStr">
        <is>
          <t>STMT_ENTRY</t>
        </is>
      </c>
      <c r="D311" s="412" t="inlineStr">
        <is>
          <t>PROCESS_FORWARD</t>
        </is>
      </c>
      <c r="E311" s="412" t="inlineStr">
        <is>
          <t>Cờ xử lý chuyển tiếp bút toán hạch toán (Process Forward)</t>
        </is>
      </c>
      <c r="F311" s="410" t="inlineStr">
        <is>
          <t>X</t>
        </is>
      </c>
      <c r="G311" s="412" t="inlineStr">
        <is>
          <t>Posting Entry</t>
        </is>
      </c>
      <c r="H311" s="412" t="inlineStr">
        <is>
          <t>Process Forward</t>
        </is>
      </c>
      <c r="I311" s="412" t="inlineStr">
        <is>
          <t>Map 1:1 từ T24CORE.STMT_ENTRY.PROCESS_FORWARD sang PG_BRONZE.T24CORE_STMT_ENTRY.PROCESS_FORWARD</t>
        </is>
      </c>
      <c r="J311" s="410" t="inlineStr">
        <is>
          <t>2025-11-26</t>
        </is>
      </c>
      <c r="K311" s="385" t="inlineStr">
        <is>
          <t>1:1</t>
        </is>
      </c>
      <c r="L311" s="385" t="inlineStr">
        <is>
          <t>PG_BRONZE</t>
        </is>
      </c>
      <c r="M311" s="386" t="inlineStr">
        <is>
          <t>T24CORE_STMT_ENTRY</t>
        </is>
      </c>
      <c r="N311" s="386" t="inlineStr">
        <is>
          <t>PROCESS_FORWARD</t>
        </is>
      </c>
      <c r="O311" s="385" t="inlineStr">
        <is>
          <t>VARCHAR2</t>
        </is>
      </c>
      <c r="P311" s="420" t="n">
        <v>100</v>
      </c>
      <c r="Q311" s="386">
        <f>"COMMENT ON COLUMN "&amp;L311&amp;"."&amp;M311&amp;"."&amp;N311&amp;" IS '"&amp;E311&amp;"';"</f>
        <v/>
      </c>
      <c r="R311" s="414" t="inlineStr">
        <is>
          <t>Map 1:1 nguyên bản từ T24CORE.STMT_ENTRY.PROCESS_FORWARD -&gt; PG_BRONZE.T24CORE_STMT_ENTRY.PROCESS_FORWARD</t>
        </is>
      </c>
    </row>
    <row r="312" ht="14.25" customHeight="1" s="335">
      <c r="A312" s="412">
        <f>B312&amp;C312&amp;D312</f>
        <v/>
      </c>
      <c r="B312" s="412" t="inlineStr">
        <is>
          <t>T24CORE</t>
        </is>
      </c>
      <c r="C312" s="412" t="inlineStr">
        <is>
          <t>STMT_ENTRY</t>
        </is>
      </c>
      <c r="D312" s="412" t="inlineStr">
        <is>
          <t>RECORD_STATUS</t>
        </is>
      </c>
      <c r="E312" s="412" t="inlineStr">
        <is>
          <t>Trạng Thái bản ghi</t>
        </is>
      </c>
      <c r="F312" s="410" t="inlineStr">
        <is>
          <t>X</t>
        </is>
      </c>
      <c r="G312" s="412" t="inlineStr">
        <is>
          <t>Posting Entry</t>
        </is>
      </c>
      <c r="H312" s="412" t="inlineStr">
        <is>
          <t>Record Status</t>
        </is>
      </c>
      <c r="I312" s="412" t="inlineStr">
        <is>
          <t>Map 1:1 từ T24CORE.STMT_ENTRY.RECORD_STATUS sang PG_BRONZE.T24CORE_STMT_ENTRY.RECORD_STATUS</t>
        </is>
      </c>
      <c r="J312" s="410" t="inlineStr">
        <is>
          <t>2025-11-26</t>
        </is>
      </c>
      <c r="K312" s="385" t="inlineStr">
        <is>
          <t>1:1</t>
        </is>
      </c>
      <c r="L312" s="385" t="inlineStr">
        <is>
          <t>PG_BRONZE</t>
        </is>
      </c>
      <c r="M312" s="386" t="inlineStr">
        <is>
          <t>T24CORE_STMT_ENTRY</t>
        </is>
      </c>
      <c r="N312" s="386" t="inlineStr">
        <is>
          <t>RECORD_STATUS</t>
        </is>
      </c>
      <c r="O312" s="385" t="inlineStr">
        <is>
          <t>VARCHAR2</t>
        </is>
      </c>
      <c r="P312" s="420" t="n">
        <v>100</v>
      </c>
      <c r="Q312" s="386">
        <f>"COMMENT ON COLUMN "&amp;L312&amp;"."&amp;M312&amp;"."&amp;N312&amp;" IS '"&amp;E312&amp;"';"</f>
        <v/>
      </c>
      <c r="R312" s="414" t="inlineStr">
        <is>
          <t>Map 1:1 nguyên bản từ T24CORE.STMT_ENTRY.RECORD_STATUS -&gt; PG_BRONZE.T24CORE_STMT_ENTRY.RECORD_STATUS</t>
        </is>
      </c>
    </row>
    <row r="313" ht="14.25" customHeight="1" s="335">
      <c r="A313" s="412">
        <f>B313&amp;C313&amp;D313</f>
        <v/>
      </c>
      <c r="B313" s="412" t="inlineStr">
        <is>
          <t>T24CORE</t>
        </is>
      </c>
      <c r="C313" s="412" t="inlineStr">
        <is>
          <t>STMT_ENTRY</t>
        </is>
      </c>
      <c r="D313" s="412" t="inlineStr">
        <is>
          <t>REPAYMENT_AMT</t>
        </is>
      </c>
      <c r="E313" s="412" t="inlineStr">
        <is>
          <t>Số tiền thu nợ</t>
        </is>
      </c>
      <c r="F313" s="410" t="inlineStr">
        <is>
          <t>X</t>
        </is>
      </c>
      <c r="G313" s="412" t="inlineStr">
        <is>
          <t>Posting Entry</t>
        </is>
      </c>
      <c r="H313" s="412" t="inlineStr">
        <is>
          <t>Repayment Amount</t>
        </is>
      </c>
      <c r="I313" s="412" t="inlineStr">
        <is>
          <t>Map 1:1 từ T24CORE.STMT_ENTRY.REPAYMENT_AMT sang PG_BRONZE.T24CORE_STMT_ENTRY.REPAYMENT_AMT</t>
        </is>
      </c>
      <c r="J313" s="410" t="inlineStr">
        <is>
          <t>2025-11-26</t>
        </is>
      </c>
      <c r="K313" s="385" t="inlineStr">
        <is>
          <t>1:1</t>
        </is>
      </c>
      <c r="L313" s="385" t="inlineStr">
        <is>
          <t>PG_BRONZE</t>
        </is>
      </c>
      <c r="M313" s="386" t="inlineStr">
        <is>
          <t>T24CORE_STMT_ENTRY</t>
        </is>
      </c>
      <c r="N313" s="386" t="inlineStr">
        <is>
          <t>REPAYMENT_AMT</t>
        </is>
      </c>
      <c r="O313" s="385" t="inlineStr">
        <is>
          <t>NUMBER</t>
        </is>
      </c>
      <c r="P313" s="420" t="n">
        <v>25.5</v>
      </c>
      <c r="Q313" s="386">
        <f>"COMMENT ON COLUMN "&amp;L313&amp;"."&amp;M313&amp;"."&amp;N313&amp;" IS '"&amp;E313&amp;"';"</f>
        <v/>
      </c>
      <c r="R313" s="414" t="inlineStr">
        <is>
          <t>Map 1:1 nguyên bản từ T24CORE.STMT_ENTRY.REPAYMENT_AMT -&gt; PG_BRONZE.T24CORE_STMT_ENTRY.REPAYMENT_AMT</t>
        </is>
      </c>
    </row>
    <row r="314" ht="14.25" customHeight="1" s="335">
      <c r="A314" s="412">
        <f>B314&amp;C314&amp;D314</f>
        <v/>
      </c>
      <c r="B314" s="412" t="inlineStr">
        <is>
          <t>T24CORE</t>
        </is>
      </c>
      <c r="C314" s="412" t="inlineStr">
        <is>
          <t>STMT_ENTRY</t>
        </is>
      </c>
      <c r="D314" s="412" t="inlineStr">
        <is>
          <t>REPAYMENT_DATE</t>
        </is>
      </c>
      <c r="E314" s="412" t="inlineStr">
        <is>
          <t>Ngày thu</t>
        </is>
      </c>
      <c r="F314" s="410" t="inlineStr">
        <is>
          <t>X</t>
        </is>
      </c>
      <c r="G314" s="412" t="inlineStr">
        <is>
          <t>Posting Entry</t>
        </is>
      </c>
      <c r="H314" s="412" t="inlineStr">
        <is>
          <t>Repayment Date</t>
        </is>
      </c>
      <c r="I314" s="412" t="inlineStr">
        <is>
          <t>Map 1:1 từ T24CORE.STMT_ENTRY.REPAYMENT_DATE sang PG_BRONZE.T24CORE_STMT_ENTRY.REPAYMENT_DATE</t>
        </is>
      </c>
      <c r="J314" s="410" t="inlineStr">
        <is>
          <t>2025-11-26</t>
        </is>
      </c>
      <c r="K314" s="385" t="inlineStr">
        <is>
          <t>1:1</t>
        </is>
      </c>
      <c r="L314" s="385" t="inlineStr">
        <is>
          <t>PG_BRONZE</t>
        </is>
      </c>
      <c r="M314" s="386" t="inlineStr">
        <is>
          <t>T24CORE_STMT_ENTRY</t>
        </is>
      </c>
      <c r="N314" s="386" t="inlineStr">
        <is>
          <t>REPAYMENT_DATE</t>
        </is>
      </c>
      <c r="O314" s="385" t="inlineStr">
        <is>
          <t>DATE</t>
        </is>
      </c>
      <c r="P314" s="420" t="n">
        <v>8</v>
      </c>
      <c r="Q314" s="386">
        <f>"COMMENT ON COLUMN "&amp;L314&amp;"."&amp;M314&amp;"."&amp;N314&amp;" IS '"&amp;E314&amp;"';"</f>
        <v/>
      </c>
      <c r="R314" s="414" t="inlineStr">
        <is>
          <t>Map 1:1 nguyên bản từ T24CORE.STMT_ENTRY.REPAYMENT_DATE -&gt; PG_BRONZE.T24CORE_STMT_ENTRY.REPAYMENT_DATE</t>
        </is>
      </c>
    </row>
    <row r="315" ht="14.25" customHeight="1" s="335">
      <c r="A315" s="412">
        <f>B315&amp;C315&amp;D315</f>
        <v/>
      </c>
      <c r="B315" s="412" t="inlineStr">
        <is>
          <t>T24CORE</t>
        </is>
      </c>
      <c r="C315" s="412" t="inlineStr">
        <is>
          <t>STMT_ENTRY</t>
        </is>
      </c>
      <c r="D315" s="412" t="inlineStr">
        <is>
          <t>REPAYMENT_TYPE</t>
        </is>
      </c>
      <c r="E315" s="412" t="inlineStr">
        <is>
          <t>Loại thu nợ</t>
        </is>
      </c>
      <c r="F315" s="410" t="inlineStr">
        <is>
          <t>X</t>
        </is>
      </c>
      <c r="G315" s="412" t="inlineStr">
        <is>
          <t>Posting Entry</t>
        </is>
      </c>
      <c r="H315" s="412" t="inlineStr">
        <is>
          <t>Repayment Type</t>
        </is>
      </c>
      <c r="I315" s="412" t="inlineStr">
        <is>
          <t>Map 1:1 từ T24CORE.STMT_ENTRY.REPAYMENT_TYPE sang PG_BRONZE.T24CORE_STMT_ENTRY.REPAYMENT_TYPE</t>
        </is>
      </c>
      <c r="J315" s="410" t="inlineStr">
        <is>
          <t>2025-11-26</t>
        </is>
      </c>
      <c r="K315" s="385" t="inlineStr">
        <is>
          <t>1:1</t>
        </is>
      </c>
      <c r="L315" s="385" t="inlineStr">
        <is>
          <t>PG_BRONZE</t>
        </is>
      </c>
      <c r="M315" s="386" t="inlineStr">
        <is>
          <t>T24CORE_STMT_ENTRY</t>
        </is>
      </c>
      <c r="N315" s="386" t="inlineStr">
        <is>
          <t>REPAYMENT_TYPE</t>
        </is>
      </c>
      <c r="O315" s="385" t="inlineStr">
        <is>
          <t>VARCHAR2</t>
        </is>
      </c>
      <c r="P315" s="420" t="n">
        <v>100</v>
      </c>
      <c r="Q315" s="386">
        <f>"COMMENT ON COLUMN "&amp;L315&amp;"."&amp;M315&amp;"."&amp;N315&amp;" IS '"&amp;E315&amp;"';"</f>
        <v/>
      </c>
      <c r="R315" s="414" t="inlineStr">
        <is>
          <t>Map 1:1 nguyên bản từ T24CORE.STMT_ENTRY.REPAYMENT_TYPE -&gt; PG_BRONZE.T24CORE_STMT_ENTRY.REPAYMENT_TYPE</t>
        </is>
      </c>
    </row>
    <row r="316" ht="14.25" customHeight="1" s="335">
      <c r="A316" s="412">
        <f>B316&amp;C316&amp;D316</f>
        <v/>
      </c>
      <c r="B316" s="412" t="inlineStr">
        <is>
          <t>T24CORE</t>
        </is>
      </c>
      <c r="C316" s="412" t="inlineStr">
        <is>
          <t>STMT_ENTRY</t>
        </is>
      </c>
      <c r="D316" s="412" t="inlineStr">
        <is>
          <t>SUSPENSE_CATEGORY</t>
        </is>
      </c>
      <c r="E316" s="412" t="inlineStr">
        <is>
          <t>Mã Category phân loại bút toán bị treo</t>
        </is>
      </c>
      <c r="F316" s="410" t="inlineStr">
        <is>
          <t>X</t>
        </is>
      </c>
      <c r="G316" s="412" t="inlineStr">
        <is>
          <t>Posting Entry</t>
        </is>
      </c>
      <c r="H316" s="412" t="inlineStr">
        <is>
          <t>Suspense Category</t>
        </is>
      </c>
      <c r="I316" s="412" t="inlineStr">
        <is>
          <t>Map 1:1 từ T24CORE.STMT_ENTRY.SUSPENSE_CATEGORY sang PG_BRONZE.T24CORE_STMT_ENTRY.SUSPENSE_CATEGORY</t>
        </is>
      </c>
      <c r="J316" s="410" t="inlineStr">
        <is>
          <t>2025-11-26</t>
        </is>
      </c>
      <c r="K316" s="385" t="inlineStr">
        <is>
          <t>1:1</t>
        </is>
      </c>
      <c r="L316" s="385" t="inlineStr">
        <is>
          <t>PG_BRONZE</t>
        </is>
      </c>
      <c r="M316" s="386" t="inlineStr">
        <is>
          <t>T24CORE_STMT_ENTRY</t>
        </is>
      </c>
      <c r="N316" s="386" t="inlineStr">
        <is>
          <t>SUSPENSE_CATEGORY</t>
        </is>
      </c>
      <c r="O316" s="385" t="inlineStr">
        <is>
          <t>VARCHAR2</t>
        </is>
      </c>
      <c r="P316" s="420" t="n">
        <v>100</v>
      </c>
      <c r="Q316" s="386">
        <f>"COMMENT ON COLUMN "&amp;L316&amp;"."&amp;M316&amp;"."&amp;N316&amp;" IS '"&amp;E316&amp;"';"</f>
        <v/>
      </c>
      <c r="R316" s="414" t="inlineStr">
        <is>
          <t>Map 1:1 nguyên bản từ T24CORE.STMT_ENTRY.SUSPENSE_CATEGORY -&gt; PG_BRONZE.T24CORE_STMT_ENTRY.SUSPENSE_CATEGORY</t>
        </is>
      </c>
    </row>
    <row r="317" ht="14.25" customHeight="1" s="335">
      <c r="A317" s="412">
        <f>B317&amp;C317&amp;D317</f>
        <v/>
      </c>
      <c r="B317" s="412" t="inlineStr">
        <is>
          <t>T24CORE</t>
        </is>
      </c>
      <c r="C317" s="412" t="inlineStr">
        <is>
          <t>STMT_ENTRY</t>
        </is>
      </c>
      <c r="D317" s="412" t="inlineStr">
        <is>
          <t>SUSPNSE_VALUE_DATE</t>
        </is>
      </c>
      <c r="E317" s="412" t="inlineStr">
        <is>
          <t>Ngày bút toán treo</t>
        </is>
      </c>
      <c r="F317" s="410" t="inlineStr">
        <is>
          <t>X</t>
        </is>
      </c>
      <c r="G317" s="412" t="inlineStr">
        <is>
          <t>Posting Entry</t>
        </is>
      </c>
      <c r="H317" s="412" t="inlineStr">
        <is>
          <t>Suspense Value Date</t>
        </is>
      </c>
      <c r="I317" s="412" t="inlineStr">
        <is>
          <t>Map 1:1 từ T24CORE.STMT_ENTRY.SUSPNSE_VALUE_DATE sang PG_BRONZE.T24CORE_STMT_ENTRY.SUSPNSE_VALUE_DATE</t>
        </is>
      </c>
      <c r="J317" s="410" t="inlineStr">
        <is>
          <t>2025-11-26</t>
        </is>
      </c>
      <c r="K317" s="385" t="inlineStr">
        <is>
          <t>1:1</t>
        </is>
      </c>
      <c r="L317" s="385" t="inlineStr">
        <is>
          <t>PG_BRONZE</t>
        </is>
      </c>
      <c r="M317" s="386" t="inlineStr">
        <is>
          <t>T24CORE_STMT_ENTRY</t>
        </is>
      </c>
      <c r="N317" s="386" t="inlineStr">
        <is>
          <t>SUSPNSE_VALUE_DATE</t>
        </is>
      </c>
      <c r="O317" s="385" t="inlineStr">
        <is>
          <t>DATE</t>
        </is>
      </c>
      <c r="P317" s="420" t="n">
        <v>8</v>
      </c>
      <c r="Q317" s="386">
        <f>"COMMENT ON COLUMN "&amp;L317&amp;"."&amp;M317&amp;"."&amp;N317&amp;" IS '"&amp;E317&amp;"';"</f>
        <v/>
      </c>
      <c r="R317" s="414" t="inlineStr">
        <is>
          <t>Map 1:1 nguyên bản từ T24CORE.STMT_ENTRY.SUSPNSE_VALUE_DATE -&gt; PG_BRONZE.T24CORE_STMT_ENTRY.SUSPNSE_VALUE_DATE</t>
        </is>
      </c>
    </row>
    <row r="318" ht="14.25" customHeight="1" s="335">
      <c r="A318" s="412">
        <f>B318&amp;C318&amp;D318</f>
        <v/>
      </c>
      <c r="B318" s="412" t="inlineStr">
        <is>
          <t>SMY</t>
        </is>
      </c>
      <c r="C318" s="412" t="inlineStr">
        <is>
          <t>STMT_DAILY</t>
        </is>
      </c>
      <c r="D318" s="412" t="inlineStr">
        <is>
          <t>ACCOUNT</t>
        </is>
      </c>
      <c r="E318" s="412" t="inlineStr">
        <is>
          <t>Trường ACCOUNT của bảng nguồn SMY.STMT_DAILY</t>
        </is>
      </c>
      <c r="F318" s="410" t="inlineStr">
        <is>
          <t>X</t>
        </is>
      </c>
      <c r="G318" s="412" t="inlineStr">
        <is>
          <t>CUST_INFO_DAILY</t>
        </is>
      </c>
      <c r="H318" s="412" t="inlineStr">
        <is>
          <t>Account</t>
        </is>
      </c>
      <c r="I318" s="412" t="inlineStr">
        <is>
          <t>Tham gia bảng CUST_INFO_DAILY</t>
        </is>
      </c>
      <c r="J318" s="410" t="inlineStr">
        <is>
          <t>2025-11-26</t>
        </is>
      </c>
      <c r="K318" s="385" t="inlineStr">
        <is>
          <t>1:1</t>
        </is>
      </c>
      <c r="L318" s="385" t="inlineStr">
        <is>
          <t>PG_BRONZE</t>
        </is>
      </c>
      <c r="M318" s="386" t="inlineStr">
        <is>
          <t>SMY_STMT_DAILY</t>
        </is>
      </c>
      <c r="N318" s="386" t="inlineStr">
        <is>
          <t>ACCOUNT</t>
        </is>
      </c>
      <c r="O318" s="385" t="inlineStr">
        <is>
          <t>VARCHAR2</t>
        </is>
      </c>
      <c r="P318" s="420" t="n">
        <v>100</v>
      </c>
      <c r="Q318" s="386">
        <f>"COMMENT ON COLUMN "&amp;L318&amp;"."&amp;M318&amp;"."&amp;N318&amp;" IS '"&amp;E318&amp;"';"</f>
        <v/>
      </c>
      <c r="R318" s="414" t="inlineStr">
        <is>
          <t>Map 1:1 nguyên bản từ SMY.STMT_DAILY.ACCOUNT -&gt; PG_BRONZE.SMY_STMT_DAILY.ACCOUNT</t>
        </is>
      </c>
    </row>
    <row r="319" ht="14.25" customHeight="1" s="335">
      <c r="A319" s="412">
        <f>B319&amp;C319&amp;D319</f>
        <v/>
      </c>
      <c r="B319" s="412" t="inlineStr">
        <is>
          <t>SMY</t>
        </is>
      </c>
      <c r="C319" s="412" t="inlineStr">
        <is>
          <t>STMT_DAILY</t>
        </is>
      </c>
      <c r="D319" s="412" t="inlineStr">
        <is>
          <t>ACCOUNT_ID</t>
        </is>
      </c>
      <c r="E319" s="412" t="inlineStr">
        <is>
          <t>Trường ACCOUNT_ID của bảng nguồn SMY.STMT_DAILY</t>
        </is>
      </c>
      <c r="F319" s="410" t="inlineStr">
        <is>
          <t>X</t>
        </is>
      </c>
      <c r="G319" s="412" t="inlineStr">
        <is>
          <t>CUST_INFO_DAILY</t>
        </is>
      </c>
      <c r="H319" s="412" t="inlineStr">
        <is>
          <t>Account Id</t>
        </is>
      </c>
      <c r="I319" s="412" t="inlineStr">
        <is>
          <t>Tham gia bảng CUST_INFO_DAILY</t>
        </is>
      </c>
      <c r="J319" s="410" t="inlineStr">
        <is>
          <t>2025-11-26</t>
        </is>
      </c>
      <c r="K319" s="385" t="inlineStr">
        <is>
          <t>1:1</t>
        </is>
      </c>
      <c r="L319" s="385" t="inlineStr">
        <is>
          <t>PG_BRONZE</t>
        </is>
      </c>
      <c r="M319" s="386" t="inlineStr">
        <is>
          <t>SMY_STMT_DAILY</t>
        </is>
      </c>
      <c r="N319" s="386" t="inlineStr">
        <is>
          <t>ACCOUNT_ID</t>
        </is>
      </c>
      <c r="O319" s="385" t="inlineStr">
        <is>
          <t>VARCHAR2</t>
        </is>
      </c>
      <c r="P319" s="420" t="n">
        <v>100</v>
      </c>
      <c r="Q319" s="386">
        <f>"COMMENT ON COLUMN "&amp;L319&amp;"."&amp;M319&amp;"."&amp;N319&amp;" IS '"&amp;E319&amp;"';"</f>
        <v/>
      </c>
      <c r="R319" s="414" t="inlineStr">
        <is>
          <t>Map 1:1 nguyên bản từ SMY.STMT_DAILY.ACCOUNT_ID -&gt; PG_BRONZE.SMY_STMT_DAILY.ACCOUNT_ID</t>
        </is>
      </c>
    </row>
    <row r="320" ht="14.25" customHeight="1" s="335">
      <c r="A320" s="412">
        <f>B320&amp;C320&amp;D320</f>
        <v/>
      </c>
      <c r="B320" s="412" t="inlineStr">
        <is>
          <t>SMY</t>
        </is>
      </c>
      <c r="C320" s="412" t="inlineStr">
        <is>
          <t>STMT_DAILY</t>
        </is>
      </c>
      <c r="D320" s="412" t="inlineStr">
        <is>
          <t>ACCOUNT_NUM</t>
        </is>
      </c>
      <c r="E320" s="412" t="inlineStr">
        <is>
          <t>Trường ACCOUNT_NUM của bảng nguồn SMY.STMT_DAILY</t>
        </is>
      </c>
      <c r="F320" s="410" t="inlineStr">
        <is>
          <t>X</t>
        </is>
      </c>
      <c r="G320" s="412" t="inlineStr">
        <is>
          <t>CUST_INFO_DAILY</t>
        </is>
      </c>
      <c r="H320" s="412" t="inlineStr">
        <is>
          <t>Account Num</t>
        </is>
      </c>
      <c r="I320" s="412" t="inlineStr">
        <is>
          <t>Tham gia bảng CUST_INFO_DAILY</t>
        </is>
      </c>
      <c r="J320" s="410" t="inlineStr">
        <is>
          <t>2025-11-26</t>
        </is>
      </c>
      <c r="K320" s="385" t="inlineStr">
        <is>
          <t>1:1</t>
        </is>
      </c>
      <c r="L320" s="385" t="inlineStr">
        <is>
          <t>PG_BRONZE</t>
        </is>
      </c>
      <c r="M320" s="386" t="inlineStr">
        <is>
          <t>SMY_STMT_DAILY</t>
        </is>
      </c>
      <c r="N320" s="386" t="inlineStr">
        <is>
          <t>ACCOUNT_NUM</t>
        </is>
      </c>
      <c r="O320" s="385" t="inlineStr">
        <is>
          <t>VARCHAR2</t>
        </is>
      </c>
      <c r="P320" s="420" t="n">
        <v>100</v>
      </c>
      <c r="Q320" s="386">
        <f>"COMMENT ON COLUMN "&amp;L320&amp;"."&amp;M320&amp;"."&amp;N320&amp;" IS '"&amp;E320&amp;"';"</f>
        <v/>
      </c>
      <c r="R320" s="414" t="inlineStr">
        <is>
          <t>Map 1:1 nguyên bản từ SMY.STMT_DAILY.ACCOUNT_NUM -&gt; PG_BRONZE.SMY_STMT_DAILY.ACCOUNT_NUM</t>
        </is>
      </c>
    </row>
    <row r="321" ht="14.25" customHeight="1" s="335">
      <c r="A321" s="412">
        <f>B321&amp;C321&amp;D321</f>
        <v/>
      </c>
      <c r="B321" s="412" t="inlineStr">
        <is>
          <t>SMY</t>
        </is>
      </c>
      <c r="C321" s="412" t="inlineStr">
        <is>
          <t>STMT_DAILY</t>
        </is>
      </c>
      <c r="D321" s="412" t="inlineStr">
        <is>
          <t>ACCOUNT_NUMBER</t>
        </is>
      </c>
      <c r="E321" s="412" t="inlineStr">
        <is>
          <t>Số tài khoản liên quan</t>
        </is>
      </c>
      <c r="F321" s="410" t="inlineStr">
        <is>
          <t>X</t>
        </is>
      </c>
      <c r="G321" s="412" t="inlineStr">
        <is>
          <t>CUST_INFO_DAILY</t>
        </is>
      </c>
      <c r="H321" s="412" t="inlineStr">
        <is>
          <t>Account Number</t>
        </is>
      </c>
      <c r="I321" s="412" t="inlineStr">
        <is>
          <t>Tham gia bảng CUST_INFO_DAILY</t>
        </is>
      </c>
      <c r="J321" s="410" t="inlineStr">
        <is>
          <t>2025-11-26</t>
        </is>
      </c>
      <c r="K321" s="385" t="inlineStr">
        <is>
          <t>1:1</t>
        </is>
      </c>
      <c r="L321" s="385" t="inlineStr">
        <is>
          <t>PG_BRONZE</t>
        </is>
      </c>
      <c r="M321" s="386" t="inlineStr">
        <is>
          <t>SMY_STMT_DAILY</t>
        </is>
      </c>
      <c r="N321" s="386" t="inlineStr">
        <is>
          <t>ACCOUNT_NUMBER</t>
        </is>
      </c>
      <c r="O321" s="385" t="inlineStr">
        <is>
          <t>VARCHAR2</t>
        </is>
      </c>
      <c r="P321" s="420" t="n">
        <v>100</v>
      </c>
      <c r="Q321" s="386">
        <f>"COMMENT ON COLUMN "&amp;L321&amp;"."&amp;M321&amp;"."&amp;N321&amp;" IS '"&amp;E321&amp;"';"</f>
        <v/>
      </c>
      <c r="R321" s="414" t="inlineStr">
        <is>
          <t>Map 1:1 nguyên bản từ SMY.STMT_DAILY.ACCOUNT_NUMBER -&gt; PG_BRONZE.SMY_STMT_DAILY.ACCOUNT_NUMBER</t>
        </is>
      </c>
    </row>
    <row r="322" ht="14.25" customHeight="1" s="335">
      <c r="A322" s="412">
        <f>B322&amp;C322&amp;D322</f>
        <v/>
      </c>
      <c r="B322" s="412" t="inlineStr">
        <is>
          <t>SMY</t>
        </is>
      </c>
      <c r="C322" s="412" t="inlineStr">
        <is>
          <t>STMT_DAILY</t>
        </is>
      </c>
      <c r="D322" s="412" t="inlineStr">
        <is>
          <t>ACCOUNTING_DATE</t>
        </is>
      </c>
      <c r="E322" s="412" t="inlineStr">
        <is>
          <t>Ngày hạch toán</t>
        </is>
      </c>
      <c r="F322" s="410" t="inlineStr">
        <is>
          <t>X</t>
        </is>
      </c>
      <c r="G322" s="412" t="inlineStr">
        <is>
          <t>CUST_INFO_DAILY</t>
        </is>
      </c>
      <c r="H322" s="412" t="inlineStr">
        <is>
          <t>Accounting Date</t>
        </is>
      </c>
      <c r="I322" s="412" t="inlineStr">
        <is>
          <t>Tham gia bảng CUST_INFO_DAILY</t>
        </is>
      </c>
      <c r="J322" s="410" t="inlineStr">
        <is>
          <t>2025-11-26</t>
        </is>
      </c>
      <c r="K322" s="385" t="inlineStr">
        <is>
          <t>1:1</t>
        </is>
      </c>
      <c r="L322" s="385" t="inlineStr">
        <is>
          <t>PG_BRONZE</t>
        </is>
      </c>
      <c r="M322" s="386" t="inlineStr">
        <is>
          <t>SMY_STMT_DAILY</t>
        </is>
      </c>
      <c r="N322" s="386" t="inlineStr">
        <is>
          <t>ACCOUNTING_DATE</t>
        </is>
      </c>
      <c r="O322" s="385" t="inlineStr">
        <is>
          <t>DATE</t>
        </is>
      </c>
      <c r="P322" s="420" t="n">
        <v>8</v>
      </c>
      <c r="Q322" s="386">
        <f>"COMMENT ON COLUMN "&amp;L322&amp;"."&amp;M322&amp;"."&amp;N322&amp;" IS '"&amp;E322&amp;"';"</f>
        <v/>
      </c>
      <c r="R322" s="414" t="inlineStr">
        <is>
          <t>Map 1:1 nguyên bản từ SMY.STMT_DAILY.ACCOUNTING_DATE -&gt; PG_BRONZE.SMY_STMT_DAILY.ACCOUNTING_DATE</t>
        </is>
      </c>
    </row>
    <row r="323" ht="14.25" customHeight="1" s="335">
      <c r="A323" s="412">
        <f>B323&amp;C323&amp;D323</f>
        <v/>
      </c>
      <c r="B323" s="412" t="inlineStr">
        <is>
          <t>SMY</t>
        </is>
      </c>
      <c r="C323" s="412" t="inlineStr">
        <is>
          <t>STMT_DAILY</t>
        </is>
      </c>
      <c r="D323" s="412" t="inlineStr">
        <is>
          <t>ACCT_ID</t>
        </is>
      </c>
      <c r="E323" s="412" t="inlineStr">
        <is>
          <t>Maã định danh tài khoản</t>
        </is>
      </c>
      <c r="F323" s="410" t="inlineStr">
        <is>
          <t>X</t>
        </is>
      </c>
      <c r="G323" s="412" t="inlineStr">
        <is>
          <t>CUST_INFO_DAILY</t>
        </is>
      </c>
      <c r="H323" s="412" t="inlineStr">
        <is>
          <t>Account Id</t>
        </is>
      </c>
      <c r="I323" s="412" t="inlineStr">
        <is>
          <t>Tham gia bảng CUST_INFO_DAILY</t>
        </is>
      </c>
      <c r="J323" s="410" t="inlineStr">
        <is>
          <t>2025-11-26</t>
        </is>
      </c>
      <c r="K323" s="385" t="inlineStr">
        <is>
          <t>1:1</t>
        </is>
      </c>
      <c r="L323" s="385" t="inlineStr">
        <is>
          <t>PG_BRONZE</t>
        </is>
      </c>
      <c r="M323" s="386" t="inlineStr">
        <is>
          <t>SMY_STMT_DAILY</t>
        </is>
      </c>
      <c r="N323" s="386" t="inlineStr">
        <is>
          <t>ACCT_ID</t>
        </is>
      </c>
      <c r="O323" s="385" t="inlineStr">
        <is>
          <t>VARCHAR2</t>
        </is>
      </c>
      <c r="P323" s="420" t="n">
        <v>100</v>
      </c>
      <c r="Q323" s="386">
        <f>"COMMENT ON COLUMN "&amp;L323&amp;"."&amp;M323&amp;"."&amp;N323&amp;" IS '"&amp;E323&amp;"';"</f>
        <v/>
      </c>
      <c r="R323" s="414" t="inlineStr">
        <is>
          <t>Map 1:1 nguyên bản từ SMY.STMT_DAILY.ACCT_ID -&gt; PG_BRONZE.SMY_STMT_DAILY.ACCT_ID</t>
        </is>
      </c>
    </row>
    <row r="324" ht="14.25" customHeight="1" s="335">
      <c r="A324" s="412">
        <f>B324&amp;C324&amp;D324</f>
        <v/>
      </c>
      <c r="B324" s="412" t="inlineStr">
        <is>
          <t>SMY</t>
        </is>
      </c>
      <c r="C324" s="412" t="inlineStr">
        <is>
          <t>STMT_DAILY</t>
        </is>
      </c>
      <c r="D324" s="412" t="inlineStr">
        <is>
          <t>AMOUNT_FCY</t>
        </is>
      </c>
      <c r="E324" s="412" t="inlineStr">
        <is>
          <t>Dư nợ nguyên tệ</t>
        </is>
      </c>
      <c r="F324" s="410" t="inlineStr">
        <is>
          <t>X</t>
        </is>
      </c>
      <c r="G324" s="412" t="inlineStr">
        <is>
          <t>CUST_INFO_DAILY</t>
        </is>
      </c>
      <c r="H324" s="412" t="inlineStr">
        <is>
          <t>Posting Entry Amount FCY</t>
        </is>
      </c>
      <c r="I324" s="412" t="inlineStr">
        <is>
          <t>Tham gia bảng CUST_INFO_DAILY</t>
        </is>
      </c>
      <c r="J324" s="410" t="inlineStr">
        <is>
          <t>2025-11-26</t>
        </is>
      </c>
      <c r="K324" s="385" t="inlineStr">
        <is>
          <t>1:1</t>
        </is>
      </c>
      <c r="L324" s="385" t="inlineStr">
        <is>
          <t>PG_BRONZE</t>
        </is>
      </c>
      <c r="M324" s="386" t="inlineStr">
        <is>
          <t>SMY_STMT_DAILY</t>
        </is>
      </c>
      <c r="N324" s="386" t="inlineStr">
        <is>
          <t>AMOUNT_FCY</t>
        </is>
      </c>
      <c r="O324" s="385" t="inlineStr">
        <is>
          <t>NUMBER</t>
        </is>
      </c>
      <c r="P324" s="420" t="n">
        <v>25.5</v>
      </c>
      <c r="Q324" s="386">
        <f>"COMMENT ON COLUMN "&amp;L324&amp;"."&amp;M324&amp;"."&amp;N324&amp;" IS '"&amp;E324&amp;"';"</f>
        <v/>
      </c>
      <c r="R324" s="414" t="inlineStr">
        <is>
          <t>Map 1:1 nguyên bản từ SMY.STMT_DAILY.AMOUNT_FCY -&gt; PG_BRONZE.SMY_STMT_DAILY.AMOUNT_FCY</t>
        </is>
      </c>
    </row>
    <row r="325" ht="14.25" customHeight="1" s="335">
      <c r="A325" s="412">
        <f>B325&amp;C325&amp;D325</f>
        <v/>
      </c>
      <c r="B325" s="412" t="inlineStr">
        <is>
          <t>SMY</t>
        </is>
      </c>
      <c r="C325" s="412" t="inlineStr">
        <is>
          <t>STMT_DAILY</t>
        </is>
      </c>
      <c r="D325" s="412" t="inlineStr">
        <is>
          <t>AMOUNT_LCY</t>
        </is>
      </c>
      <c r="E325" s="412" t="inlineStr">
        <is>
          <t>Dư nợ quy đổi</t>
        </is>
      </c>
      <c r="F325" s="410" t="inlineStr">
        <is>
          <t>X</t>
        </is>
      </c>
      <c r="G325" s="412" t="inlineStr">
        <is>
          <t>CUST_INFO_DAILY</t>
        </is>
      </c>
      <c r="H325" s="412" t="inlineStr">
        <is>
          <t>Posting Entry Amount LCY</t>
        </is>
      </c>
      <c r="I325" s="412" t="inlineStr">
        <is>
          <t>Tham gia bảng CUST_INFO_DAILY</t>
        </is>
      </c>
      <c r="J325" s="410" t="inlineStr">
        <is>
          <t>2025-11-26</t>
        </is>
      </c>
      <c r="K325" s="385" t="inlineStr">
        <is>
          <t>1:1</t>
        </is>
      </c>
      <c r="L325" s="385" t="inlineStr">
        <is>
          <t>PG_BRONZE</t>
        </is>
      </c>
      <c r="M325" s="386" t="inlineStr">
        <is>
          <t>SMY_STMT_DAILY</t>
        </is>
      </c>
      <c r="N325" s="386" t="inlineStr">
        <is>
          <t>AMOUNT_LCY</t>
        </is>
      </c>
      <c r="O325" s="385" t="inlineStr">
        <is>
          <t>NUMBER</t>
        </is>
      </c>
      <c r="P325" s="420" t="n">
        <v>25.5</v>
      </c>
      <c r="Q325" s="386">
        <f>"COMMENT ON COLUMN "&amp;L325&amp;"."&amp;M325&amp;"."&amp;N325&amp;" IS '"&amp;E325&amp;"';"</f>
        <v/>
      </c>
      <c r="R325" s="414" t="inlineStr">
        <is>
          <t>Map 1:1 nguyên bản từ SMY.STMT_DAILY.AMOUNT_LCY -&gt; PG_BRONZE.SMY_STMT_DAILY.AMOUNT_LCY</t>
        </is>
      </c>
    </row>
    <row r="326" ht="14.25" customHeight="1" s="335">
      <c r="A326" s="412">
        <f>B326&amp;C326&amp;D326</f>
        <v/>
      </c>
      <c r="B326" s="412" t="inlineStr">
        <is>
          <t>SMY</t>
        </is>
      </c>
      <c r="C326" s="412" t="inlineStr">
        <is>
          <t>STMT_DAILY</t>
        </is>
      </c>
      <c r="D326" s="412" t="inlineStr">
        <is>
          <t>BALANCE_TYPE</t>
        </is>
      </c>
      <c r="E326" s="412" t="inlineStr">
        <is>
          <t>Loại bút toán</t>
        </is>
      </c>
      <c r="F326" s="410" t="inlineStr">
        <is>
          <t>X</t>
        </is>
      </c>
      <c r="G326" s="412" t="inlineStr">
        <is>
          <t>CUST_INFO_DAILY</t>
        </is>
      </c>
      <c r="H326" s="412" t="inlineStr">
        <is>
          <t>Balance Type</t>
        </is>
      </c>
      <c r="I326" s="412" t="inlineStr">
        <is>
          <t>Tham gia bảng CUST_INFO_DAILY</t>
        </is>
      </c>
      <c r="J326" s="410" t="inlineStr">
        <is>
          <t>2025-11-26</t>
        </is>
      </c>
      <c r="K326" s="385" t="inlineStr">
        <is>
          <t>1:1</t>
        </is>
      </c>
      <c r="L326" s="385" t="inlineStr">
        <is>
          <t>PG_BRONZE</t>
        </is>
      </c>
      <c r="M326" s="386" t="inlineStr">
        <is>
          <t>SMY_STMT_DAILY</t>
        </is>
      </c>
      <c r="N326" s="386" t="inlineStr">
        <is>
          <t>BALANCE_TYPE</t>
        </is>
      </c>
      <c r="O326" s="385" t="inlineStr">
        <is>
          <t>VARCHAR2</t>
        </is>
      </c>
      <c r="P326" s="420" t="n">
        <v>20</v>
      </c>
      <c r="Q326" s="386">
        <f>"COMMENT ON COLUMN "&amp;L326&amp;"."&amp;M326&amp;"."&amp;N326&amp;" IS '"&amp;E326&amp;"';"</f>
        <v/>
      </c>
      <c r="R326" s="414" t="inlineStr">
        <is>
          <t>Map 1:1 nguyên bản từ SMY.STMT_DAILY.BALANCE_TYPE -&gt; PG_BRONZE.SMY_STMT_DAILY.BALANCE_TYPE</t>
        </is>
      </c>
    </row>
    <row r="327" ht="14.25" customHeight="1" s="335">
      <c r="A327" s="412">
        <f>B327&amp;C327&amp;D327</f>
        <v/>
      </c>
      <c r="B327" s="412" t="inlineStr">
        <is>
          <t>SMY</t>
        </is>
      </c>
      <c r="C327" s="412" t="inlineStr">
        <is>
          <t>STMT_DAILY</t>
        </is>
      </c>
      <c r="D327" s="412" t="inlineStr">
        <is>
          <t>BOOKING_DATE</t>
        </is>
      </c>
      <c r="E327" s="412" t="inlineStr">
        <is>
          <t>Ngay but toan ghi nhan vao he thong</t>
        </is>
      </c>
      <c r="F327" s="410" t="inlineStr">
        <is>
          <t>X</t>
        </is>
      </c>
      <c r="G327" s="412" t="inlineStr">
        <is>
          <t>CUST_INFO_DAILY</t>
        </is>
      </c>
      <c r="H327" s="412" t="inlineStr">
        <is>
          <t>Posting Date</t>
        </is>
      </c>
      <c r="I327" s="412" t="inlineStr">
        <is>
          <t>Tham gia bảng CUST_INFO_DAILY</t>
        </is>
      </c>
      <c r="J327" s="410" t="inlineStr">
        <is>
          <t>2025-11-26</t>
        </is>
      </c>
      <c r="K327" s="385" t="inlineStr">
        <is>
          <t>1:1</t>
        </is>
      </c>
      <c r="L327" s="385" t="inlineStr">
        <is>
          <t>PG_BRONZE</t>
        </is>
      </c>
      <c r="M327" s="386" t="inlineStr">
        <is>
          <t>SMY_STMT_DAILY</t>
        </is>
      </c>
      <c r="N327" s="386" t="inlineStr">
        <is>
          <t>BOOKING_DATE</t>
        </is>
      </c>
      <c r="O327" s="385" t="inlineStr">
        <is>
          <t>DATE</t>
        </is>
      </c>
      <c r="P327" s="420" t="n">
        <v>8</v>
      </c>
      <c r="Q327" s="386">
        <f>"COMMENT ON COLUMN "&amp;L327&amp;"."&amp;M327&amp;"."&amp;N327&amp;" IS '"&amp;E327&amp;"';"</f>
        <v/>
      </c>
      <c r="R327" s="414" t="inlineStr">
        <is>
          <t>Map 1:1 nguyên bản từ SMY.STMT_DAILY.BOOKING_DATE -&gt; PG_BRONZE.SMY_STMT_DAILY.BOOKING_DATE</t>
        </is>
      </c>
    </row>
    <row r="328" ht="14.25" customHeight="1" s="335">
      <c r="A328" s="412">
        <f>B328&amp;C328&amp;D328</f>
        <v/>
      </c>
      <c r="B328" s="412" t="inlineStr">
        <is>
          <t>SMY</t>
        </is>
      </c>
      <c r="C328" s="412" t="inlineStr">
        <is>
          <t>STMT_DAILY</t>
        </is>
      </c>
      <c r="D328" s="412" t="inlineStr">
        <is>
          <t>CARD_NUMBER</t>
        </is>
      </c>
      <c r="E328" s="412" t="inlineStr">
        <is>
          <t>Số thẻ</t>
        </is>
      </c>
      <c r="F328" s="410" t="inlineStr">
        <is>
          <t>X</t>
        </is>
      </c>
      <c r="G328" s="412" t="inlineStr">
        <is>
          <t>CUST_INFO_DAILY</t>
        </is>
      </c>
      <c r="H328" s="412" t="inlineStr">
        <is>
          <t>Card Number</t>
        </is>
      </c>
      <c r="I328" s="412" t="inlineStr">
        <is>
          <t>Tham gia bảng CUST_INFO_DAILY</t>
        </is>
      </c>
      <c r="J328" s="410" t="inlineStr">
        <is>
          <t>2025-11-26</t>
        </is>
      </c>
      <c r="K328" s="385" t="inlineStr">
        <is>
          <t>1:1</t>
        </is>
      </c>
      <c r="L328" s="385" t="inlineStr">
        <is>
          <t>PG_BRONZE</t>
        </is>
      </c>
      <c r="M328" s="386" t="inlineStr">
        <is>
          <t>SMY_STMT_DAILY</t>
        </is>
      </c>
      <c r="N328" s="386" t="inlineStr">
        <is>
          <t>CARD_NUMBER</t>
        </is>
      </c>
      <c r="O328" s="385" t="inlineStr">
        <is>
          <t>VARCHAR2</t>
        </is>
      </c>
      <c r="P328" s="420" t="n">
        <v>100</v>
      </c>
      <c r="Q328" s="386">
        <f>"COMMENT ON COLUMN "&amp;L328&amp;"."&amp;M328&amp;"."&amp;N328&amp;" IS '"&amp;E328&amp;"';"</f>
        <v/>
      </c>
      <c r="R328" s="414" t="inlineStr">
        <is>
          <t>Map 1:1 nguyên bản từ SMY.STMT_DAILY.CARD_NUMBER -&gt; PG_BRONZE.SMY_STMT_DAILY.CARD_NUMBER</t>
        </is>
      </c>
    </row>
    <row r="329" ht="14.25" customHeight="1" s="335">
      <c r="A329" s="412">
        <f>B329&amp;C329&amp;D329</f>
        <v/>
      </c>
      <c r="B329" s="412" t="inlineStr">
        <is>
          <t>SMY</t>
        </is>
      </c>
      <c r="C329" s="412" t="inlineStr">
        <is>
          <t>STMT_DAILY</t>
        </is>
      </c>
      <c r="D329" s="412" t="inlineStr">
        <is>
          <t>CO_CODE</t>
        </is>
      </c>
      <c r="E329" s="412" t="inlineStr">
        <is>
          <t>Trường CO_CODE của bảng nguồn SMY.STMT_DAILY</t>
        </is>
      </c>
      <c r="F329" s="410" t="inlineStr">
        <is>
          <t>X</t>
        </is>
      </c>
      <c r="G329" s="412" t="inlineStr">
        <is>
          <t>CUST_INFO_DAILY</t>
        </is>
      </c>
      <c r="H329" s="412" t="inlineStr">
        <is>
          <t>Co Code</t>
        </is>
      </c>
      <c r="I329" s="412" t="inlineStr">
        <is>
          <t>Tham gia bảng CUST_INFO_DAILY</t>
        </is>
      </c>
      <c r="J329" s="410" t="inlineStr">
        <is>
          <t>2025-11-26</t>
        </is>
      </c>
      <c r="K329" s="385" t="inlineStr">
        <is>
          <t>1:1</t>
        </is>
      </c>
      <c r="L329" s="385" t="inlineStr">
        <is>
          <t>PG_BRONZE</t>
        </is>
      </c>
      <c r="M329" s="386" t="inlineStr">
        <is>
          <t>SMY_STMT_DAILY</t>
        </is>
      </c>
      <c r="N329" s="386" t="inlineStr">
        <is>
          <t>CO_CODE</t>
        </is>
      </c>
      <c r="O329" s="385" t="inlineStr">
        <is>
          <t>VARCHAR2</t>
        </is>
      </c>
      <c r="P329" s="420" t="n">
        <v>100</v>
      </c>
      <c r="Q329" s="386">
        <f>"COMMENT ON COLUMN "&amp;L329&amp;"."&amp;M329&amp;"."&amp;N329&amp;" IS '"&amp;E329&amp;"';"</f>
        <v/>
      </c>
      <c r="R329" s="414" t="inlineStr">
        <is>
          <t>Map 1:1 nguyên bản từ SMY.STMT_DAILY.CO_CODE -&gt; PG_BRONZE.SMY_STMT_DAILY.CO_CODE</t>
        </is>
      </c>
    </row>
    <row r="330" ht="14.25" customHeight="1" s="335">
      <c r="A330" s="412">
        <f>B330&amp;C330&amp;D330</f>
        <v/>
      </c>
      <c r="B330" s="412" t="inlineStr">
        <is>
          <t>SMY</t>
        </is>
      </c>
      <c r="C330" s="412" t="inlineStr">
        <is>
          <t>STMT_DAILY</t>
        </is>
      </c>
      <c r="D330" s="412" t="inlineStr">
        <is>
          <t>COMMIT_ACTION</t>
        </is>
      </c>
      <c r="E330" s="412" t="inlineStr">
        <is>
          <t>Trường kỹ thuật đánh dấu bản ghi IUD</t>
        </is>
      </c>
      <c r="F330" s="410" t="inlineStr">
        <is>
          <t>X</t>
        </is>
      </c>
      <c r="G330" s="412" t="inlineStr">
        <is>
          <t>CUST_INFO_DAILY</t>
        </is>
      </c>
      <c r="H330" s="412" t="inlineStr">
        <is>
          <t>Commit Action</t>
        </is>
      </c>
      <c r="I330" s="412" t="inlineStr">
        <is>
          <t>Tham gia bảng CUST_INFO_DAILY</t>
        </is>
      </c>
      <c r="J330" s="410" t="inlineStr">
        <is>
          <t>2025-11-26</t>
        </is>
      </c>
      <c r="K330" s="385" t="inlineStr">
        <is>
          <t>1:1</t>
        </is>
      </c>
      <c r="L330" s="385" t="inlineStr">
        <is>
          <t>PG_BRONZE</t>
        </is>
      </c>
      <c r="M330" s="386" t="inlineStr">
        <is>
          <t>SMY_STMT_DAILY</t>
        </is>
      </c>
      <c r="N330" s="386" t="inlineStr">
        <is>
          <t>COMMIT_ACTION</t>
        </is>
      </c>
      <c r="O330" s="385" t="inlineStr">
        <is>
          <t>VARCHAR2</t>
        </is>
      </c>
      <c r="P330" s="420" t="n">
        <v>100</v>
      </c>
      <c r="Q330" s="386">
        <f>"COMMENT ON COLUMN "&amp;L330&amp;"."&amp;M330&amp;"."&amp;N330&amp;" IS '"&amp;E330&amp;"';"</f>
        <v/>
      </c>
      <c r="R330" s="414" t="inlineStr">
        <is>
          <t>Map 1:1 nguyên bản từ SMY.STMT_DAILY.COMMIT_ACTION -&gt; PG_BRONZE.SMY_STMT_DAILY.COMMIT_ACTION</t>
        </is>
      </c>
    </row>
    <row r="331" ht="14.25" customHeight="1" s="335">
      <c r="A331" s="412">
        <f>B331&amp;C331&amp;D331</f>
        <v/>
      </c>
      <c r="B331" s="412" t="inlineStr">
        <is>
          <t>SMY</t>
        </is>
      </c>
      <c r="C331" s="412" t="inlineStr">
        <is>
          <t>STMT_DAILY</t>
        </is>
      </c>
      <c r="D331" s="412" t="inlineStr">
        <is>
          <t>COMMIT_TS</t>
        </is>
      </c>
      <c r="E331" s="412" t="inlineStr">
        <is>
          <t>Thời điểm ghi nhận commit giao dịch trên Core T24</t>
        </is>
      </c>
      <c r="F331" s="410" t="inlineStr">
        <is>
          <t>X</t>
        </is>
      </c>
      <c r="G331" s="412" t="inlineStr">
        <is>
          <t>CUST_INFO_DAILY</t>
        </is>
      </c>
      <c r="H331" s="412" t="inlineStr">
        <is>
          <t>Commit Timestamp</t>
        </is>
      </c>
      <c r="I331" s="412" t="inlineStr">
        <is>
          <t>Tham gia bảng CUST_INFO_DAILY</t>
        </is>
      </c>
      <c r="J331" s="410" t="inlineStr">
        <is>
          <t>2025-11-26</t>
        </is>
      </c>
      <c r="K331" s="385" t="inlineStr">
        <is>
          <t>1:1</t>
        </is>
      </c>
      <c r="L331" s="385" t="inlineStr">
        <is>
          <t>PG_BRONZE</t>
        </is>
      </c>
      <c r="M331" s="386" t="inlineStr">
        <is>
          <t>SMY_STMT_DAILY</t>
        </is>
      </c>
      <c r="N331" s="386" t="inlineStr">
        <is>
          <t>COMMIT_TS</t>
        </is>
      </c>
      <c r="O331" s="385" t="inlineStr">
        <is>
          <t>TIMESTAMP</t>
        </is>
      </c>
      <c r="P331" s="420" t="n">
        <v>11</v>
      </c>
      <c r="Q331" s="386">
        <f>"COMMENT ON COLUMN "&amp;L331&amp;"."&amp;M331&amp;"."&amp;N331&amp;" IS '"&amp;E331&amp;"';"</f>
        <v/>
      </c>
      <c r="R331" s="414" t="inlineStr">
        <is>
          <t>Map 1:1 nguyên bản từ SMY.STMT_DAILY.COMMIT_TS -&gt; PG_BRONZE.SMY_STMT_DAILY.COMMIT_TS</t>
        </is>
      </c>
    </row>
    <row r="332" ht="14.25" customHeight="1" s="335">
      <c r="A332" s="412">
        <f>B332&amp;C332&amp;D332</f>
        <v/>
      </c>
      <c r="B332" s="412" t="inlineStr">
        <is>
          <t>SMY</t>
        </is>
      </c>
      <c r="C332" s="412" t="inlineStr">
        <is>
          <t>STMT_DAILY</t>
        </is>
      </c>
      <c r="D332" s="412" t="inlineStr">
        <is>
          <t>COMPANY_CODE</t>
        </is>
      </c>
      <c r="E332" s="412" t="inlineStr">
        <is>
          <t>Mã chi nhánh hạch toán</t>
        </is>
      </c>
      <c r="F332" s="410" t="inlineStr">
        <is>
          <t>X</t>
        </is>
      </c>
      <c r="G332" s="412" t="inlineStr">
        <is>
          <t>CUST_INFO_DAILY</t>
        </is>
      </c>
      <c r="H332" s="412" t="inlineStr">
        <is>
          <t>Organization Unit Code</t>
        </is>
      </c>
      <c r="I332" s="412" t="inlineStr">
        <is>
          <t>Tham gia bảng CUST_INFO_DAILY</t>
        </is>
      </c>
      <c r="J332" s="410" t="inlineStr">
        <is>
          <t>2025-11-26</t>
        </is>
      </c>
      <c r="K332" s="385" t="inlineStr">
        <is>
          <t>1:1</t>
        </is>
      </c>
      <c r="L332" s="385" t="inlineStr">
        <is>
          <t>PG_BRONZE</t>
        </is>
      </c>
      <c r="M332" s="386" t="inlineStr">
        <is>
          <t>SMY_STMT_DAILY</t>
        </is>
      </c>
      <c r="N332" s="386" t="inlineStr">
        <is>
          <t>COMPANY_CODE</t>
        </is>
      </c>
      <c r="O332" s="385" t="inlineStr">
        <is>
          <t>VARCHAR2</t>
        </is>
      </c>
      <c r="P332" s="420" t="n">
        <v>100</v>
      </c>
      <c r="Q332" s="386">
        <f>"COMMENT ON COLUMN "&amp;L332&amp;"."&amp;M332&amp;"."&amp;N332&amp;" IS '"&amp;E332&amp;"';"</f>
        <v/>
      </c>
      <c r="R332" s="414" t="inlineStr">
        <is>
          <t>Map 1:1 nguyên bản từ SMY.STMT_DAILY.COMPANY_CODE -&gt; PG_BRONZE.SMY_STMT_DAILY.COMPANY_CODE</t>
        </is>
      </c>
    </row>
    <row r="333" ht="14.25" customHeight="1" s="335">
      <c r="A333" s="412">
        <f>B333&amp;C333&amp;D333</f>
        <v/>
      </c>
      <c r="B333" s="412" t="inlineStr">
        <is>
          <t>SMY</t>
        </is>
      </c>
      <c r="C333" s="412" t="inlineStr">
        <is>
          <t>STMT_DAILY</t>
        </is>
      </c>
      <c r="D333" s="412" t="inlineStr">
        <is>
          <t>CONSOL_KEY</t>
        </is>
      </c>
      <c r="E333" s="412" t="inlineStr">
        <is>
          <t>Consol key của bút toán STMT</t>
        </is>
      </c>
      <c r="F333" s="410" t="inlineStr">
        <is>
          <t>X</t>
        </is>
      </c>
      <c r="G333" s="412" t="inlineStr">
        <is>
          <t>CUST_INFO_DAILY</t>
        </is>
      </c>
      <c r="H333" s="412" t="inlineStr">
        <is>
          <t>Consolidate Key</t>
        </is>
      </c>
      <c r="I333" s="412" t="inlineStr">
        <is>
          <t>Tham gia bảng CUST_INFO_DAILY</t>
        </is>
      </c>
      <c r="J333" s="410" t="inlineStr">
        <is>
          <t>2025-11-26</t>
        </is>
      </c>
      <c r="K333" s="385" t="inlineStr">
        <is>
          <t>1:1</t>
        </is>
      </c>
      <c r="L333" s="385" t="inlineStr">
        <is>
          <t>PG_BRONZE</t>
        </is>
      </c>
      <c r="M333" s="386" t="inlineStr">
        <is>
          <t>SMY_STMT_DAILY</t>
        </is>
      </c>
      <c r="N333" s="386" t="inlineStr">
        <is>
          <t>CONSOL_KEY</t>
        </is>
      </c>
      <c r="O333" s="385" t="inlineStr">
        <is>
          <t>VARCHAR2</t>
        </is>
      </c>
      <c r="P333" s="420" t="n">
        <v>100</v>
      </c>
      <c r="Q333" s="386">
        <f>"COMMENT ON COLUMN "&amp;L333&amp;"."&amp;M333&amp;"."&amp;N333&amp;" IS '"&amp;E333&amp;"';"</f>
        <v/>
      </c>
      <c r="R333" s="414" t="inlineStr">
        <is>
          <t>Map 1:1 nguyên bản từ SMY.STMT_DAILY.CONSOL_KEY -&gt; PG_BRONZE.SMY_STMT_DAILY.CONSOL_KEY</t>
        </is>
      </c>
    </row>
    <row r="334" ht="14.25" customHeight="1" s="335">
      <c r="A334" s="412">
        <f>B334&amp;C334&amp;D334</f>
        <v/>
      </c>
      <c r="B334" s="412" t="inlineStr">
        <is>
          <t>SMY</t>
        </is>
      </c>
      <c r="C334" s="412" t="inlineStr">
        <is>
          <t>STMT_DAILY</t>
        </is>
      </c>
      <c r="D334" s="412" t="inlineStr">
        <is>
          <t>CONTRACT_BAL_ID</t>
        </is>
      </c>
      <c r="E334" s="412" t="inlineStr">
        <is>
          <t>Trường CONTRACT_BAL_ID của bảng nguồn SMY.STMT_DAILY</t>
        </is>
      </c>
      <c r="F334" s="410" t="inlineStr">
        <is>
          <t>X</t>
        </is>
      </c>
      <c r="G334" s="412" t="inlineStr">
        <is>
          <t>CUST_INFO_DAILY</t>
        </is>
      </c>
      <c r="H334" s="412" t="inlineStr">
        <is>
          <t>Contract Bal Id</t>
        </is>
      </c>
      <c r="I334" s="412" t="inlineStr">
        <is>
          <t>Tham gia bảng CUST_INFO_DAILY</t>
        </is>
      </c>
      <c r="J334" s="410" t="inlineStr">
        <is>
          <t>2025-11-26</t>
        </is>
      </c>
      <c r="K334" s="385" t="inlineStr">
        <is>
          <t>1:1</t>
        </is>
      </c>
      <c r="L334" s="385" t="inlineStr">
        <is>
          <t>PG_BRONZE</t>
        </is>
      </c>
      <c r="M334" s="386" t="inlineStr">
        <is>
          <t>SMY_STMT_DAILY</t>
        </is>
      </c>
      <c r="N334" s="386" t="inlineStr">
        <is>
          <t>CONTRACT_BAL_ID</t>
        </is>
      </c>
      <c r="O334" s="385" t="inlineStr">
        <is>
          <t>VARCHAR2</t>
        </is>
      </c>
      <c r="P334" s="420" t="n">
        <v>40</v>
      </c>
      <c r="Q334" s="386">
        <f>"COMMENT ON COLUMN "&amp;L334&amp;"."&amp;M334&amp;"."&amp;N334&amp;" IS '"&amp;E334&amp;"';"</f>
        <v/>
      </c>
      <c r="R334" s="414" t="inlineStr">
        <is>
          <t>Map 1:1 nguyên bản từ SMY.STMT_DAILY.CONTRACT_BAL_ID -&gt; PG_BRONZE.SMY_STMT_DAILY.CONTRACT_BAL_ID</t>
        </is>
      </c>
    </row>
    <row r="335" ht="14.25" customHeight="1" s="335">
      <c r="A335" s="412">
        <f>B335&amp;C335&amp;D335</f>
        <v/>
      </c>
      <c r="B335" s="412" t="inlineStr">
        <is>
          <t>SMY</t>
        </is>
      </c>
      <c r="C335" s="412" t="inlineStr">
        <is>
          <t>STMT_DAILY</t>
        </is>
      </c>
      <c r="D335" s="412" t="inlineStr">
        <is>
          <t>CRF_PROD_CAT</t>
        </is>
      </c>
      <c r="E335" s="412" t="inlineStr">
        <is>
          <t>Mã Category phân loại bút toán</t>
        </is>
      </c>
      <c r="F335" s="410" t="inlineStr">
        <is>
          <t>X</t>
        </is>
      </c>
      <c r="G335" s="412" t="inlineStr">
        <is>
          <t>CUST_INFO_DAILY</t>
        </is>
      </c>
      <c r="H335" s="412" t="inlineStr">
        <is>
          <t>Category Product Code</t>
        </is>
      </c>
      <c r="I335" s="412" t="inlineStr">
        <is>
          <t>Tham gia bảng CUST_INFO_DAILY</t>
        </is>
      </c>
      <c r="J335" s="410" t="inlineStr">
        <is>
          <t>2025-11-26</t>
        </is>
      </c>
      <c r="K335" s="385" t="inlineStr">
        <is>
          <t>1:1</t>
        </is>
      </c>
      <c r="L335" s="385" t="inlineStr">
        <is>
          <t>PG_BRONZE</t>
        </is>
      </c>
      <c r="M335" s="386" t="inlineStr">
        <is>
          <t>SMY_STMT_DAILY</t>
        </is>
      </c>
      <c r="N335" s="386" t="inlineStr">
        <is>
          <t>CRF_PROD_CAT</t>
        </is>
      </c>
      <c r="O335" s="385" t="inlineStr">
        <is>
          <t>VARCHAR2</t>
        </is>
      </c>
      <c r="P335" s="420" t="n">
        <v>100</v>
      </c>
      <c r="Q335" s="386">
        <f>"COMMENT ON COLUMN "&amp;L335&amp;"."&amp;M335&amp;"."&amp;N335&amp;" IS '"&amp;E335&amp;"';"</f>
        <v/>
      </c>
      <c r="R335" s="414" t="inlineStr">
        <is>
          <t>Map 1:1 nguyên bản từ SMY.STMT_DAILY.CRF_PROD_CAT -&gt; PG_BRONZE.SMY_STMT_DAILY.CRF_PROD_CAT</t>
        </is>
      </c>
    </row>
    <row r="336" ht="14.25" customHeight="1" s="335">
      <c r="A336" s="412">
        <f>B336&amp;C336&amp;D336</f>
        <v/>
      </c>
      <c r="B336" s="412" t="inlineStr">
        <is>
          <t>SMY</t>
        </is>
      </c>
      <c r="C336" s="412" t="inlineStr">
        <is>
          <t>STMT_DAILY</t>
        </is>
      </c>
      <c r="D336" s="412" t="inlineStr">
        <is>
          <t>CRF_TYPE</t>
        </is>
      </c>
      <c r="E336" s="412" t="inlineStr">
        <is>
          <t>Cờ đánh dấu ghi nợ/ghi có</t>
        </is>
      </c>
      <c r="F336" s="410" t="inlineStr">
        <is>
          <t>X</t>
        </is>
      </c>
      <c r="G336" s="412" t="inlineStr">
        <is>
          <t>CUST_INFO_DAILY</t>
        </is>
      </c>
      <c r="H336" s="412" t="inlineStr">
        <is>
          <t>Accounting Credit Debit Flag</t>
        </is>
      </c>
      <c r="I336" s="412" t="inlineStr">
        <is>
          <t>Tham gia bảng CUST_INFO_DAILY</t>
        </is>
      </c>
      <c r="J336" s="410" t="inlineStr">
        <is>
          <t>2025-11-26</t>
        </is>
      </c>
      <c r="K336" s="385" t="inlineStr">
        <is>
          <t>1:1</t>
        </is>
      </c>
      <c r="L336" s="385" t="inlineStr">
        <is>
          <t>PG_BRONZE</t>
        </is>
      </c>
      <c r="M336" s="386" t="inlineStr">
        <is>
          <t>SMY_STMT_DAILY</t>
        </is>
      </c>
      <c r="N336" s="386" t="inlineStr">
        <is>
          <t>CRF_TYPE</t>
        </is>
      </c>
      <c r="O336" s="385" t="inlineStr">
        <is>
          <t>VARCHAR2</t>
        </is>
      </c>
      <c r="P336" s="420" t="n">
        <v>100</v>
      </c>
      <c r="Q336" s="386">
        <f>"COMMENT ON COLUMN "&amp;L336&amp;"."&amp;M336&amp;"."&amp;N336&amp;" IS '"&amp;E336&amp;"';"</f>
        <v/>
      </c>
      <c r="R336" s="414" t="inlineStr">
        <is>
          <t>Map 1:1 nguyên bản từ SMY.STMT_DAILY.CRF_TYPE -&gt; PG_BRONZE.SMY_STMT_DAILY.CRF_TYPE</t>
        </is>
      </c>
    </row>
    <row r="337" ht="14.25" customHeight="1" s="335">
      <c r="A337" s="412">
        <f>B337&amp;C337&amp;D337</f>
        <v/>
      </c>
      <c r="B337" s="412" t="inlineStr">
        <is>
          <t>SMY</t>
        </is>
      </c>
      <c r="C337" s="412" t="inlineStr">
        <is>
          <t>STMT_DAILY</t>
        </is>
      </c>
      <c r="D337" s="412" t="inlineStr">
        <is>
          <t>CURR_NO</t>
        </is>
      </c>
      <c r="E337" s="412" t="inlineStr">
        <is>
          <t>Trường kỹ thuật, đánh dấu version thay đổi bút toán</t>
        </is>
      </c>
      <c r="F337" s="410" t="inlineStr">
        <is>
          <t>X</t>
        </is>
      </c>
      <c r="G337" s="412" t="inlineStr">
        <is>
          <t>CUST_INFO_DAILY</t>
        </is>
      </c>
      <c r="H337" s="412" t="inlineStr">
        <is>
          <t>Current Number</t>
        </is>
      </c>
      <c r="I337" s="412" t="inlineStr">
        <is>
          <t>Tham gia bảng CUST_INFO_DAILY</t>
        </is>
      </c>
      <c r="J337" s="410" t="inlineStr">
        <is>
          <t>2025-11-26</t>
        </is>
      </c>
      <c r="K337" s="385" t="inlineStr">
        <is>
          <t>1:1</t>
        </is>
      </c>
      <c r="L337" s="385" t="inlineStr">
        <is>
          <t>PG_BRONZE</t>
        </is>
      </c>
      <c r="M337" s="386" t="inlineStr">
        <is>
          <t>SMY_STMT_DAILY</t>
        </is>
      </c>
      <c r="N337" s="386" t="inlineStr">
        <is>
          <t>CURR_NO</t>
        </is>
      </c>
      <c r="O337" s="385" t="inlineStr">
        <is>
          <t>NUMBER</t>
        </is>
      </c>
      <c r="P337" s="420" t="n">
        <v>10</v>
      </c>
      <c r="Q337" s="386">
        <f>"COMMENT ON COLUMN "&amp;L337&amp;"."&amp;M337&amp;"."&amp;N337&amp;" IS '"&amp;E337&amp;"';"</f>
        <v/>
      </c>
      <c r="R337" s="414" t="inlineStr">
        <is>
          <t>Map 1:1 nguyên bản từ SMY.STMT_DAILY.CURR_NO -&gt; PG_BRONZE.SMY_STMT_DAILY.CURR_NO</t>
        </is>
      </c>
    </row>
    <row r="338" ht="14.25" customHeight="1" s="335">
      <c r="A338" s="412">
        <f>B338&amp;C338&amp;D338</f>
        <v/>
      </c>
      <c r="B338" s="412" t="inlineStr">
        <is>
          <t>SMY</t>
        </is>
      </c>
      <c r="C338" s="412" t="inlineStr">
        <is>
          <t>STMT_DAILY</t>
        </is>
      </c>
      <c r="D338" s="412" t="inlineStr">
        <is>
          <t>CURRENCY</t>
        </is>
      </c>
      <c r="E338" s="412" t="inlineStr">
        <is>
          <t>Loai tien but toan</t>
        </is>
      </c>
      <c r="F338" s="410" t="inlineStr">
        <is>
          <t>X</t>
        </is>
      </c>
      <c r="G338" s="412" t="inlineStr">
        <is>
          <t>CUST_INFO_DAILY</t>
        </is>
      </c>
      <c r="H338" s="412" t="inlineStr">
        <is>
          <t>Currency Code</t>
        </is>
      </c>
      <c r="I338" s="412" t="inlineStr">
        <is>
          <t>Tham gia bảng CUST_INFO_DAILY</t>
        </is>
      </c>
      <c r="J338" s="410" t="inlineStr">
        <is>
          <t>2025-11-26</t>
        </is>
      </c>
      <c r="K338" s="385" t="inlineStr">
        <is>
          <t>1:1</t>
        </is>
      </c>
      <c r="L338" s="385" t="inlineStr">
        <is>
          <t>PG_BRONZE</t>
        </is>
      </c>
      <c r="M338" s="386" t="inlineStr">
        <is>
          <t>SMY_STMT_DAILY</t>
        </is>
      </c>
      <c r="N338" s="386" t="inlineStr">
        <is>
          <t>CURRENCY</t>
        </is>
      </c>
      <c r="O338" s="385" t="inlineStr">
        <is>
          <t>VARCHAR2</t>
        </is>
      </c>
      <c r="P338" s="420" t="n">
        <v>100</v>
      </c>
      <c r="Q338" s="386">
        <f>"COMMENT ON COLUMN "&amp;L338&amp;"."&amp;M338&amp;"."&amp;N338&amp;" IS '"&amp;E338&amp;"';"</f>
        <v/>
      </c>
      <c r="R338" s="414" t="inlineStr">
        <is>
          <t>Map 1:1 nguyên bản từ SMY.STMT_DAILY.CURRENCY -&gt; PG_BRONZE.SMY_STMT_DAILY.CURRENCY</t>
        </is>
      </c>
    </row>
    <row r="339" ht="14.25" customHeight="1" s="335">
      <c r="A339" s="412">
        <f>B339&amp;C339&amp;D339</f>
        <v/>
      </c>
      <c r="B339" s="412" t="inlineStr">
        <is>
          <t>SMY</t>
        </is>
      </c>
      <c r="C339" s="412" t="inlineStr">
        <is>
          <t>STMT_DAILY</t>
        </is>
      </c>
      <c r="D339" s="412" t="inlineStr">
        <is>
          <t>CUSTOMER_ID</t>
        </is>
      </c>
      <c r="E339" s="412" t="inlineStr">
        <is>
          <t>Mã khách hàng ứng với Account_number</t>
        </is>
      </c>
      <c r="F339" s="410" t="inlineStr">
        <is>
          <t>X</t>
        </is>
      </c>
      <c r="G339" s="412" t="inlineStr">
        <is>
          <t>CUST_INFO_DAILY</t>
        </is>
      </c>
      <c r="H339" s="412" t="inlineStr">
        <is>
          <t>Customer Id/ Customer Code</t>
        </is>
      </c>
      <c r="I339" s="412" t="inlineStr">
        <is>
          <t>Tham gia bảng CUST_INFO_DAILY</t>
        </is>
      </c>
      <c r="J339" s="410" t="inlineStr">
        <is>
          <t>2025-11-26</t>
        </is>
      </c>
      <c r="K339" s="385" t="inlineStr">
        <is>
          <t>1:1</t>
        </is>
      </c>
      <c r="L339" s="385" t="inlineStr">
        <is>
          <t>PG_BRONZE</t>
        </is>
      </c>
      <c r="M339" s="386" t="inlineStr">
        <is>
          <t>SMY_STMT_DAILY</t>
        </is>
      </c>
      <c r="N339" s="386" t="inlineStr">
        <is>
          <t>CUSTOMER_ID</t>
        </is>
      </c>
      <c r="O339" s="385" t="inlineStr">
        <is>
          <t>VARCHAR2</t>
        </is>
      </c>
      <c r="P339" s="420" t="n">
        <v>100</v>
      </c>
      <c r="Q339" s="386">
        <f>"COMMENT ON COLUMN "&amp;L339&amp;"."&amp;M339&amp;"."&amp;N339&amp;" IS '"&amp;E339&amp;"';"</f>
        <v/>
      </c>
      <c r="R339" s="414" t="inlineStr">
        <is>
          <t>Map 1:1 nguyên bản từ SMY.STMT_DAILY.CUSTOMER_ID -&gt; PG_BRONZE.SMY_STMT_DAILY.CUSTOMER_ID</t>
        </is>
      </c>
    </row>
    <row r="340" ht="14.25" customHeight="1" s="335">
      <c r="A340" s="412">
        <f>B340&amp;C340&amp;D340</f>
        <v/>
      </c>
      <c r="B340" s="412" t="inlineStr">
        <is>
          <t>SMY</t>
        </is>
      </c>
      <c r="C340" s="412" t="inlineStr">
        <is>
          <t>STMT_DAILY</t>
        </is>
      </c>
      <c r="D340" s="412" t="inlineStr">
        <is>
          <t>CYCLE_FORWARD</t>
        </is>
      </c>
      <c r="E340" s="412" t="inlineStr">
        <is>
          <t>Cờ kết chuyển chu kỳ hạch toán (Cycle Forward)</t>
        </is>
      </c>
      <c r="F340" s="410" t="inlineStr">
        <is>
          <t>X</t>
        </is>
      </c>
      <c r="G340" s="412" t="inlineStr">
        <is>
          <t>CUST_INFO_DAILY</t>
        </is>
      </c>
      <c r="H340" s="412" t="inlineStr">
        <is>
          <t>Cycle Forward</t>
        </is>
      </c>
      <c r="I340" s="412" t="inlineStr">
        <is>
          <t>Tham gia bảng CUST_INFO_DAILY</t>
        </is>
      </c>
      <c r="J340" s="410" t="inlineStr">
        <is>
          <t>2025-11-26</t>
        </is>
      </c>
      <c r="K340" s="385" t="inlineStr">
        <is>
          <t>1:1</t>
        </is>
      </c>
      <c r="L340" s="385" t="inlineStr">
        <is>
          <t>PG_BRONZE</t>
        </is>
      </c>
      <c r="M340" s="386" t="inlineStr">
        <is>
          <t>SMY_STMT_DAILY</t>
        </is>
      </c>
      <c r="N340" s="386" t="inlineStr">
        <is>
          <t>CYCLE_FORWARD</t>
        </is>
      </c>
      <c r="O340" s="385" t="inlineStr">
        <is>
          <t>DATE</t>
        </is>
      </c>
      <c r="P340" s="420" t="n"/>
      <c r="Q340" s="386">
        <f>"COMMENT ON COLUMN "&amp;L340&amp;"."&amp;M340&amp;"."&amp;N340&amp;" IS '"&amp;E340&amp;"';"</f>
        <v/>
      </c>
      <c r="R340" s="414" t="inlineStr">
        <is>
          <t>Map 1:1 nguyên bản từ SMY.STMT_DAILY.CYCLE_FORWARD -&gt; PG_BRONZE.SMY_STMT_DAILY.CYCLE_FORWARD</t>
        </is>
      </c>
    </row>
    <row r="341" ht="14.25" customHeight="1" s="335">
      <c r="A341" s="412">
        <f>B341&amp;C341&amp;D341</f>
        <v/>
      </c>
      <c r="B341" s="412" t="inlineStr">
        <is>
          <t>SMY</t>
        </is>
      </c>
      <c r="C341" s="412" t="inlineStr">
        <is>
          <t>STMT_DAILY</t>
        </is>
      </c>
      <c r="D341" s="412" t="inlineStr">
        <is>
          <t>DATE_TIME</t>
        </is>
      </c>
      <c r="E341" s="412" t="inlineStr">
        <is>
          <t>Trường kỹ thuật, ghi nhận thời gian sửa đổi</t>
        </is>
      </c>
      <c r="F341" s="410" t="inlineStr">
        <is>
          <t>X</t>
        </is>
      </c>
      <c r="G341" s="412" t="inlineStr">
        <is>
          <t>CUST_INFO_DAILY</t>
        </is>
      </c>
      <c r="H341" s="412" t="inlineStr">
        <is>
          <t>Date Time</t>
        </is>
      </c>
      <c r="I341" s="412" t="inlineStr">
        <is>
          <t>Tham gia bảng CUST_INFO_DAILY</t>
        </is>
      </c>
      <c r="J341" s="410" t="inlineStr">
        <is>
          <t>2025-11-26</t>
        </is>
      </c>
      <c r="K341" s="385" t="inlineStr">
        <is>
          <t>1:1</t>
        </is>
      </c>
      <c r="L341" s="385" t="inlineStr">
        <is>
          <t>PG_BRONZE</t>
        </is>
      </c>
      <c r="M341" s="386" t="inlineStr">
        <is>
          <t>SMY_STMT_DAILY</t>
        </is>
      </c>
      <c r="N341" s="386" t="inlineStr">
        <is>
          <t>DATE_TIME</t>
        </is>
      </c>
      <c r="O341" s="385" t="inlineStr">
        <is>
          <t>DATE</t>
        </is>
      </c>
      <c r="P341" s="420" t="n">
        <v>8</v>
      </c>
      <c r="Q341" s="386">
        <f>"COMMENT ON COLUMN "&amp;L341&amp;"."&amp;M341&amp;"."&amp;N341&amp;" IS '"&amp;E341&amp;"';"</f>
        <v/>
      </c>
      <c r="R341" s="414" t="inlineStr">
        <is>
          <t>Map 1:1 nguyên bản từ SMY.STMT_DAILY.DATE_TIME -&gt; PG_BRONZE.SMY_STMT_DAILY.DATE_TIME</t>
        </is>
      </c>
    </row>
    <row r="342" ht="14.25" customHeight="1" s="335">
      <c r="A342" s="412">
        <f>B342&amp;C342&amp;D342</f>
        <v/>
      </c>
      <c r="B342" s="412" t="inlineStr">
        <is>
          <t>SMY</t>
        </is>
      </c>
      <c r="C342" s="412" t="inlineStr">
        <is>
          <t>STMT_DAILY</t>
        </is>
      </c>
      <c r="D342" s="412" t="inlineStr">
        <is>
          <t>DEPARTMENT_CODE</t>
        </is>
      </c>
      <c r="E342" s="412" t="inlineStr">
        <is>
          <t>Mã đơn vị hạch toán</t>
        </is>
      </c>
      <c r="F342" s="410" t="inlineStr">
        <is>
          <t>X</t>
        </is>
      </c>
      <c r="G342" s="412" t="inlineStr">
        <is>
          <t>CUST_INFO_DAILY</t>
        </is>
      </c>
      <c r="H342" s="412" t="inlineStr">
        <is>
          <t>Department Code</t>
        </is>
      </c>
      <c r="I342" s="412" t="inlineStr">
        <is>
          <t>Tham gia bảng CUST_INFO_DAILY</t>
        </is>
      </c>
      <c r="J342" s="410" t="inlineStr">
        <is>
          <t>2025-11-26</t>
        </is>
      </c>
      <c r="K342" s="385" t="inlineStr">
        <is>
          <t>1:1</t>
        </is>
      </c>
      <c r="L342" s="385" t="inlineStr">
        <is>
          <t>PG_BRONZE</t>
        </is>
      </c>
      <c r="M342" s="386" t="inlineStr">
        <is>
          <t>SMY_STMT_DAILY</t>
        </is>
      </c>
      <c r="N342" s="386" t="inlineStr">
        <is>
          <t>DEPARTMENT_CODE</t>
        </is>
      </c>
      <c r="O342" s="385" t="inlineStr">
        <is>
          <t>VARCHAR2</t>
        </is>
      </c>
      <c r="P342" s="420" t="n">
        <v>100</v>
      </c>
      <c r="Q342" s="386">
        <f>"COMMENT ON COLUMN "&amp;L342&amp;"."&amp;M342&amp;"."&amp;N342&amp;" IS '"&amp;E342&amp;"';"</f>
        <v/>
      </c>
      <c r="R342" s="414" t="inlineStr">
        <is>
          <t>Map 1:1 nguyên bản từ SMY.STMT_DAILY.DEPARTMENT_CODE -&gt; PG_BRONZE.SMY_STMT_DAILY.DEPARTMENT_CODE</t>
        </is>
      </c>
    </row>
    <row r="343" ht="14.25" customHeight="1" s="335">
      <c r="A343" s="412">
        <f>B343&amp;C343&amp;D343</f>
        <v/>
      </c>
      <c r="B343" s="412" t="inlineStr">
        <is>
          <t>SMY</t>
        </is>
      </c>
      <c r="C343" s="412" t="inlineStr">
        <is>
          <t>STMT_DAILY</t>
        </is>
      </c>
      <c r="D343" s="412" t="inlineStr">
        <is>
          <t>DRAWN_ACCOUNT</t>
        </is>
      </c>
      <c r="E343" s="412" t="inlineStr">
        <is>
          <t>Tài khoản ghi nhận số tiền rút</t>
        </is>
      </c>
      <c r="F343" s="410" t="inlineStr">
        <is>
          <t>X</t>
        </is>
      </c>
      <c r="G343" s="412" t="inlineStr">
        <is>
          <t>CUST_INFO_DAILY</t>
        </is>
      </c>
      <c r="H343" s="412" t="inlineStr">
        <is>
          <t>Drawn Account</t>
        </is>
      </c>
      <c r="I343" s="412" t="inlineStr">
        <is>
          <t>Tham gia bảng CUST_INFO_DAILY</t>
        </is>
      </c>
      <c r="J343" s="410" t="inlineStr">
        <is>
          <t>2025-11-26</t>
        </is>
      </c>
      <c r="K343" s="385" t="inlineStr">
        <is>
          <t>1:1</t>
        </is>
      </c>
      <c r="L343" s="385" t="inlineStr">
        <is>
          <t>PG_BRONZE</t>
        </is>
      </c>
      <c r="M343" s="386" t="inlineStr">
        <is>
          <t>SMY_STMT_DAILY</t>
        </is>
      </c>
      <c r="N343" s="386" t="inlineStr">
        <is>
          <t>DRAWN_ACCOUNT</t>
        </is>
      </c>
      <c r="O343" s="385" t="inlineStr">
        <is>
          <t>VARCHAR2</t>
        </is>
      </c>
      <c r="P343" s="420" t="n">
        <v>100</v>
      </c>
      <c r="Q343" s="386">
        <f>"COMMENT ON COLUMN "&amp;L343&amp;"."&amp;M343&amp;"."&amp;N343&amp;" IS '"&amp;E343&amp;"';"</f>
        <v/>
      </c>
      <c r="R343" s="414" t="inlineStr">
        <is>
          <t>Map 1:1 nguyên bản từ SMY.STMT_DAILY.DRAWN_ACCOUNT -&gt; PG_BRONZE.SMY_STMT_DAILY.DRAWN_ACCOUNT</t>
        </is>
      </c>
    </row>
    <row r="344" ht="14.25" customHeight="1" s="335">
      <c r="A344" s="412">
        <f>B344&amp;C344&amp;D344</f>
        <v/>
      </c>
      <c r="B344" s="412" t="inlineStr">
        <is>
          <t>SMY</t>
        </is>
      </c>
      <c r="C344" s="412" t="inlineStr">
        <is>
          <t>STMT_DAILY</t>
        </is>
      </c>
      <c r="D344" s="412" t="inlineStr">
        <is>
          <t>EXCHANGE_RATE</t>
        </is>
      </c>
      <c r="E344" s="412" t="inlineStr">
        <is>
          <t>Tỷ giá quy đổi</t>
        </is>
      </c>
      <c r="F344" s="410" t="inlineStr">
        <is>
          <t>X</t>
        </is>
      </c>
      <c r="G344" s="412" t="inlineStr">
        <is>
          <t>CUST_INFO_DAILY</t>
        </is>
      </c>
      <c r="H344" s="412" t="inlineStr">
        <is>
          <t>Exchange Rate To Local Currency</t>
        </is>
      </c>
      <c r="I344" s="412" t="inlineStr">
        <is>
          <t>Tham gia bảng CUST_INFO_DAILY</t>
        </is>
      </c>
      <c r="J344" s="410" t="inlineStr">
        <is>
          <t>2025-11-26</t>
        </is>
      </c>
      <c r="K344" s="385" t="inlineStr">
        <is>
          <t>1:1</t>
        </is>
      </c>
      <c r="L344" s="385" t="inlineStr">
        <is>
          <t>PG_BRONZE</t>
        </is>
      </c>
      <c r="M344" s="386" t="inlineStr">
        <is>
          <t>SMY_STMT_DAILY</t>
        </is>
      </c>
      <c r="N344" s="386" t="inlineStr">
        <is>
          <t>EXCHANGE_RATE</t>
        </is>
      </c>
      <c r="O344" s="385" t="inlineStr">
        <is>
          <t>NUMBER</t>
        </is>
      </c>
      <c r="P344" s="420" t="n">
        <v>13.7</v>
      </c>
      <c r="Q344" s="386">
        <f>"COMMENT ON COLUMN "&amp;L344&amp;"."&amp;M344&amp;"."&amp;N344&amp;" IS '"&amp;E344&amp;"';"</f>
        <v/>
      </c>
      <c r="R344" s="414" t="inlineStr">
        <is>
          <t>Map 1:1 nguyên bản từ SMY.STMT_DAILY.EXCHANGE_RATE -&gt; PG_BRONZE.SMY_STMT_DAILY.EXCHANGE_RATE</t>
        </is>
      </c>
    </row>
    <row r="345" ht="14.25" customHeight="1" s="335">
      <c r="A345" s="412">
        <f>B345&amp;C345&amp;D345</f>
        <v/>
      </c>
      <c r="B345" s="412" t="inlineStr">
        <is>
          <t>SMY</t>
        </is>
      </c>
      <c r="C345" s="412" t="inlineStr">
        <is>
          <t>STMT_DAILY</t>
        </is>
      </c>
      <c r="D345" s="412" t="inlineStr">
        <is>
          <t>INTERNAL_CATEGORY</t>
        </is>
      </c>
      <c r="E345" s="412" t="inlineStr">
        <is>
          <t>Mã Category nội bộ</t>
        </is>
      </c>
      <c r="F345" s="410" t="inlineStr">
        <is>
          <t>X</t>
        </is>
      </c>
      <c r="G345" s="412" t="inlineStr">
        <is>
          <t>CUST_INFO_DAILY</t>
        </is>
      </c>
      <c r="H345" s="412" t="inlineStr">
        <is>
          <t>Internal Category</t>
        </is>
      </c>
      <c r="I345" s="412" t="inlineStr">
        <is>
          <t>Tham gia bảng CUST_INFO_DAILY</t>
        </is>
      </c>
      <c r="J345" s="410" t="inlineStr">
        <is>
          <t>2025-11-26</t>
        </is>
      </c>
      <c r="K345" s="385" t="inlineStr">
        <is>
          <t>1:1</t>
        </is>
      </c>
      <c r="L345" s="385" t="inlineStr">
        <is>
          <t>PG_BRONZE</t>
        </is>
      </c>
      <c r="M345" s="386" t="inlineStr">
        <is>
          <t>SMY_STMT_DAILY</t>
        </is>
      </c>
      <c r="N345" s="386" t="inlineStr">
        <is>
          <t>INTERNAL_CATEGORY</t>
        </is>
      </c>
      <c r="O345" s="385" t="inlineStr">
        <is>
          <t>VARCHAR2</t>
        </is>
      </c>
      <c r="P345" s="420" t="n">
        <v>100</v>
      </c>
      <c r="Q345" s="386">
        <f>"COMMENT ON COLUMN "&amp;L345&amp;"."&amp;M345&amp;"."&amp;N345&amp;" IS '"&amp;E345&amp;"';"</f>
        <v/>
      </c>
      <c r="R345" s="414" t="inlineStr">
        <is>
          <t>Map 1:1 nguyên bản từ SMY.STMT_DAILY.INTERNAL_CATEGORY -&gt; PG_BRONZE.SMY_STMT_DAILY.INTERNAL_CATEGORY</t>
        </is>
      </c>
    </row>
    <row r="346" ht="14.25" customHeight="1" s="335">
      <c r="A346" s="412">
        <f>B346&amp;C346&amp;D346</f>
        <v/>
      </c>
      <c r="B346" s="412" t="inlineStr">
        <is>
          <t>SMY</t>
        </is>
      </c>
      <c r="C346" s="412" t="inlineStr">
        <is>
          <t>STMT_DAILY</t>
        </is>
      </c>
      <c r="D346" s="412" t="inlineStr">
        <is>
          <t>LOCAL_REF</t>
        </is>
      </c>
      <c r="E346" s="412" t="inlineStr">
        <is>
          <t>Trường multivalue - đa nghĩa của T24</t>
        </is>
      </c>
      <c r="F346" s="410" t="inlineStr">
        <is>
          <t>X</t>
        </is>
      </c>
      <c r="G346" s="412" t="inlineStr">
        <is>
          <t>CUST_INFO_DAILY</t>
        </is>
      </c>
      <c r="H346" s="412" t="inlineStr">
        <is>
          <t>Local Reference</t>
        </is>
      </c>
      <c r="I346" s="412" t="inlineStr">
        <is>
          <t>Tham gia bảng CUST_INFO_DAILY</t>
        </is>
      </c>
      <c r="J346" s="410" t="inlineStr">
        <is>
          <t>2025-11-26</t>
        </is>
      </c>
      <c r="K346" s="385" t="inlineStr">
        <is>
          <t>1:1</t>
        </is>
      </c>
      <c r="L346" s="385" t="inlineStr">
        <is>
          <t>PG_BRONZE</t>
        </is>
      </c>
      <c r="M346" s="386" t="inlineStr">
        <is>
          <t>SMY_STMT_DAILY</t>
        </is>
      </c>
      <c r="N346" s="386" t="inlineStr">
        <is>
          <t>LOCAL_REF</t>
        </is>
      </c>
      <c r="O346" s="385" t="inlineStr">
        <is>
          <t>VARCHAR2</t>
        </is>
      </c>
      <c r="P346" s="420" t="n">
        <v>100</v>
      </c>
      <c r="Q346" s="386">
        <f>"COMMENT ON COLUMN "&amp;L346&amp;"."&amp;M346&amp;"."&amp;N346&amp;" IS '"&amp;E346&amp;"';"</f>
        <v/>
      </c>
      <c r="R346" s="414" t="inlineStr">
        <is>
          <t>Map 1:1 nguyên bản từ SMY.STMT_DAILY.LOCAL_REF -&gt; PG_BRONZE.SMY_STMT_DAILY.LOCAL_REF</t>
        </is>
      </c>
    </row>
    <row r="347" ht="14.25" customHeight="1" s="335">
      <c r="A347" s="412">
        <f>B347&amp;C347&amp;D347</f>
        <v/>
      </c>
      <c r="B347" s="412" t="inlineStr">
        <is>
          <t>SMY</t>
        </is>
      </c>
      <c r="C347" s="412" t="inlineStr">
        <is>
          <t>STMT_DAILY</t>
        </is>
      </c>
      <c r="D347" s="412" t="inlineStr">
        <is>
          <t>NARRATIVE</t>
        </is>
      </c>
      <c r="E347" s="412" t="inlineStr">
        <is>
          <t>Mô tả bút toán</t>
        </is>
      </c>
      <c r="F347" s="410" t="inlineStr">
        <is>
          <t>X</t>
        </is>
      </c>
      <c r="G347" s="412" t="inlineStr">
        <is>
          <t>Saoke_GIAINGAN</t>
        </is>
      </c>
      <c r="H347" s="412" t="inlineStr">
        <is>
          <t>Posting Entry Description</t>
        </is>
      </c>
      <c r="I347" s="412" t="inlineStr">
        <is>
          <t>Tham gia bảng Saoke_GIAINGAN</t>
        </is>
      </c>
      <c r="J347" s="410" t="inlineStr">
        <is>
          <t>2025-11-26</t>
        </is>
      </c>
      <c r="K347" s="385" t="inlineStr">
        <is>
          <t>1:1</t>
        </is>
      </c>
      <c r="L347" s="385" t="inlineStr">
        <is>
          <t>PG_BRONZE</t>
        </is>
      </c>
      <c r="M347" s="386" t="inlineStr">
        <is>
          <t>SMY_STMT_DAILY</t>
        </is>
      </c>
      <c r="N347" s="386" t="inlineStr">
        <is>
          <t>NARRATIVE</t>
        </is>
      </c>
      <c r="O347" s="385" t="inlineStr">
        <is>
          <t>VARCHAR2</t>
        </is>
      </c>
      <c r="P347" s="420" t="n">
        <v>255</v>
      </c>
      <c r="Q347" s="386">
        <f>"COMMENT ON COLUMN "&amp;L347&amp;"."&amp;M347&amp;"."&amp;N347&amp;" IS '"&amp;E347&amp;"';"</f>
        <v/>
      </c>
      <c r="R347" s="414" t="inlineStr">
        <is>
          <t>Map 1:1 nguyên bản từ SMY.STMT_DAILY.NARRATIVE -&gt; PG_BRONZE.SMY_STMT_DAILY.NARRATIVE</t>
        </is>
      </c>
    </row>
    <row r="348" ht="14.25" customHeight="1" s="335">
      <c r="A348" s="412">
        <f>B348&amp;C348&amp;D348</f>
        <v/>
      </c>
      <c r="B348" s="412" t="inlineStr">
        <is>
          <t>SMY</t>
        </is>
      </c>
      <c r="C348" s="412" t="inlineStr">
        <is>
          <t>STMT_DAILY</t>
        </is>
      </c>
      <c r="D348" s="412" t="inlineStr">
        <is>
          <t>ORIG_AMOUNT_LCY</t>
        </is>
      </c>
      <c r="E348" s="412" t="inlineStr">
        <is>
          <t>Giá trị hạch toán ban đầu quy đổi</t>
        </is>
      </c>
      <c r="F348" s="410" t="inlineStr">
        <is>
          <t>X</t>
        </is>
      </c>
      <c r="G348" s="412" t="inlineStr">
        <is>
          <t>Saoke_GIAINGAN</t>
        </is>
      </c>
      <c r="H348" s="412" t="inlineStr">
        <is>
          <t>Original Amount LCY</t>
        </is>
      </c>
      <c r="I348" s="412" t="inlineStr">
        <is>
          <t>Tham gia bảng Saoke_GIAINGAN</t>
        </is>
      </c>
      <c r="J348" s="410" t="inlineStr">
        <is>
          <t>2025-11-26</t>
        </is>
      </c>
      <c r="K348" s="385" t="inlineStr">
        <is>
          <t>1:1</t>
        </is>
      </c>
      <c r="L348" s="385" t="inlineStr">
        <is>
          <t>PG_BRONZE</t>
        </is>
      </c>
      <c r="M348" s="386" t="inlineStr">
        <is>
          <t>SMY_STMT_DAILY</t>
        </is>
      </c>
      <c r="N348" s="386" t="inlineStr">
        <is>
          <t>ORIG_AMOUNT_LCY</t>
        </is>
      </c>
      <c r="O348" s="385" t="inlineStr">
        <is>
          <t>NUMBER</t>
        </is>
      </c>
      <c r="P348" s="420" t="n">
        <v>25.5</v>
      </c>
      <c r="Q348" s="386">
        <f>"COMMENT ON COLUMN "&amp;L348&amp;"."&amp;M348&amp;"."&amp;N348&amp;" IS '"&amp;E348&amp;"';"</f>
        <v/>
      </c>
      <c r="R348" s="414" t="inlineStr">
        <is>
          <t>Map 1:1 nguyên bản từ SMY.STMT_DAILY.ORIG_AMOUNT_LCY -&gt; PG_BRONZE.SMY_STMT_DAILY.ORIG_AMOUNT_LCY</t>
        </is>
      </c>
    </row>
    <row r="349" ht="14.25" customHeight="1" s="335">
      <c r="A349" s="412">
        <f>B349&amp;C349&amp;D349</f>
        <v/>
      </c>
      <c r="B349" s="412" t="inlineStr">
        <is>
          <t>SMY</t>
        </is>
      </c>
      <c r="C349" s="412" t="inlineStr">
        <is>
          <t>STMT_DAILY</t>
        </is>
      </c>
      <c r="D349" s="412" t="inlineStr">
        <is>
          <t>ORIGINAL_ACCT</t>
        </is>
      </c>
      <c r="E349" s="412" t="inlineStr">
        <is>
          <t>Số tài khoản hạch toán ban đầu</t>
        </is>
      </c>
      <c r="F349" s="410" t="inlineStr">
        <is>
          <t>X</t>
        </is>
      </c>
      <c r="G349" s="412" t="inlineStr">
        <is>
          <t>Saoke_GIAINGAN</t>
        </is>
      </c>
      <c r="H349" s="412" t="inlineStr">
        <is>
          <t>Original Account</t>
        </is>
      </c>
      <c r="I349" s="412" t="inlineStr">
        <is>
          <t>Tham gia bảng Saoke_GIAINGAN</t>
        </is>
      </c>
      <c r="J349" s="410" t="inlineStr">
        <is>
          <t>2025-11-26</t>
        </is>
      </c>
      <c r="K349" s="385" t="inlineStr">
        <is>
          <t>1:1</t>
        </is>
      </c>
      <c r="L349" s="385" t="inlineStr">
        <is>
          <t>PG_BRONZE</t>
        </is>
      </c>
      <c r="M349" s="386" t="inlineStr">
        <is>
          <t>SMY_STMT_DAILY</t>
        </is>
      </c>
      <c r="N349" s="386" t="inlineStr">
        <is>
          <t>ORIGINAL_ACCT</t>
        </is>
      </c>
      <c r="O349" s="385" t="inlineStr">
        <is>
          <t>VARCHAR2</t>
        </is>
      </c>
      <c r="P349" s="420" t="n">
        <v>100</v>
      </c>
      <c r="Q349" s="386">
        <f>"COMMENT ON COLUMN "&amp;L349&amp;"."&amp;M349&amp;"."&amp;N349&amp;" IS '"&amp;E349&amp;"';"</f>
        <v/>
      </c>
      <c r="R349" s="414" t="inlineStr">
        <is>
          <t>Map 1:1 nguyên bản từ SMY.STMT_DAILY.ORIGINAL_ACCT -&gt; PG_BRONZE.SMY_STMT_DAILY.ORIGINAL_ACCT</t>
        </is>
      </c>
    </row>
    <row r="350" ht="14.25" customHeight="1" s="335">
      <c r="A350" s="412">
        <f>B350&amp;C350&amp;D350</f>
        <v/>
      </c>
      <c r="B350" s="412" t="inlineStr">
        <is>
          <t>SMY</t>
        </is>
      </c>
      <c r="C350" s="412" t="inlineStr">
        <is>
          <t>STMT_DAILY</t>
        </is>
      </c>
      <c r="D350" s="412" t="inlineStr">
        <is>
          <t>ORIGINAL_AMOUNT</t>
        </is>
      </c>
      <c r="E350" s="412" t="inlineStr">
        <is>
          <t>Giá trị hạch toán ban đầu nguyên tệ</t>
        </is>
      </c>
      <c r="F350" s="410" t="inlineStr">
        <is>
          <t>X</t>
        </is>
      </c>
      <c r="G350" s="412" t="inlineStr">
        <is>
          <t>Saoke_GIAINGAN</t>
        </is>
      </c>
      <c r="H350" s="412" t="inlineStr">
        <is>
          <t>Original Amount</t>
        </is>
      </c>
      <c r="I350" s="412" t="inlineStr">
        <is>
          <t>Tham gia bảng Saoke_GIAINGAN</t>
        </is>
      </c>
      <c r="J350" s="410" t="inlineStr">
        <is>
          <t>2025-11-26</t>
        </is>
      </c>
      <c r="K350" s="385" t="inlineStr">
        <is>
          <t>1:1</t>
        </is>
      </c>
      <c r="L350" s="385" t="inlineStr">
        <is>
          <t>PG_BRONZE</t>
        </is>
      </c>
      <c r="M350" s="386" t="inlineStr">
        <is>
          <t>SMY_STMT_DAILY</t>
        </is>
      </c>
      <c r="N350" s="386" t="inlineStr">
        <is>
          <t>ORIGINAL_AMOUNT</t>
        </is>
      </c>
      <c r="O350" s="385" t="inlineStr">
        <is>
          <t>NUMBER</t>
        </is>
      </c>
      <c r="P350" s="420" t="n">
        <v>25.5</v>
      </c>
      <c r="Q350" s="386">
        <f>"COMMENT ON COLUMN "&amp;L350&amp;"."&amp;M350&amp;"."&amp;N350&amp;" IS '"&amp;E350&amp;"';"</f>
        <v/>
      </c>
      <c r="R350" s="414" t="inlineStr">
        <is>
          <t>Map 1:1 nguyên bản từ SMY.STMT_DAILY.ORIGINAL_AMOUNT -&gt; PG_BRONZE.SMY_STMT_DAILY.ORIGINAL_AMOUNT</t>
        </is>
      </c>
    </row>
    <row r="351" ht="14.25" customHeight="1" s="335">
      <c r="A351" s="412">
        <f>B351&amp;C351&amp;D351</f>
        <v/>
      </c>
      <c r="B351" s="412" t="inlineStr">
        <is>
          <t>SMY</t>
        </is>
      </c>
      <c r="C351" s="412" t="inlineStr">
        <is>
          <t>STMT_DAILY</t>
        </is>
      </c>
      <c r="D351" s="412" t="inlineStr">
        <is>
          <t>ORIGINAL_CCY</t>
        </is>
      </c>
      <c r="E351" s="412" t="inlineStr">
        <is>
          <t>Loại tiền giao dịch ban đầu</t>
        </is>
      </c>
      <c r="F351" s="410" t="inlineStr">
        <is>
          <t>X</t>
        </is>
      </c>
      <c r="G351" s="412" t="inlineStr">
        <is>
          <t>Saoke_GIAINGAN</t>
        </is>
      </c>
      <c r="H351" s="412" t="inlineStr">
        <is>
          <t>Original Currency</t>
        </is>
      </c>
      <c r="I351" s="412" t="inlineStr">
        <is>
          <t>Tham gia bảng Saoke_GIAINGAN</t>
        </is>
      </c>
      <c r="J351" s="410" t="inlineStr">
        <is>
          <t>2025-11-26</t>
        </is>
      </c>
      <c r="K351" s="385" t="inlineStr">
        <is>
          <t>1:1</t>
        </is>
      </c>
      <c r="L351" s="385" t="inlineStr">
        <is>
          <t>PG_BRONZE</t>
        </is>
      </c>
      <c r="M351" s="386" t="inlineStr">
        <is>
          <t>SMY_STMT_DAILY</t>
        </is>
      </c>
      <c r="N351" s="386" t="inlineStr">
        <is>
          <t>ORIGINAL_CCY</t>
        </is>
      </c>
      <c r="O351" s="385" t="inlineStr">
        <is>
          <t>VARCHAR2</t>
        </is>
      </c>
      <c r="P351" s="420" t="n">
        <v>100</v>
      </c>
      <c r="Q351" s="386">
        <f>"COMMENT ON COLUMN "&amp;L351&amp;"."&amp;M351&amp;"."&amp;N351&amp;" IS '"&amp;E351&amp;"';"</f>
        <v/>
      </c>
      <c r="R351" s="414" t="inlineStr">
        <is>
          <t>Map 1:1 nguyên bản từ SMY.STMT_DAILY.ORIGINAL_CCY -&gt; PG_BRONZE.SMY_STMT_DAILY.ORIGINAL_CCY</t>
        </is>
      </c>
    </row>
    <row r="352" ht="14.25" customHeight="1" s="335">
      <c r="A352" s="412">
        <f>B352&amp;C352&amp;D352</f>
        <v/>
      </c>
      <c r="B352" s="412" t="inlineStr">
        <is>
          <t>SMY</t>
        </is>
      </c>
      <c r="C352" s="412" t="inlineStr">
        <is>
          <t>STMT_DAILY</t>
        </is>
      </c>
      <c r="D352" s="412" t="inlineStr">
        <is>
          <t>ORIGINAL_EXCH_RATE</t>
        </is>
      </c>
      <c r="E352" s="412" t="inlineStr">
        <is>
          <t>Tỷ giá quy đổi cho loại tiền ban đầu</t>
        </is>
      </c>
      <c r="F352" s="410" t="inlineStr">
        <is>
          <t>X</t>
        </is>
      </c>
      <c r="G352" s="412" t="inlineStr">
        <is>
          <t>Saoke_GIAINGAN</t>
        </is>
      </c>
      <c r="H352" s="412" t="inlineStr">
        <is>
          <t>Original Exchange Rate</t>
        </is>
      </c>
      <c r="I352" s="412" t="inlineStr">
        <is>
          <t>Tham gia bảng Saoke_GIAINGAN</t>
        </is>
      </c>
      <c r="J352" s="410" t="inlineStr">
        <is>
          <t>2025-11-26</t>
        </is>
      </c>
      <c r="K352" s="385" t="inlineStr">
        <is>
          <t>1:1</t>
        </is>
      </c>
      <c r="L352" s="385" t="inlineStr">
        <is>
          <t>PG_BRONZE</t>
        </is>
      </c>
      <c r="M352" s="386" t="inlineStr">
        <is>
          <t>SMY_STMT_DAILY</t>
        </is>
      </c>
      <c r="N352" s="386" t="inlineStr">
        <is>
          <t>ORIGINAL_EXCH_RATE</t>
        </is>
      </c>
      <c r="O352" s="385" t="inlineStr">
        <is>
          <t>NUMBER</t>
        </is>
      </c>
      <c r="P352" s="420" t="n">
        <v>13.7</v>
      </c>
      <c r="Q352" s="386">
        <f>"COMMENT ON COLUMN "&amp;L352&amp;"."&amp;M352&amp;"."&amp;N352&amp;" IS '"&amp;E352&amp;"';"</f>
        <v/>
      </c>
      <c r="R352" s="414" t="inlineStr">
        <is>
          <t>Map 1:1 nguyên bản từ SMY.STMT_DAILY.ORIGINAL_EXCH_RATE -&gt; PG_BRONZE.SMY_STMT_DAILY.ORIGINAL_EXCH_RATE</t>
        </is>
      </c>
    </row>
    <row r="353" ht="14.25" customHeight="1" s="335">
      <c r="A353" s="412">
        <f>B353&amp;C353&amp;D353</f>
        <v/>
      </c>
      <c r="B353" s="412" t="inlineStr">
        <is>
          <t>SMY</t>
        </is>
      </c>
      <c r="C353" s="412" t="inlineStr">
        <is>
          <t>STMT_DAILY</t>
        </is>
      </c>
      <c r="D353" s="412" t="inlineStr">
        <is>
          <t>OUR_REFERENCE</t>
        </is>
      </c>
      <c r="E353" s="412" t="inlineStr">
        <is>
          <t>Ma tham chieu</t>
        </is>
      </c>
      <c r="F353" s="410" t="inlineStr">
        <is>
          <t>X</t>
        </is>
      </c>
      <c r="G353" s="412" t="inlineStr">
        <is>
          <t>Saoke_GIAINGAN</t>
        </is>
      </c>
      <c r="H353" s="412" t="inlineStr">
        <is>
          <t>Transaction Number</t>
        </is>
      </c>
      <c r="I353" s="412" t="inlineStr">
        <is>
          <t>Tham gia bảng Saoke_GIAINGAN</t>
        </is>
      </c>
      <c r="J353" s="410" t="inlineStr">
        <is>
          <t>2025-11-26</t>
        </is>
      </c>
      <c r="K353" s="385" t="inlineStr">
        <is>
          <t>1:1</t>
        </is>
      </c>
      <c r="L353" s="385" t="inlineStr">
        <is>
          <t>PG_BRONZE</t>
        </is>
      </c>
      <c r="M353" s="386" t="inlineStr">
        <is>
          <t>SMY_STMT_DAILY</t>
        </is>
      </c>
      <c r="N353" s="386" t="inlineStr">
        <is>
          <t>OUR_REFERENCE</t>
        </is>
      </c>
      <c r="O353" s="385" t="inlineStr">
        <is>
          <t>VARCHAR2</t>
        </is>
      </c>
      <c r="P353" s="420" t="n">
        <v>100</v>
      </c>
      <c r="Q353" s="386">
        <f>"COMMENT ON COLUMN "&amp;L353&amp;"."&amp;M353&amp;"."&amp;N353&amp;" IS '"&amp;E353&amp;"';"</f>
        <v/>
      </c>
      <c r="R353" s="414" t="inlineStr">
        <is>
          <t>Map 1:1 nguyên bản từ SMY.STMT_DAILY.OUR_REFERENCE -&gt; PG_BRONZE.SMY_STMT_DAILY.OUR_REFERENCE</t>
        </is>
      </c>
    </row>
    <row r="354" ht="14.25" customHeight="1" s="335">
      <c r="A354" s="412">
        <f>B354&amp;C354&amp;D354</f>
        <v/>
      </c>
      <c r="B354" s="412" t="inlineStr">
        <is>
          <t>SMY</t>
        </is>
      </c>
      <c r="C354" s="412" t="inlineStr">
        <is>
          <t>STMT_DAILY</t>
        </is>
      </c>
      <c r="D354" s="412" t="inlineStr">
        <is>
          <t>OUTSTANDING_BAL</t>
        </is>
      </c>
      <c r="E354" s="412" t="inlineStr">
        <is>
          <t>Dư nợ tín dụng của hợp đồng ( OUR_REFERENCE)</t>
        </is>
      </c>
      <c r="F354" s="410" t="inlineStr">
        <is>
          <t>X</t>
        </is>
      </c>
      <c r="G354" s="412" t="inlineStr">
        <is>
          <t>Saoke_GIAINGAN</t>
        </is>
      </c>
      <c r="H354" s="412" t="inlineStr">
        <is>
          <t>Outstanding Balance</t>
        </is>
      </c>
      <c r="I354" s="412" t="inlineStr">
        <is>
          <t>Tham gia bảng Saoke_GIAINGAN</t>
        </is>
      </c>
      <c r="J354" s="410" t="inlineStr">
        <is>
          <t>2025-11-26</t>
        </is>
      </c>
      <c r="K354" s="385" t="inlineStr">
        <is>
          <t>1:1</t>
        </is>
      </c>
      <c r="L354" s="385" t="inlineStr">
        <is>
          <t>PG_BRONZE</t>
        </is>
      </c>
      <c r="M354" s="386" t="inlineStr">
        <is>
          <t>SMY_STMT_DAILY</t>
        </is>
      </c>
      <c r="N354" s="386" t="inlineStr">
        <is>
          <t>OUTSTANDING_BAL</t>
        </is>
      </c>
      <c r="O354" s="385" t="inlineStr">
        <is>
          <t>NUMBER</t>
        </is>
      </c>
      <c r="P354" s="420" t="n">
        <v>25.5</v>
      </c>
      <c r="Q354" s="386">
        <f>"COMMENT ON COLUMN "&amp;L354&amp;"."&amp;M354&amp;"."&amp;N354&amp;" IS '"&amp;E354&amp;"';"</f>
        <v/>
      </c>
      <c r="R354" s="414" t="inlineStr">
        <is>
          <t>Map 1:1 nguyên bản từ SMY.STMT_DAILY.OUTSTANDING_BAL -&gt; PG_BRONZE.SMY_STMT_DAILY.OUTSTANDING_BAL</t>
        </is>
      </c>
    </row>
    <row r="355" ht="14.25" customHeight="1" s="335">
      <c r="A355" s="412">
        <f>B355&amp;C355&amp;D355</f>
        <v/>
      </c>
      <c r="B355" s="412" t="inlineStr">
        <is>
          <t>SMY</t>
        </is>
      </c>
      <c r="C355" s="412" t="inlineStr">
        <is>
          <t>STMT_DAILY</t>
        </is>
      </c>
      <c r="D355" s="412" t="inlineStr">
        <is>
          <t>OVERRIDE</t>
        </is>
      </c>
      <c r="E355" s="412" t="inlineStr">
        <is>
          <t>Cờ cảnh báo</t>
        </is>
      </c>
      <c r="F355" s="410" t="inlineStr">
        <is>
          <t>X</t>
        </is>
      </c>
      <c r="G355" s="412" t="inlineStr">
        <is>
          <t>Saoke_GIAINGAN</t>
        </is>
      </c>
      <c r="H355" s="412" t="inlineStr">
        <is>
          <t>Override Flag</t>
        </is>
      </c>
      <c r="I355" s="412" t="inlineStr">
        <is>
          <t>Tham gia bảng Saoke_GIAINGAN</t>
        </is>
      </c>
      <c r="J355" s="410" t="inlineStr">
        <is>
          <t>2025-11-26</t>
        </is>
      </c>
      <c r="K355" s="385" t="inlineStr">
        <is>
          <t>1:1</t>
        </is>
      </c>
      <c r="L355" s="385" t="inlineStr">
        <is>
          <t>PG_BRONZE</t>
        </is>
      </c>
      <c r="M355" s="386" t="inlineStr">
        <is>
          <t>SMY_STMT_DAILY</t>
        </is>
      </c>
      <c r="N355" s="386" t="inlineStr">
        <is>
          <t>OVERRIDE</t>
        </is>
      </c>
      <c r="O355" s="385" t="inlineStr">
        <is>
          <t>VARCHAR2</t>
        </is>
      </c>
      <c r="P355" s="420" t="n">
        <v>100</v>
      </c>
      <c r="Q355" s="386">
        <f>"COMMENT ON COLUMN "&amp;L355&amp;"."&amp;M355&amp;"."&amp;N355&amp;" IS '"&amp;E355&amp;"';"</f>
        <v/>
      </c>
      <c r="R355" s="414" t="inlineStr">
        <is>
          <t>Map 1:1 nguyên bản từ SMY.STMT_DAILY.OVERRIDE -&gt; PG_BRONZE.SMY_STMT_DAILY.OVERRIDE</t>
        </is>
      </c>
    </row>
    <row r="356" ht="14.25" customHeight="1" s="335">
      <c r="A356" s="412">
        <f>B356&amp;C356&amp;D356</f>
        <v/>
      </c>
      <c r="B356" s="412" t="inlineStr">
        <is>
          <t>SMY</t>
        </is>
      </c>
      <c r="C356" s="412" t="inlineStr">
        <is>
          <t>STMT_DAILY</t>
        </is>
      </c>
      <c r="D356" s="412" t="inlineStr">
        <is>
          <t>PROCESS_FORWARD</t>
        </is>
      </c>
      <c r="E356" s="412" t="inlineStr">
        <is>
          <t>Cờ xử lý chuyển tiếp bút toán hạch toán (Process Forward)</t>
        </is>
      </c>
      <c r="F356" s="410" t="inlineStr">
        <is>
          <t>X</t>
        </is>
      </c>
      <c r="G356" s="412" t="inlineStr">
        <is>
          <t>Saoke_GIAINGAN</t>
        </is>
      </c>
      <c r="H356" s="412" t="inlineStr">
        <is>
          <t>Process Forward</t>
        </is>
      </c>
      <c r="I356" s="412" t="inlineStr">
        <is>
          <t>Tham gia bảng Saoke_GIAINGAN</t>
        </is>
      </c>
      <c r="J356" s="410" t="inlineStr">
        <is>
          <t>2025-11-26</t>
        </is>
      </c>
      <c r="K356" s="385" t="inlineStr">
        <is>
          <t>1:1</t>
        </is>
      </c>
      <c r="L356" s="385" t="inlineStr">
        <is>
          <t>PG_BRONZE</t>
        </is>
      </c>
      <c r="M356" s="386" t="inlineStr">
        <is>
          <t>SMY_STMT_DAILY</t>
        </is>
      </c>
      <c r="N356" s="386" t="inlineStr">
        <is>
          <t>PROCESS_FORWARD</t>
        </is>
      </c>
      <c r="O356" s="385" t="inlineStr">
        <is>
          <t>VARCHAR2</t>
        </is>
      </c>
      <c r="P356" s="420" t="n">
        <v>100</v>
      </c>
      <c r="Q356" s="386">
        <f>"COMMENT ON COLUMN "&amp;L356&amp;"."&amp;M356&amp;"."&amp;N356&amp;" IS '"&amp;E356&amp;"';"</f>
        <v/>
      </c>
      <c r="R356" s="414" t="inlineStr">
        <is>
          <t>Map 1:1 nguyên bản từ SMY.STMT_DAILY.PROCESS_FORWARD -&gt; PG_BRONZE.SMY_STMT_DAILY.PROCESS_FORWARD</t>
        </is>
      </c>
    </row>
    <row r="357" ht="14.25" customHeight="1" s="335">
      <c r="A357" s="412">
        <f>B357&amp;C357&amp;D357</f>
        <v/>
      </c>
      <c r="B357" s="412" t="inlineStr">
        <is>
          <t>SMY</t>
        </is>
      </c>
      <c r="C357" s="412" t="inlineStr">
        <is>
          <t>STMT_DAILY</t>
        </is>
      </c>
      <c r="D357" s="412" t="inlineStr">
        <is>
          <t>PROCESSING_DATE</t>
        </is>
      </c>
      <c r="E357" s="412" t="inlineStr">
        <is>
          <t>Trường PROCESSING_DATE của bảng nguồn SMY.STMT_DAILY</t>
        </is>
      </c>
      <c r="F357" s="410" t="inlineStr">
        <is>
          <t>X</t>
        </is>
      </c>
      <c r="G357" s="412" t="inlineStr">
        <is>
          <t>Saoke_GIAINGAN</t>
        </is>
      </c>
      <c r="H357" s="412" t="inlineStr">
        <is>
          <t>Processing Date</t>
        </is>
      </c>
      <c r="I357" s="412" t="inlineStr">
        <is>
          <t>Tham gia bảng Saoke_GIAINGAN</t>
        </is>
      </c>
      <c r="J357" s="410" t="inlineStr">
        <is>
          <t>2025-11-26</t>
        </is>
      </c>
      <c r="K357" s="385" t="inlineStr">
        <is>
          <t>1:1</t>
        </is>
      </c>
      <c r="L357" s="385" t="inlineStr">
        <is>
          <t>PG_BRONZE</t>
        </is>
      </c>
      <c r="M357" s="386" t="inlineStr">
        <is>
          <t>SMY_STMT_DAILY</t>
        </is>
      </c>
      <c r="N357" s="386" t="inlineStr">
        <is>
          <t>PROCESSING_DATE</t>
        </is>
      </c>
      <c r="O357" s="385" t="inlineStr">
        <is>
          <t>DATE</t>
        </is>
      </c>
      <c r="P357" s="420" t="n">
        <v>8</v>
      </c>
      <c r="Q357" s="386">
        <f>"COMMENT ON COLUMN "&amp;L357&amp;"."&amp;M357&amp;"."&amp;N357&amp;" IS '"&amp;E357&amp;"';"</f>
        <v/>
      </c>
      <c r="R357" s="414" t="inlineStr">
        <is>
          <t>Map 1:1 nguyên bản từ SMY.STMT_DAILY.PROCESSING_DATE -&gt; PG_BRONZE.SMY_STMT_DAILY.PROCESSING_DATE</t>
        </is>
      </c>
    </row>
    <row r="358" ht="14.25" customHeight="1" s="335">
      <c r="A358" s="412">
        <f>B358&amp;C358&amp;D358</f>
        <v/>
      </c>
      <c r="B358" s="412" t="inlineStr">
        <is>
          <t>SMY</t>
        </is>
      </c>
      <c r="C358" s="412" t="inlineStr">
        <is>
          <t>STMT_DAILY</t>
        </is>
      </c>
      <c r="D358" s="412" t="inlineStr">
        <is>
          <t>PRODUCT_CATEGORY</t>
        </is>
      </c>
      <c r="E358" s="412" t="inlineStr">
        <is>
          <t>Loại sản phẩm hạch toán</t>
        </is>
      </c>
      <c r="F358" s="410" t="inlineStr">
        <is>
          <t>X</t>
        </is>
      </c>
      <c r="G358" s="412" t="inlineStr">
        <is>
          <t>Saoke_GIAINGAN</t>
        </is>
      </c>
      <c r="H358" s="412" t="inlineStr">
        <is>
          <t>Accounting Product Category Code</t>
        </is>
      </c>
      <c r="I358" s="412" t="inlineStr">
        <is>
          <t>Tham gia bảng Saoke_GIAINGAN</t>
        </is>
      </c>
      <c r="J358" s="410" t="inlineStr">
        <is>
          <t>2025-11-26</t>
        </is>
      </c>
      <c r="K358" s="385" t="inlineStr">
        <is>
          <t>1:1</t>
        </is>
      </c>
      <c r="L358" s="385" t="inlineStr">
        <is>
          <t>PG_BRONZE</t>
        </is>
      </c>
      <c r="M358" s="386" t="inlineStr">
        <is>
          <t>SMY_STMT_DAILY</t>
        </is>
      </c>
      <c r="N358" s="386" t="inlineStr">
        <is>
          <t>PRODUCT_CATEGORY</t>
        </is>
      </c>
      <c r="O358" s="385" t="inlineStr">
        <is>
          <t>VARCHAR2</t>
        </is>
      </c>
      <c r="P358" s="420" t="n">
        <v>100</v>
      </c>
      <c r="Q358" s="386">
        <f>"COMMENT ON COLUMN "&amp;L358&amp;"."&amp;M358&amp;"."&amp;N358&amp;" IS '"&amp;E358&amp;"';"</f>
        <v/>
      </c>
      <c r="R358" s="414" t="inlineStr">
        <is>
          <t>Map 1:1 nguyên bản từ SMY.STMT_DAILY.PRODUCT_CATEGORY -&gt; PG_BRONZE.SMY_STMT_DAILY.PRODUCT_CATEGORY</t>
        </is>
      </c>
    </row>
    <row r="359" ht="14.25" customHeight="1" s="335">
      <c r="A359" s="412">
        <f>B359&amp;C359&amp;D359</f>
        <v/>
      </c>
      <c r="B359" s="412" t="inlineStr">
        <is>
          <t>SMY</t>
        </is>
      </c>
      <c r="C359" s="412" t="inlineStr">
        <is>
          <t>STMT_DAILY</t>
        </is>
      </c>
      <c r="D359" s="412" t="inlineStr">
        <is>
          <t>RECID</t>
        </is>
      </c>
      <c r="E359" s="412" t="inlineStr">
        <is>
          <t>Mã giao dịch, Unique ID</t>
        </is>
      </c>
      <c r="F359" s="410" t="inlineStr">
        <is>
          <t>X</t>
        </is>
      </c>
      <c r="G359" s="412" t="inlineStr">
        <is>
          <t>Saoke_GIAINGAN</t>
        </is>
      </c>
      <c r="H359" s="412" t="inlineStr">
        <is>
          <t>Posting Entry Number</t>
        </is>
      </c>
      <c r="I359" s="412" t="inlineStr">
        <is>
          <t>Tham gia bảng Saoke_GIAINGAN</t>
        </is>
      </c>
      <c r="J359" s="410" t="inlineStr">
        <is>
          <t>2025-11-26</t>
        </is>
      </c>
      <c r="K359" s="385" t="inlineStr">
        <is>
          <t>1:1</t>
        </is>
      </c>
      <c r="L359" s="385" t="inlineStr">
        <is>
          <t>PG_BRONZE</t>
        </is>
      </c>
      <c r="M359" s="386" t="inlineStr">
        <is>
          <t>SMY_STMT_DAILY</t>
        </is>
      </c>
      <c r="N359" s="386" t="inlineStr">
        <is>
          <t>RECID</t>
        </is>
      </c>
      <c r="O359" s="385" t="inlineStr">
        <is>
          <t>VARCHAR2</t>
        </is>
      </c>
      <c r="P359" s="420" t="n">
        <v>100</v>
      </c>
      <c r="Q359" s="386">
        <f>"COMMENT ON COLUMN "&amp;L359&amp;"."&amp;M359&amp;"."&amp;N359&amp;" IS '"&amp;E359&amp;"';"</f>
        <v/>
      </c>
      <c r="R359" s="414" t="inlineStr">
        <is>
          <t>Map 1:1 nguyên bản từ SMY.STMT_DAILY.RECID -&gt; PG_BRONZE.SMY_STMT_DAILY.RECID</t>
        </is>
      </c>
    </row>
    <row r="360" ht="14.25" customHeight="1" s="335">
      <c r="A360" s="412">
        <f>B360&amp;C360&amp;D360</f>
        <v/>
      </c>
      <c r="B360" s="412" t="inlineStr">
        <is>
          <t>SMY</t>
        </is>
      </c>
      <c r="C360" s="412" t="inlineStr">
        <is>
          <t>STMT_DAILY</t>
        </is>
      </c>
      <c r="D360" s="412" t="inlineStr">
        <is>
          <t>RECORD_STATUS</t>
        </is>
      </c>
      <c r="E360" s="412" t="inlineStr">
        <is>
          <t>Trạng Thái bản ghi</t>
        </is>
      </c>
      <c r="F360" s="410" t="inlineStr">
        <is>
          <t>X</t>
        </is>
      </c>
      <c r="G360" s="412" t="inlineStr">
        <is>
          <t>Saoke_GIAINGAN</t>
        </is>
      </c>
      <c r="H360" s="412" t="inlineStr">
        <is>
          <t>Record Status</t>
        </is>
      </c>
      <c r="I360" s="412" t="inlineStr">
        <is>
          <t>Tham gia bảng Saoke_GIAINGAN</t>
        </is>
      </c>
      <c r="J360" s="410" t="inlineStr">
        <is>
          <t>2025-11-26</t>
        </is>
      </c>
      <c r="K360" s="385" t="inlineStr">
        <is>
          <t>1:1</t>
        </is>
      </c>
      <c r="L360" s="385" t="inlineStr">
        <is>
          <t>PG_BRONZE</t>
        </is>
      </c>
      <c r="M360" s="386" t="inlineStr">
        <is>
          <t>SMY_STMT_DAILY</t>
        </is>
      </c>
      <c r="N360" s="386" t="inlineStr">
        <is>
          <t>RECORD_STATUS</t>
        </is>
      </c>
      <c r="O360" s="385" t="inlineStr">
        <is>
          <t>VARCHAR2</t>
        </is>
      </c>
      <c r="P360" s="420" t="n">
        <v>100</v>
      </c>
      <c r="Q360" s="386">
        <f>"COMMENT ON COLUMN "&amp;L360&amp;"."&amp;M360&amp;"."&amp;N360&amp;" IS '"&amp;E360&amp;"';"</f>
        <v/>
      </c>
      <c r="R360" s="414" t="inlineStr">
        <is>
          <t>Map 1:1 nguyên bản từ SMY.STMT_DAILY.RECORD_STATUS -&gt; PG_BRONZE.SMY_STMT_DAILY.RECORD_STATUS</t>
        </is>
      </c>
    </row>
    <row r="361" ht="14.25" customHeight="1" s="335">
      <c r="A361" s="412">
        <f>B361&amp;C361&amp;D361</f>
        <v/>
      </c>
      <c r="B361" s="412" t="inlineStr">
        <is>
          <t>SMY</t>
        </is>
      </c>
      <c r="C361" s="412" t="inlineStr">
        <is>
          <t>STMT_DAILY</t>
        </is>
      </c>
      <c r="D361" s="412" t="inlineStr">
        <is>
          <t>REPAYMENT_AMT</t>
        </is>
      </c>
      <c r="E361" s="412" t="inlineStr">
        <is>
          <t>Số tiền thu nợ</t>
        </is>
      </c>
      <c r="F361" s="410" t="inlineStr">
        <is>
          <t>X</t>
        </is>
      </c>
      <c r="G361" s="412" t="inlineStr">
        <is>
          <t>Saoke_GIAINGAN</t>
        </is>
      </c>
      <c r="H361" s="412" t="inlineStr">
        <is>
          <t>Repayment Amount</t>
        </is>
      </c>
      <c r="I361" s="412" t="inlineStr">
        <is>
          <t>Tham gia bảng Saoke_GIAINGAN</t>
        </is>
      </c>
      <c r="J361" s="410" t="inlineStr">
        <is>
          <t>2025-11-26</t>
        </is>
      </c>
      <c r="K361" s="385" t="inlineStr">
        <is>
          <t>1:1</t>
        </is>
      </c>
      <c r="L361" s="385" t="inlineStr">
        <is>
          <t>PG_BRONZE</t>
        </is>
      </c>
      <c r="M361" s="386" t="inlineStr">
        <is>
          <t>SMY_STMT_DAILY</t>
        </is>
      </c>
      <c r="N361" s="386" t="inlineStr">
        <is>
          <t>REPAYMENT_AMT</t>
        </is>
      </c>
      <c r="O361" s="385" t="inlineStr">
        <is>
          <t>NUMBER</t>
        </is>
      </c>
      <c r="P361" s="420" t="n">
        <v>25.5</v>
      </c>
      <c r="Q361" s="386">
        <f>"COMMENT ON COLUMN "&amp;L361&amp;"."&amp;M361&amp;"."&amp;N361&amp;" IS '"&amp;E361&amp;"';"</f>
        <v/>
      </c>
      <c r="R361" s="414" t="inlineStr">
        <is>
          <t>Map 1:1 nguyên bản từ SMY.STMT_DAILY.REPAYMENT_AMT -&gt; PG_BRONZE.SMY_STMT_DAILY.REPAYMENT_AMT</t>
        </is>
      </c>
    </row>
    <row r="362" ht="14.25" customHeight="1" s="335">
      <c r="A362" s="412">
        <f>B362&amp;C362&amp;D362</f>
        <v/>
      </c>
      <c r="B362" s="412" t="inlineStr">
        <is>
          <t>SMY</t>
        </is>
      </c>
      <c r="C362" s="412" t="inlineStr">
        <is>
          <t>STMT_DAILY</t>
        </is>
      </c>
      <c r="D362" s="412" t="inlineStr">
        <is>
          <t>REPAYMENT_DATE</t>
        </is>
      </c>
      <c r="E362" s="412" t="inlineStr">
        <is>
          <t>Ngày thu</t>
        </is>
      </c>
      <c r="F362" s="410" t="inlineStr">
        <is>
          <t>X</t>
        </is>
      </c>
      <c r="G362" s="412" t="inlineStr">
        <is>
          <t>Saoke_GIAINGAN</t>
        </is>
      </c>
      <c r="H362" s="412" t="inlineStr">
        <is>
          <t>Repayment Date</t>
        </is>
      </c>
      <c r="I362" s="412" t="inlineStr">
        <is>
          <t>Tham gia bảng Saoke_GIAINGAN</t>
        </is>
      </c>
      <c r="J362" s="410" t="inlineStr">
        <is>
          <t>2025-11-26</t>
        </is>
      </c>
      <c r="K362" s="385" t="inlineStr">
        <is>
          <t>1:1</t>
        </is>
      </c>
      <c r="L362" s="385" t="inlineStr">
        <is>
          <t>PG_BRONZE</t>
        </is>
      </c>
      <c r="M362" s="386" t="inlineStr">
        <is>
          <t>SMY_STMT_DAILY</t>
        </is>
      </c>
      <c r="N362" s="386" t="inlineStr">
        <is>
          <t>REPAYMENT_DATE</t>
        </is>
      </c>
      <c r="O362" s="385" t="inlineStr">
        <is>
          <t>DATE</t>
        </is>
      </c>
      <c r="P362" s="420" t="n">
        <v>8</v>
      </c>
      <c r="Q362" s="386">
        <f>"COMMENT ON COLUMN "&amp;L362&amp;"."&amp;M362&amp;"."&amp;N362&amp;" IS '"&amp;E362&amp;"';"</f>
        <v/>
      </c>
      <c r="R362" s="414" t="inlineStr">
        <is>
          <t>Map 1:1 nguyên bản từ SMY.STMT_DAILY.REPAYMENT_DATE -&gt; PG_BRONZE.SMY_STMT_DAILY.REPAYMENT_DATE</t>
        </is>
      </c>
    </row>
    <row r="363" ht="14.25" customHeight="1" s="335">
      <c r="A363" s="412">
        <f>B363&amp;C363&amp;D363</f>
        <v/>
      </c>
      <c r="B363" s="412" t="inlineStr">
        <is>
          <t>SMY</t>
        </is>
      </c>
      <c r="C363" s="412" t="inlineStr">
        <is>
          <t>STMT_DAILY</t>
        </is>
      </c>
      <c r="D363" s="412" t="inlineStr">
        <is>
          <t>REPAYMENT_TYPE</t>
        </is>
      </c>
      <c r="E363" s="412" t="inlineStr">
        <is>
          <t>Loại thu nợ</t>
        </is>
      </c>
      <c r="F363" s="410" t="inlineStr">
        <is>
          <t>X</t>
        </is>
      </c>
      <c r="G363" s="412" t="inlineStr">
        <is>
          <t>Saoke_GIAINGAN</t>
        </is>
      </c>
      <c r="H363" s="412" t="inlineStr">
        <is>
          <t>Repayment Type</t>
        </is>
      </c>
      <c r="I363" s="412" t="inlineStr">
        <is>
          <t>Tham gia bảng Saoke_GIAINGAN</t>
        </is>
      </c>
      <c r="J363" s="410" t="inlineStr">
        <is>
          <t>2025-11-26</t>
        </is>
      </c>
      <c r="K363" s="385" t="inlineStr">
        <is>
          <t>1:1</t>
        </is>
      </c>
      <c r="L363" s="385" t="inlineStr">
        <is>
          <t>PG_BRONZE</t>
        </is>
      </c>
      <c r="M363" s="386" t="inlineStr">
        <is>
          <t>SMY_STMT_DAILY</t>
        </is>
      </c>
      <c r="N363" s="386" t="inlineStr">
        <is>
          <t>REPAYMENT_TYPE</t>
        </is>
      </c>
      <c r="O363" s="385" t="inlineStr">
        <is>
          <t>VARCHAR2</t>
        </is>
      </c>
      <c r="P363" s="420" t="n">
        <v>100</v>
      </c>
      <c r="Q363" s="386">
        <f>"COMMENT ON COLUMN "&amp;L363&amp;"."&amp;M363&amp;"."&amp;N363&amp;" IS '"&amp;E363&amp;"';"</f>
        <v/>
      </c>
      <c r="R363" s="414" t="inlineStr">
        <is>
          <t>Map 1:1 nguyên bản từ SMY.STMT_DAILY.REPAYMENT_TYPE -&gt; PG_BRONZE.SMY_STMT_DAILY.REPAYMENT_TYPE</t>
        </is>
      </c>
    </row>
    <row r="364" ht="14.25" customHeight="1" s="335">
      <c r="A364" s="412">
        <f>B364&amp;C364&amp;D364</f>
        <v/>
      </c>
      <c r="B364" s="412" t="inlineStr">
        <is>
          <t>SMY</t>
        </is>
      </c>
      <c r="C364" s="412" t="inlineStr">
        <is>
          <t>STMT_DAILY</t>
        </is>
      </c>
      <c r="D364" s="412" t="inlineStr">
        <is>
          <t>STMT_ENTRY_ID</t>
        </is>
      </c>
      <c r="E364" s="412" t="inlineStr">
        <is>
          <t>Trường STMT_ENTRY_ID của bảng nguồn SMY.STMT_DAILY</t>
        </is>
      </c>
      <c r="F364" s="410" t="inlineStr">
        <is>
          <t>X</t>
        </is>
      </c>
      <c r="G364" s="412" t="inlineStr">
        <is>
          <t>Saoke_GIAINGAN</t>
        </is>
      </c>
      <c r="H364" s="412" t="inlineStr">
        <is>
          <t>Stmt Entry Id</t>
        </is>
      </c>
      <c r="I364" s="412" t="inlineStr">
        <is>
          <t>Tham gia bảng Saoke_GIAINGAN</t>
        </is>
      </c>
      <c r="J364" s="410" t="inlineStr">
        <is>
          <t>2025-11-26</t>
        </is>
      </c>
      <c r="K364" s="385" t="inlineStr">
        <is>
          <t>1:1</t>
        </is>
      </c>
      <c r="L364" s="385" t="inlineStr">
        <is>
          <t>PG_BRONZE</t>
        </is>
      </c>
      <c r="M364" s="386" t="inlineStr">
        <is>
          <t>SMY_STMT_DAILY</t>
        </is>
      </c>
      <c r="N364" s="386" t="inlineStr">
        <is>
          <t>STMT_ENTRY_ID</t>
        </is>
      </c>
      <c r="O364" s="385" t="inlineStr">
        <is>
          <t>VARCHAR2</t>
        </is>
      </c>
      <c r="P364" s="420" t="n">
        <v>100</v>
      </c>
      <c r="Q364" s="386">
        <f>"COMMENT ON COLUMN "&amp;L364&amp;"."&amp;M364&amp;"."&amp;N364&amp;" IS '"&amp;E364&amp;"';"</f>
        <v/>
      </c>
      <c r="R364" s="414" t="inlineStr">
        <is>
          <t>Map 1:1 nguyên bản từ SMY.STMT_DAILY.STMT_ENTRY_ID -&gt; PG_BRONZE.SMY_STMT_DAILY.STMT_ENTRY_ID</t>
        </is>
      </c>
    </row>
    <row r="365" ht="14.25" customHeight="1" s="335">
      <c r="A365" s="412">
        <f>B365&amp;C365&amp;D365</f>
        <v/>
      </c>
      <c r="B365" s="412" t="inlineStr">
        <is>
          <t>SMY</t>
        </is>
      </c>
      <c r="C365" s="412" t="inlineStr">
        <is>
          <t>STMT_DAILY</t>
        </is>
      </c>
      <c r="D365" s="412" t="inlineStr">
        <is>
          <t>STMT_NO</t>
        </is>
      </c>
      <c r="E365" s="412" t="inlineStr">
        <is>
          <t>Trường STMT_NO của bảng nguồn SMY.STMT_DAILY</t>
        </is>
      </c>
      <c r="F365" s="410" t="inlineStr">
        <is>
          <t>X</t>
        </is>
      </c>
      <c r="G365" s="412" t="inlineStr">
        <is>
          <t>Saoke_GIAINGAN</t>
        </is>
      </c>
      <c r="H365" s="412" t="inlineStr">
        <is>
          <t>Stmt No</t>
        </is>
      </c>
      <c r="I365" s="412" t="inlineStr">
        <is>
          <t>Tham gia bảng Saoke_GIAINGAN</t>
        </is>
      </c>
      <c r="J365" s="410" t="inlineStr">
        <is>
          <t>2025-11-26</t>
        </is>
      </c>
      <c r="K365" s="385" t="inlineStr">
        <is>
          <t>1:1</t>
        </is>
      </c>
      <c r="L365" s="385" t="inlineStr">
        <is>
          <t>PG_BRONZE</t>
        </is>
      </c>
      <c r="M365" s="386" t="inlineStr">
        <is>
          <t>SMY_STMT_DAILY</t>
        </is>
      </c>
      <c r="N365" s="386" t="inlineStr">
        <is>
          <t>STMT_NO</t>
        </is>
      </c>
      <c r="O365" s="385" t="inlineStr">
        <is>
          <t>VARCHAR2</t>
        </is>
      </c>
      <c r="P365" s="420" t="n">
        <v>100</v>
      </c>
      <c r="Q365" s="386">
        <f>"COMMENT ON COLUMN "&amp;L365&amp;"."&amp;M365&amp;"."&amp;N365&amp;" IS '"&amp;E365&amp;"';"</f>
        <v/>
      </c>
      <c r="R365" s="414" t="inlineStr">
        <is>
          <t>Map 1:1 nguyên bản từ SMY.STMT_DAILY.STMT_NO -&gt; PG_BRONZE.SMY_STMT_DAILY.STMT_NO</t>
        </is>
      </c>
    </row>
    <row r="366" ht="14.25" customHeight="1" s="335">
      <c r="A366" s="412">
        <f>B366&amp;C366&amp;D366</f>
        <v/>
      </c>
      <c r="B366" s="412" t="inlineStr">
        <is>
          <t>SMY</t>
        </is>
      </c>
      <c r="C366" s="412" t="inlineStr">
        <is>
          <t>STMT_DAILY</t>
        </is>
      </c>
      <c r="D366" s="412" t="inlineStr">
        <is>
          <t>SUSPENSE_CATEGORY</t>
        </is>
      </c>
      <c r="E366" s="412" t="inlineStr">
        <is>
          <t>Mã Category phân loại bút toán bị treo</t>
        </is>
      </c>
      <c r="F366" s="410" t="inlineStr">
        <is>
          <t>X</t>
        </is>
      </c>
      <c r="G366" s="412" t="inlineStr">
        <is>
          <t>Saoke_GIAINGAN</t>
        </is>
      </c>
      <c r="H366" s="412" t="inlineStr">
        <is>
          <t>Suspense Category</t>
        </is>
      </c>
      <c r="I366" s="412" t="inlineStr">
        <is>
          <t>Tham gia bảng Saoke_GIAINGAN</t>
        </is>
      </c>
      <c r="J366" s="410" t="inlineStr">
        <is>
          <t>2025-11-26</t>
        </is>
      </c>
      <c r="K366" s="385" t="inlineStr">
        <is>
          <t>1:1</t>
        </is>
      </c>
      <c r="L366" s="385" t="inlineStr">
        <is>
          <t>PG_BRONZE</t>
        </is>
      </c>
      <c r="M366" s="386" t="inlineStr">
        <is>
          <t>SMY_STMT_DAILY</t>
        </is>
      </c>
      <c r="N366" s="386" t="inlineStr">
        <is>
          <t>SUSPENSE_CATEGORY</t>
        </is>
      </c>
      <c r="O366" s="385" t="inlineStr">
        <is>
          <t>VARCHAR2</t>
        </is>
      </c>
      <c r="P366" s="420" t="n">
        <v>100</v>
      </c>
      <c r="Q366" s="386">
        <f>"COMMENT ON COLUMN "&amp;L366&amp;"."&amp;M366&amp;"."&amp;N366&amp;" IS '"&amp;E366&amp;"';"</f>
        <v/>
      </c>
      <c r="R366" s="414" t="inlineStr">
        <is>
          <t>Map 1:1 nguyên bản từ SMY.STMT_DAILY.SUSPENSE_CATEGORY -&gt; PG_BRONZE.SMY_STMT_DAILY.SUSPENSE_CATEGORY</t>
        </is>
      </c>
    </row>
    <row r="367" ht="14.25" customHeight="1" s="335">
      <c r="A367" s="412">
        <f>B367&amp;C367&amp;D367</f>
        <v/>
      </c>
      <c r="B367" s="412" t="inlineStr">
        <is>
          <t>SMY</t>
        </is>
      </c>
      <c r="C367" s="412" t="inlineStr">
        <is>
          <t>STMT_DAILY</t>
        </is>
      </c>
      <c r="D367" s="412" t="inlineStr">
        <is>
          <t>SUSPNSE_VALUE_DATE</t>
        </is>
      </c>
      <c r="E367" s="412" t="inlineStr">
        <is>
          <t>Ngày bút toán treo</t>
        </is>
      </c>
      <c r="F367" s="410" t="inlineStr">
        <is>
          <t>X</t>
        </is>
      </c>
      <c r="G367" s="412" t="inlineStr">
        <is>
          <t>Saoke_GIAINGAN</t>
        </is>
      </c>
      <c r="H367" s="412" t="inlineStr">
        <is>
          <t>Suspense Value Date</t>
        </is>
      </c>
      <c r="I367" s="412" t="inlineStr">
        <is>
          <t>Tham gia bảng Saoke_GIAINGAN</t>
        </is>
      </c>
      <c r="J367" s="410" t="inlineStr">
        <is>
          <t>2025-11-26</t>
        </is>
      </c>
      <c r="K367" s="385" t="inlineStr">
        <is>
          <t>1:1</t>
        </is>
      </c>
      <c r="L367" s="385" t="inlineStr">
        <is>
          <t>PG_BRONZE</t>
        </is>
      </c>
      <c r="M367" s="386" t="inlineStr">
        <is>
          <t>SMY_STMT_DAILY</t>
        </is>
      </c>
      <c r="N367" s="386" t="inlineStr">
        <is>
          <t>SUSPNSE_VALUE_DATE</t>
        </is>
      </c>
      <c r="O367" s="385" t="inlineStr">
        <is>
          <t>DATE</t>
        </is>
      </c>
      <c r="P367" s="420" t="n">
        <v>8</v>
      </c>
      <c r="Q367" s="386">
        <f>"COMMENT ON COLUMN "&amp;L367&amp;"."&amp;M367&amp;"."&amp;N367&amp;" IS '"&amp;E367&amp;"';"</f>
        <v/>
      </c>
      <c r="R367" s="414" t="inlineStr">
        <is>
          <t>Map 1:1 nguyên bản từ SMY.STMT_DAILY.SUSPNSE_VALUE_DATE -&gt; PG_BRONZE.SMY_STMT_DAILY.SUSPNSE_VALUE_DATE</t>
        </is>
      </c>
    </row>
    <row r="368" ht="14.25" customHeight="1" s="335">
      <c r="A368" s="412">
        <f>B368&amp;C368&amp;D368</f>
        <v/>
      </c>
      <c r="B368" s="412" t="inlineStr">
        <is>
          <t>SMY</t>
        </is>
      </c>
      <c r="C368" s="412" t="inlineStr">
        <is>
          <t>STMT_DAILY</t>
        </is>
      </c>
      <c r="D368" s="412" t="inlineStr">
        <is>
          <t>SYSTEM_ID</t>
        </is>
      </c>
      <c r="E368" s="412" t="inlineStr">
        <is>
          <t>Mã phân hệ</t>
        </is>
      </c>
      <c r="F368" s="410" t="inlineStr">
        <is>
          <t>X</t>
        </is>
      </c>
      <c r="G368" s="412" t="inlineStr">
        <is>
          <t>Saoke_GIAINGAN</t>
        </is>
      </c>
      <c r="H368" s="412" t="inlineStr">
        <is>
          <t>Module Code</t>
        </is>
      </c>
      <c r="I368" s="412" t="inlineStr">
        <is>
          <t>Tham gia bảng Saoke_GIAINGAN</t>
        </is>
      </c>
      <c r="J368" s="410" t="inlineStr">
        <is>
          <t>2025-11-26</t>
        </is>
      </c>
      <c r="K368" s="385" t="inlineStr">
        <is>
          <t>1:1</t>
        </is>
      </c>
      <c r="L368" s="385" t="inlineStr">
        <is>
          <t>PG_BRONZE</t>
        </is>
      </c>
      <c r="M368" s="386" t="inlineStr">
        <is>
          <t>SMY_STMT_DAILY</t>
        </is>
      </c>
      <c r="N368" s="386" t="inlineStr">
        <is>
          <t>SYSTEM_ID</t>
        </is>
      </c>
      <c r="O368" s="385" t="inlineStr">
        <is>
          <t>VARCHAR2</t>
        </is>
      </c>
      <c r="P368" s="420" t="n">
        <v>100</v>
      </c>
      <c r="Q368" s="386">
        <f>"COMMENT ON COLUMN "&amp;L368&amp;"."&amp;M368&amp;"."&amp;N368&amp;" IS '"&amp;E368&amp;"';"</f>
        <v/>
      </c>
      <c r="R368" s="414" t="inlineStr">
        <is>
          <t>Map 1:1 nguyên bản từ SMY.STMT_DAILY.SYSTEM_ID -&gt; PG_BRONZE.SMY_STMT_DAILY.SYSTEM_ID</t>
        </is>
      </c>
    </row>
    <row r="369" ht="14.25" customHeight="1" s="335">
      <c r="A369" s="412">
        <f>B369&amp;C369&amp;D369</f>
        <v/>
      </c>
      <c r="B369" s="412" t="inlineStr">
        <is>
          <t>SMY</t>
        </is>
      </c>
      <c r="C369" s="412" t="inlineStr">
        <is>
          <t>STMT_DAILY</t>
        </is>
      </c>
      <c r="D369" s="412" t="inlineStr">
        <is>
          <t>THEIR_REFERENCE</t>
        </is>
      </c>
      <c r="E369" s="412" t="inlineStr">
        <is>
          <t>Trường THEIR_REFERENCE của bảng nguồn SMY.STMT_DAILY</t>
        </is>
      </c>
      <c r="F369" s="410" t="inlineStr">
        <is>
          <t>X</t>
        </is>
      </c>
      <c r="G369" s="412" t="inlineStr">
        <is>
          <t>Saoke_GIAINGAN</t>
        </is>
      </c>
      <c r="H369" s="412" t="inlineStr">
        <is>
          <t>Their Reference</t>
        </is>
      </c>
      <c r="I369" s="412" t="inlineStr">
        <is>
          <t>Tham gia bảng Saoke_GIAINGAN</t>
        </is>
      </c>
      <c r="J369" s="410" t="inlineStr">
        <is>
          <t>2025-11-26</t>
        </is>
      </c>
      <c r="K369" s="385" t="inlineStr">
        <is>
          <t>1:1</t>
        </is>
      </c>
      <c r="L369" s="385" t="inlineStr">
        <is>
          <t>PG_BRONZE</t>
        </is>
      </c>
      <c r="M369" s="386" t="inlineStr">
        <is>
          <t>SMY_STMT_DAILY</t>
        </is>
      </c>
      <c r="N369" s="386" t="inlineStr">
        <is>
          <t>THEIR_REFERENCE</t>
        </is>
      </c>
      <c r="O369" s="385" t="inlineStr">
        <is>
          <t>VARCHAR2</t>
        </is>
      </c>
      <c r="P369" s="420" t="n">
        <v>100</v>
      </c>
      <c r="Q369" s="386">
        <f>"COMMENT ON COLUMN "&amp;L369&amp;"."&amp;M369&amp;"."&amp;N369&amp;" IS '"&amp;E369&amp;"';"</f>
        <v/>
      </c>
      <c r="R369" s="414" t="inlineStr">
        <is>
          <t>Map 1:1 nguyên bản từ SMY.STMT_DAILY.THEIR_REFERENCE -&gt; PG_BRONZE.SMY_STMT_DAILY.THEIR_REFERENCE</t>
        </is>
      </c>
    </row>
    <row r="370" ht="14.25" customHeight="1" s="335">
      <c r="A370" s="412">
        <f>B370&amp;C370&amp;D370</f>
        <v/>
      </c>
      <c r="B370" s="412" t="inlineStr">
        <is>
          <t>SMY</t>
        </is>
      </c>
      <c r="C370" s="412" t="inlineStr">
        <is>
          <t>STMT_DAILY</t>
        </is>
      </c>
      <c r="D370" s="412" t="inlineStr">
        <is>
          <t>TRANS_REFERENCE</t>
        </is>
      </c>
      <c r="E370" s="412" t="inlineStr">
        <is>
          <t>Trường TRANS_REFERENCE của bảng nguồn SMY.STMT_DAILY</t>
        </is>
      </c>
      <c r="F370" s="410" t="inlineStr">
        <is>
          <t>X</t>
        </is>
      </c>
      <c r="G370" s="412" t="inlineStr">
        <is>
          <t>Saoke_GIAINGAN</t>
        </is>
      </c>
      <c r="H370" s="412" t="inlineStr">
        <is>
          <t>Trans Reference</t>
        </is>
      </c>
      <c r="I370" s="412" t="inlineStr">
        <is>
          <t>Tham gia bảng Saoke_GIAINGAN</t>
        </is>
      </c>
      <c r="J370" s="410" t="inlineStr">
        <is>
          <t>2025-11-26</t>
        </is>
      </c>
      <c r="K370" s="385" t="inlineStr">
        <is>
          <t>1:1</t>
        </is>
      </c>
      <c r="L370" s="385" t="inlineStr">
        <is>
          <t>PG_BRONZE</t>
        </is>
      </c>
      <c r="M370" s="386" t="inlineStr">
        <is>
          <t>SMY_STMT_DAILY</t>
        </is>
      </c>
      <c r="N370" s="386" t="inlineStr">
        <is>
          <t>TRANS_REFERENCE</t>
        </is>
      </c>
      <c r="O370" s="385" t="inlineStr">
        <is>
          <t>VARCHAR2</t>
        </is>
      </c>
      <c r="P370" s="420" t="n">
        <v>100</v>
      </c>
      <c r="Q370" s="386">
        <f>"COMMENT ON COLUMN "&amp;L370&amp;"."&amp;M370&amp;"."&amp;N370&amp;" IS '"&amp;E370&amp;"';"</f>
        <v/>
      </c>
      <c r="R370" s="414" t="inlineStr">
        <is>
          <t>Map 1:1 nguyên bản từ SMY.STMT_DAILY.TRANS_REFERENCE -&gt; PG_BRONZE.SMY_STMT_DAILY.TRANS_REFERENCE</t>
        </is>
      </c>
    </row>
    <row r="371" ht="14.25" customHeight="1" s="335">
      <c r="A371" s="412">
        <f>B371&amp;C371&amp;D371</f>
        <v/>
      </c>
      <c r="B371" s="412" t="inlineStr">
        <is>
          <t>SMY</t>
        </is>
      </c>
      <c r="C371" s="412" t="inlineStr">
        <is>
          <t>STMT_DAILY</t>
        </is>
      </c>
      <c r="D371" s="412" t="inlineStr">
        <is>
          <t>TRANSACTION_CODE</t>
        </is>
      </c>
      <c r="E371" s="412" t="inlineStr">
        <is>
          <t>Mã giao dịch</t>
        </is>
      </c>
      <c r="F371" s="410" t="inlineStr">
        <is>
          <t>X</t>
        </is>
      </c>
      <c r="G371" s="412" t="inlineStr">
        <is>
          <t>Saoke_GIAINGAN</t>
        </is>
      </c>
      <c r="H371" s="412" t="inlineStr">
        <is>
          <t>Transaction Type</t>
        </is>
      </c>
      <c r="I371" s="412" t="inlineStr">
        <is>
          <t>Tham gia bảng Saoke_GIAINGAN</t>
        </is>
      </c>
      <c r="J371" s="410" t="inlineStr">
        <is>
          <t>2025-11-26</t>
        </is>
      </c>
      <c r="K371" s="385" t="inlineStr">
        <is>
          <t>1:1</t>
        </is>
      </c>
      <c r="L371" s="385" t="inlineStr">
        <is>
          <t>PG_BRONZE</t>
        </is>
      </c>
      <c r="M371" s="386" t="inlineStr">
        <is>
          <t>SMY_STMT_DAILY</t>
        </is>
      </c>
      <c r="N371" s="386" t="inlineStr">
        <is>
          <t>TRANSACTION_CODE</t>
        </is>
      </c>
      <c r="O371" s="385" t="inlineStr">
        <is>
          <t>VARCHAR2</t>
        </is>
      </c>
      <c r="P371" s="420" t="n">
        <v>100</v>
      </c>
      <c r="Q371" s="386">
        <f>"COMMENT ON COLUMN "&amp;L371&amp;"."&amp;M371&amp;"."&amp;N371&amp;" IS '"&amp;E371&amp;"';"</f>
        <v/>
      </c>
      <c r="R371" s="414" t="inlineStr">
        <is>
          <t>Map 1:1 nguyên bản từ SMY.STMT_DAILY.TRANSACTION_CODE -&gt; PG_BRONZE.SMY_STMT_DAILY.TRANSACTION_CODE</t>
        </is>
      </c>
    </row>
    <row r="372" ht="14.25" customHeight="1" s="335">
      <c r="A372" s="412">
        <f>B372&amp;C372&amp;D372</f>
        <v/>
      </c>
      <c r="B372" s="412" t="inlineStr">
        <is>
          <t>SMY</t>
        </is>
      </c>
      <c r="C372" s="412" t="inlineStr">
        <is>
          <t>STMT_DAILY</t>
        </is>
      </c>
      <c r="D372" s="412" t="inlineStr">
        <is>
          <t>TXN_DATE</t>
        </is>
      </c>
      <c r="E372" s="412" t="inlineStr">
        <is>
          <t>Trường TXN_DATE của bảng nguồn SMY.STMT_DAILY</t>
        </is>
      </c>
      <c r="F372" s="410" t="inlineStr">
        <is>
          <t>X</t>
        </is>
      </c>
      <c r="G372" s="412" t="inlineStr">
        <is>
          <t>Saoke_GIAINGAN</t>
        </is>
      </c>
      <c r="H372" s="412" t="inlineStr">
        <is>
          <t>Txn Date</t>
        </is>
      </c>
      <c r="I372" s="412" t="inlineStr">
        <is>
          <t>Tham gia bảng Saoke_GIAINGAN</t>
        </is>
      </c>
      <c r="J372" s="410" t="inlineStr">
        <is>
          <t>2025-11-26</t>
        </is>
      </c>
      <c r="K372" s="385" t="inlineStr">
        <is>
          <t>1:1</t>
        </is>
      </c>
      <c r="L372" s="385" t="inlineStr">
        <is>
          <t>PG_BRONZE</t>
        </is>
      </c>
      <c r="M372" s="386" t="inlineStr">
        <is>
          <t>SMY_STMT_DAILY</t>
        </is>
      </c>
      <c r="N372" s="386" t="inlineStr">
        <is>
          <t>TXN_DATE</t>
        </is>
      </c>
      <c r="O372" s="385" t="inlineStr">
        <is>
          <t>DATE</t>
        </is>
      </c>
      <c r="P372" s="420" t="n">
        <v>8</v>
      </c>
      <c r="Q372" s="386">
        <f>"COMMENT ON COLUMN "&amp;L372&amp;"."&amp;M372&amp;"."&amp;N372&amp;" IS '"&amp;E372&amp;"';"</f>
        <v/>
      </c>
      <c r="R372" s="414" t="inlineStr">
        <is>
          <t>Map 1:1 nguyên bản từ SMY.STMT_DAILY.TXN_DATE -&gt; PG_BRONZE.SMY_STMT_DAILY.TXN_DATE</t>
        </is>
      </c>
    </row>
    <row r="373" ht="14.25" customHeight="1" s="335">
      <c r="A373" s="412">
        <f>B373&amp;C373&amp;D373</f>
        <v/>
      </c>
      <c r="B373" s="412" t="inlineStr">
        <is>
          <t>SMY</t>
        </is>
      </c>
      <c r="C373" s="412" t="inlineStr">
        <is>
          <t>STMT_DAILY</t>
        </is>
      </c>
      <c r="D373" s="412" t="inlineStr">
        <is>
          <t>VALUE_DATE</t>
        </is>
      </c>
      <c r="E373" s="412" t="inlineStr">
        <is>
          <t>Ngay Hieu luc but toan</t>
        </is>
      </c>
      <c r="F373" s="410" t="inlineStr">
        <is>
          <t>X</t>
        </is>
      </c>
      <c r="G373" s="412" t="inlineStr">
        <is>
          <t>Saoke_GIAINGAN</t>
        </is>
      </c>
      <c r="H373" s="412" t="inlineStr">
        <is>
          <t>Value Date</t>
        </is>
      </c>
      <c r="I373" s="412" t="inlineStr">
        <is>
          <t>Tham gia bảng Saoke_GIAINGAN</t>
        </is>
      </c>
      <c r="J373" s="410" t="inlineStr">
        <is>
          <t>2025-11-26</t>
        </is>
      </c>
      <c r="K373" s="385" t="inlineStr">
        <is>
          <t>1:1</t>
        </is>
      </c>
      <c r="L373" s="385" t="inlineStr">
        <is>
          <t>PG_BRONZE</t>
        </is>
      </c>
      <c r="M373" s="386" t="inlineStr">
        <is>
          <t>SMY_STMT_DAILY</t>
        </is>
      </c>
      <c r="N373" s="386" t="inlineStr">
        <is>
          <t>VALUE_DATE</t>
        </is>
      </c>
      <c r="O373" s="385" t="inlineStr">
        <is>
          <t>DATE</t>
        </is>
      </c>
      <c r="P373" s="420" t="n">
        <v>8</v>
      </c>
      <c r="Q373" s="386">
        <f>"COMMENT ON COLUMN "&amp;L373&amp;"."&amp;M373&amp;"."&amp;N373&amp;" IS '"&amp;E373&amp;"';"</f>
        <v/>
      </c>
      <c r="R373" s="414" t="inlineStr">
        <is>
          <t>Map 1:1 nguyên bản từ SMY.STMT_DAILY.VALUE_DATE -&gt; PG_BRONZE.SMY_STMT_DAILY.VALUE_DATE</t>
        </is>
      </c>
    </row>
    <row r="374" ht="14.25" customHeight="1" s="335">
      <c r="A374" s="412">
        <f>B374&amp;C374&amp;D374</f>
        <v/>
      </c>
      <c r="B374" s="412" t="inlineStr">
        <is>
          <t>T24CORE</t>
        </is>
      </c>
      <c r="C374" s="412" t="inlineStr">
        <is>
          <t>CURRENCY</t>
        </is>
      </c>
      <c r="D374" s="412" t="inlineStr">
        <is>
          <t>ID</t>
        </is>
      </c>
      <c r="E374" s="412" t="inlineStr">
        <is>
          <t>Mã loại tiền tệ (Currency ID)</t>
        </is>
      </c>
      <c r="F374" s="410" t="inlineStr">
        <is>
          <t>X</t>
        </is>
      </c>
      <c r="G374" s="412" t="inlineStr">
        <is>
          <t>Currency / Exchange Rate</t>
        </is>
      </c>
      <c r="H374" s="412" t="inlineStr">
        <is>
          <t>Currency Code</t>
        </is>
      </c>
      <c r="I374" s="412" t="inlineStr">
        <is>
          <t>Bổ sung đầy đủ cột nguồn cho bảng T24CORE.CURRENCY</t>
        </is>
      </c>
      <c r="J374" s="410" t="inlineStr">
        <is>
          <t>2025-11-26</t>
        </is>
      </c>
      <c r="K374" s="385" t="inlineStr">
        <is>
          <t>1:1</t>
        </is>
      </c>
      <c r="L374" s="385" t="inlineStr">
        <is>
          <t>PG_BRONZE</t>
        </is>
      </c>
      <c r="M374" s="386" t="inlineStr">
        <is>
          <t>T24CORE_CURRENCY</t>
        </is>
      </c>
      <c r="N374" s="386" t="inlineStr">
        <is>
          <t>ID</t>
        </is>
      </c>
      <c r="O374" s="385" t="inlineStr">
        <is>
          <t>VARCHAR2</t>
        </is>
      </c>
      <c r="P374" s="420" t="n">
        <v>100</v>
      </c>
      <c r="Q374" s="386">
        <f>"COMMENT ON COLUMN "&amp;L374&amp;"."&amp;M374&amp;"."&amp;N374&amp;" IS '"&amp;E374&amp;"';"</f>
        <v/>
      </c>
      <c r="R374" s="414" t="inlineStr">
        <is>
          <t>Map 1:1 nguyên bản từ T24CORE.CURRENCY.ID -&gt; PG_BRONZE.T24CORE_CURRENCY.ID</t>
        </is>
      </c>
    </row>
    <row r="375" ht="14.25" customHeight="1" s="335">
      <c r="A375" s="412">
        <f>B375&amp;C375&amp;D375</f>
        <v/>
      </c>
      <c r="B375" s="412" t="inlineStr">
        <is>
          <t>T24CORE</t>
        </is>
      </c>
      <c r="C375" s="412" t="inlineStr">
        <is>
          <t>CURRENCY</t>
        </is>
      </c>
      <c r="D375" s="412" t="inlineStr">
        <is>
          <t>CCY_NAME</t>
        </is>
      </c>
      <c r="E375" s="412" t="inlineStr">
        <is>
          <t>Tên đầy đủ của loại tiền tệ</t>
        </is>
      </c>
      <c r="F375" s="410" t="inlineStr">
        <is>
          <t>X</t>
        </is>
      </c>
      <c r="G375" s="412" t="inlineStr">
        <is>
          <t>Currency</t>
        </is>
      </c>
      <c r="H375" s="412" t="inlineStr">
        <is>
          <t>Currency Name</t>
        </is>
      </c>
      <c r="I375" s="412" t="inlineStr">
        <is>
          <t>Bổ sung đầy đủ cột nguồn cho bảng T24CORE.CURRENCY</t>
        </is>
      </c>
      <c r="J375" s="410" t="inlineStr">
        <is>
          <t>2025-11-26</t>
        </is>
      </c>
      <c r="K375" s="385" t="inlineStr">
        <is>
          <t>1:1</t>
        </is>
      </c>
      <c r="L375" s="385" t="inlineStr">
        <is>
          <t>PG_BRONZE</t>
        </is>
      </c>
      <c r="M375" s="386" t="inlineStr">
        <is>
          <t>T24CORE_CURRENCY</t>
        </is>
      </c>
      <c r="N375" s="386" t="inlineStr">
        <is>
          <t>CCY_NAME</t>
        </is>
      </c>
      <c r="O375" s="385" t="inlineStr">
        <is>
          <t>VARCHAR2</t>
        </is>
      </c>
      <c r="P375" s="420" t="n">
        <v>255</v>
      </c>
      <c r="Q375" s="386">
        <f>"COMMENT ON COLUMN "&amp;L375&amp;"."&amp;M375&amp;"."&amp;N375&amp;" IS '"&amp;E375&amp;"';"</f>
        <v/>
      </c>
      <c r="R375" s="414" t="inlineStr">
        <is>
          <t>Map 1:1 nguyên bản từ T24CORE.CURRENCY.CCY_NAME -&gt; PG_BRONZE.T24CORE_CURRENCY.CCY_NAME</t>
        </is>
      </c>
    </row>
    <row r="376" ht="14.25" customHeight="1" s="335">
      <c r="A376" s="412">
        <f>B376&amp;C376&amp;D376</f>
        <v/>
      </c>
      <c r="B376" s="412" t="inlineStr">
        <is>
          <t>T24CORE</t>
        </is>
      </c>
      <c r="C376" s="412" t="inlineStr">
        <is>
          <t>CURRENCY</t>
        </is>
      </c>
      <c r="D376" s="412" t="inlineStr">
        <is>
          <t>NUMERIC_CCY_CODE</t>
        </is>
      </c>
      <c r="E376" s="412" t="inlineStr">
        <is>
          <t>Mã tiền tệ dạng số theo chuẩn ISO</t>
        </is>
      </c>
      <c r="F376" s="410" t="inlineStr">
        <is>
          <t>X</t>
        </is>
      </c>
      <c r="G376" s="412" t="inlineStr">
        <is>
          <t>Currency</t>
        </is>
      </c>
      <c r="H376" s="412" t="inlineStr">
        <is>
          <t>Numeric Currency Code</t>
        </is>
      </c>
      <c r="I376" s="412" t="inlineStr">
        <is>
          <t>Bổ sung đầy đủ cột nguồn cho bảng T24CORE.CURRENCY</t>
        </is>
      </c>
      <c r="J376" s="410" t="inlineStr">
        <is>
          <t>2025-11-26</t>
        </is>
      </c>
      <c r="K376" s="385" t="inlineStr">
        <is>
          <t>1:1</t>
        </is>
      </c>
      <c r="L376" s="385" t="inlineStr">
        <is>
          <t>PG_BRONZE</t>
        </is>
      </c>
      <c r="M376" s="386" t="inlineStr">
        <is>
          <t>T24CORE_CURRENCY</t>
        </is>
      </c>
      <c r="N376" s="386" t="inlineStr">
        <is>
          <t>NUMERIC_CCY_CODE</t>
        </is>
      </c>
      <c r="O376" s="385" t="inlineStr">
        <is>
          <t>VARCHAR2</t>
        </is>
      </c>
      <c r="P376" s="420" t="n">
        <v>100</v>
      </c>
      <c r="Q376" s="386">
        <f>"COMMENT ON COLUMN "&amp;L376&amp;"."&amp;M376&amp;"."&amp;N376&amp;" IS '"&amp;E376&amp;"';"</f>
        <v/>
      </c>
      <c r="R376" s="414" t="inlineStr">
        <is>
          <t>Map 1:1 nguyên bản từ T24CORE.CURRENCY.NUMERIC_CCY_CODE -&gt; PG_BRONZE.T24CORE_CURRENCY.NUMERIC_CCY_CODE</t>
        </is>
      </c>
    </row>
    <row r="377" ht="14.25" customHeight="1" s="335">
      <c r="A377" s="412">
        <f>B377&amp;C377&amp;D377</f>
        <v/>
      </c>
      <c r="B377" s="412" t="inlineStr">
        <is>
          <t>T24CORE</t>
        </is>
      </c>
      <c r="C377" s="412" t="inlineStr">
        <is>
          <t>CURRENCY</t>
        </is>
      </c>
      <c r="D377" s="412" t="inlineStr">
        <is>
          <t>MID_REVAL_RATE</t>
        </is>
      </c>
      <c r="E377" s="412" t="inlineStr">
        <is>
          <t>Tỷ giá đánh giá lại trung bình (Mid Reval Rate)</t>
        </is>
      </c>
      <c r="F377" s="410" t="inlineStr">
        <is>
          <t>X</t>
        </is>
      </c>
      <c r="G377" s="412" t="inlineStr">
        <is>
          <t>Exchange Rate</t>
        </is>
      </c>
      <c r="H377" s="412" t="inlineStr">
        <is>
          <t>Mid Rate</t>
        </is>
      </c>
      <c r="I377" s="412" t="inlineStr">
        <is>
          <t>Bổ sung đầy đủ cột nguồn cho bảng T24CORE.CURRENCY</t>
        </is>
      </c>
      <c r="J377" s="410" t="inlineStr">
        <is>
          <t>2025-11-26</t>
        </is>
      </c>
      <c r="K377" s="385" t="inlineStr">
        <is>
          <t>1:1</t>
        </is>
      </c>
      <c r="L377" s="385" t="inlineStr">
        <is>
          <t>PG_BRONZE</t>
        </is>
      </c>
      <c r="M377" s="386" t="inlineStr">
        <is>
          <t>T24CORE_CURRENCY</t>
        </is>
      </c>
      <c r="N377" s="386" t="inlineStr">
        <is>
          <t>MID_REVAL_RATE</t>
        </is>
      </c>
      <c r="O377" s="385" t="inlineStr">
        <is>
          <t>NUMBER</t>
        </is>
      </c>
      <c r="P377" s="420" t="n">
        <v>13.7</v>
      </c>
      <c r="Q377" s="386">
        <f>"COMMENT ON COLUMN "&amp;L377&amp;"."&amp;M377&amp;"."&amp;N377&amp;" IS '"&amp;E377&amp;"';"</f>
        <v/>
      </c>
      <c r="R377" s="414" t="inlineStr">
        <is>
          <t>Map 1:1 nguyên bản từ T24CORE.CURRENCY.MID_REVAL_RATE -&gt; PG_BRONZE.T24CORE_CURRENCY.MID_REVAL_RATE</t>
        </is>
      </c>
    </row>
    <row r="378" ht="14.25" customHeight="1" s="335">
      <c r="A378" s="412">
        <f>B378&amp;C378&amp;D378</f>
        <v/>
      </c>
      <c r="B378" s="412" t="inlineStr">
        <is>
          <t>T24CORE</t>
        </is>
      </c>
      <c r="C378" s="412" t="inlineStr">
        <is>
          <t>CURRENCY</t>
        </is>
      </c>
      <c r="D378" s="412" t="inlineStr">
        <is>
          <t>DATE_TIME</t>
        </is>
      </c>
      <c r="E378" s="412" t="inlineStr">
        <is>
          <t>Thời điểm cập nhật bản ghi tỷ giá trên Core T24</t>
        </is>
      </c>
      <c r="F378" s="410" t="inlineStr">
        <is>
          <t>X</t>
        </is>
      </c>
      <c r="G378" s="412" t="inlineStr">
        <is>
          <t>Exchange Rate</t>
        </is>
      </c>
      <c r="H378" s="412" t="inlineStr">
        <is>
          <t>Date Time</t>
        </is>
      </c>
      <c r="I378" s="412" t="inlineStr">
        <is>
          <t>Bổ sung đầy đủ cột nguồn cho bảng T24CORE.CURRENCY</t>
        </is>
      </c>
      <c r="J378" s="410" t="inlineStr">
        <is>
          <t>2025-11-26</t>
        </is>
      </c>
      <c r="K378" s="385" t="inlineStr">
        <is>
          <t>1:1</t>
        </is>
      </c>
      <c r="L378" s="385" t="inlineStr">
        <is>
          <t>PG_BRONZE</t>
        </is>
      </c>
      <c r="M378" s="386" t="inlineStr">
        <is>
          <t>T24CORE_CURRENCY</t>
        </is>
      </c>
      <c r="N378" s="386" t="inlineStr">
        <is>
          <t>DATE_TIME</t>
        </is>
      </c>
      <c r="O378" s="385" t="inlineStr">
        <is>
          <t>DATE</t>
        </is>
      </c>
      <c r="P378" s="420" t="n">
        <v>8</v>
      </c>
      <c r="Q378" s="386">
        <f>"COMMENT ON COLUMN "&amp;L378&amp;"."&amp;M378&amp;"."&amp;N378&amp;" IS '"&amp;E378&amp;"';"</f>
        <v/>
      </c>
      <c r="R378" s="414" t="inlineStr">
        <is>
          <t>Map 1:1 nguyên bản từ T24CORE.CURRENCY.DATE_TIME -&gt; PG_BRONZE.T24CORE_CURRENCY.DATE_TIME</t>
        </is>
      </c>
    </row>
    <row r="379" ht="14.25" customHeight="1" s="335">
      <c r="A379" s="412">
        <f>B379&amp;C379&amp;D379</f>
        <v/>
      </c>
      <c r="B379" s="412" t="inlineStr">
        <is>
          <t>T24CORE</t>
        </is>
      </c>
      <c r="C379" s="412" t="inlineStr">
        <is>
          <t>CURRENCY</t>
        </is>
      </c>
      <c r="D379" s="412" t="inlineStr">
        <is>
          <t>CURR_NO</t>
        </is>
      </c>
      <c r="E379" s="412" t="inlineStr">
        <is>
          <t>Số thứ tự phiên bản bản ghi tiền tệ (Curr No)</t>
        </is>
      </c>
      <c r="F379" s="410" t="inlineStr">
        <is>
          <t>X</t>
        </is>
      </c>
      <c r="G379" s="412" t="inlineStr">
        <is>
          <t>Exchange Rate</t>
        </is>
      </c>
      <c r="H379" s="412" t="inlineStr">
        <is>
          <t>Current Number</t>
        </is>
      </c>
      <c r="I379" s="412" t="inlineStr">
        <is>
          <t>Bổ sung đầy đủ cột nguồn cho bảng T24CORE.CURRENCY</t>
        </is>
      </c>
      <c r="J379" s="410" t="inlineStr">
        <is>
          <t>2025-11-26</t>
        </is>
      </c>
      <c r="K379" s="385" t="inlineStr">
        <is>
          <t>1:1</t>
        </is>
      </c>
      <c r="L379" s="385" t="inlineStr">
        <is>
          <t>PG_BRONZE</t>
        </is>
      </c>
      <c r="M379" s="386" t="inlineStr">
        <is>
          <t>T24CORE_CURRENCY</t>
        </is>
      </c>
      <c r="N379" s="386" t="inlineStr">
        <is>
          <t>CURR_NO</t>
        </is>
      </c>
      <c r="O379" s="385" t="inlineStr">
        <is>
          <t>NUMBER</t>
        </is>
      </c>
      <c r="P379" s="420" t="n">
        <v>10</v>
      </c>
      <c r="Q379" s="386">
        <f>"COMMENT ON COLUMN "&amp;L379&amp;"."&amp;M379&amp;"."&amp;N379&amp;" IS '"&amp;E379&amp;"';"</f>
        <v/>
      </c>
      <c r="R379" s="414" t="inlineStr">
        <is>
          <t>Map 1:1 nguyên bản từ T24CORE.CURRENCY.CURR_NO -&gt; PG_BRONZE.T24CORE_CURRENCY.CURR_NO</t>
        </is>
      </c>
    </row>
    <row r="380" ht="14.25" customHeight="1" s="335">
      <c r="A380" s="412">
        <f>B380&amp;C380&amp;D380</f>
        <v/>
      </c>
      <c r="B380" s="412" t="inlineStr">
        <is>
          <t>T24CORE</t>
        </is>
      </c>
      <c r="C380" s="412" t="inlineStr">
        <is>
          <t>CURRENCY_HIS</t>
        </is>
      </c>
      <c r="D380" s="412" t="inlineStr">
        <is>
          <t>ID</t>
        </is>
      </c>
      <c r="E380" s="412" t="inlineStr">
        <is>
          <t>Mã bản ghi lịch sử tiền tệ (ID;CURR_NO)</t>
        </is>
      </c>
      <c r="F380" s="410" t="inlineStr">
        <is>
          <t>X</t>
        </is>
      </c>
      <c r="G380" s="412" t="inlineStr">
        <is>
          <t>Exchange Rate</t>
        </is>
      </c>
      <c r="H380" s="412" t="inlineStr">
        <is>
          <t>First Currency Code</t>
        </is>
      </c>
      <c r="I380" s="412" t="inlineStr">
        <is>
          <t>Bổ sung đầy đủ cột nguồn cho bảng T24CORE.CURRENCY_HIS</t>
        </is>
      </c>
      <c r="J380" s="410" t="inlineStr">
        <is>
          <t>2025-11-26</t>
        </is>
      </c>
      <c r="K380" s="385" t="inlineStr">
        <is>
          <t>1:1</t>
        </is>
      </c>
      <c r="L380" s="385" t="inlineStr">
        <is>
          <t>PG_BRONZE</t>
        </is>
      </c>
      <c r="M380" s="386" t="inlineStr">
        <is>
          <t>T24CORE_CURRENCY_HIS</t>
        </is>
      </c>
      <c r="N380" s="386" t="inlineStr">
        <is>
          <t>ID</t>
        </is>
      </c>
      <c r="O380" s="385" t="inlineStr">
        <is>
          <t>VARCHAR2</t>
        </is>
      </c>
      <c r="P380" s="420" t="n">
        <v>100</v>
      </c>
      <c r="Q380" s="386">
        <f>"COMMENT ON COLUMN "&amp;L380&amp;"."&amp;M380&amp;"."&amp;N380&amp;" IS '"&amp;E380&amp;"';"</f>
        <v/>
      </c>
      <c r="R380" s="414" t="inlineStr">
        <is>
          <t>Map 1:1 nguyên bản từ T24CORE.CURRENCY_HIS.ID -&gt; PG_BRONZE.T24CORE_CURRENCY_HIS.ID</t>
        </is>
      </c>
    </row>
    <row r="381" ht="14.25" customHeight="1" s="335">
      <c r="A381" s="412">
        <f>B381&amp;C381&amp;D381</f>
        <v/>
      </c>
      <c r="B381" s="412" t="inlineStr">
        <is>
          <t>T24CORE</t>
        </is>
      </c>
      <c r="C381" s="412" t="inlineStr">
        <is>
          <t>CURRENCY_HIS</t>
        </is>
      </c>
      <c r="D381" s="412" t="inlineStr">
        <is>
          <t>MID_REVAL_RATE</t>
        </is>
      </c>
      <c r="E381" s="412" t="inlineStr">
        <is>
          <t>Tỷ giá đánh giá lại trung bình lịch sử</t>
        </is>
      </c>
      <c r="F381" s="410" t="inlineStr">
        <is>
          <t>X</t>
        </is>
      </c>
      <c r="G381" s="412" t="inlineStr">
        <is>
          <t>Exchange Rate</t>
        </is>
      </c>
      <c r="H381" s="412" t="inlineStr">
        <is>
          <t>Mid Rate</t>
        </is>
      </c>
      <c r="I381" s="412" t="inlineStr">
        <is>
          <t>Bổ sung đầy đủ cột nguồn cho bảng T24CORE.CURRENCY_HIS</t>
        </is>
      </c>
      <c r="J381" s="410" t="inlineStr">
        <is>
          <t>2025-11-26</t>
        </is>
      </c>
      <c r="K381" s="385" t="inlineStr">
        <is>
          <t>1:1</t>
        </is>
      </c>
      <c r="L381" s="385" t="inlineStr">
        <is>
          <t>PG_BRONZE</t>
        </is>
      </c>
      <c r="M381" s="386" t="inlineStr">
        <is>
          <t>T24CORE_CURRENCY_HIS</t>
        </is>
      </c>
      <c r="N381" s="386" t="inlineStr">
        <is>
          <t>MID_REVAL_RATE</t>
        </is>
      </c>
      <c r="O381" s="385" t="inlineStr">
        <is>
          <t>NUMBER</t>
        </is>
      </c>
      <c r="P381" s="420" t="n">
        <v>13.7</v>
      </c>
      <c r="Q381" s="386">
        <f>"COMMENT ON COLUMN "&amp;L381&amp;"."&amp;M381&amp;"."&amp;N381&amp;" IS '"&amp;E381&amp;"';"</f>
        <v/>
      </c>
      <c r="R381" s="414" t="inlineStr">
        <is>
          <t>Map 1:1 nguyên bản từ T24CORE.CURRENCY_HIS.MID_REVAL_RATE -&gt; PG_BRONZE.T24CORE_CURRENCY_HIS.MID_REVAL_RATE</t>
        </is>
      </c>
    </row>
    <row r="382" ht="14.25" customHeight="1" s="335">
      <c r="A382" s="412">
        <f>B382&amp;C382&amp;D382</f>
        <v/>
      </c>
      <c r="B382" s="412" t="inlineStr">
        <is>
          <t>T24CORE</t>
        </is>
      </c>
      <c r="C382" s="412" t="inlineStr">
        <is>
          <t>CURRENCY_HIS</t>
        </is>
      </c>
      <c r="D382" s="412" t="inlineStr">
        <is>
          <t>DATE_TIME</t>
        </is>
      </c>
      <c r="E382" s="412" t="inlineStr">
        <is>
          <t>Thời điểm cập nhật tỷ giá lịch sử</t>
        </is>
      </c>
      <c r="F382" s="410" t="inlineStr">
        <is>
          <t>X</t>
        </is>
      </c>
      <c r="G382" s="412" t="inlineStr">
        <is>
          <t>Exchange Rate</t>
        </is>
      </c>
      <c r="H382" s="412" t="inlineStr">
        <is>
          <t>Date Time</t>
        </is>
      </c>
      <c r="I382" s="412" t="inlineStr">
        <is>
          <t>Bổ sung đầy đủ cột nguồn cho bảng T24CORE.CURRENCY_HIS</t>
        </is>
      </c>
      <c r="J382" s="410" t="inlineStr">
        <is>
          <t>2025-11-26</t>
        </is>
      </c>
      <c r="K382" s="385" t="inlineStr">
        <is>
          <t>1:1</t>
        </is>
      </c>
      <c r="L382" s="385" t="inlineStr">
        <is>
          <t>PG_BRONZE</t>
        </is>
      </c>
      <c r="M382" s="386" t="inlineStr">
        <is>
          <t>T24CORE_CURRENCY_HIS</t>
        </is>
      </c>
      <c r="N382" s="386" t="inlineStr">
        <is>
          <t>DATE_TIME</t>
        </is>
      </c>
      <c r="O382" s="385" t="inlineStr">
        <is>
          <t>DATE</t>
        </is>
      </c>
      <c r="P382" s="420" t="n">
        <v>8</v>
      </c>
      <c r="Q382" s="386">
        <f>"COMMENT ON COLUMN "&amp;L382&amp;"."&amp;M382&amp;"."&amp;N382&amp;" IS '"&amp;E382&amp;"';"</f>
        <v/>
      </c>
      <c r="R382" s="414" t="inlineStr">
        <is>
          <t>Map 1:1 nguyên bản từ T24CORE.CURRENCY_HIS.DATE_TIME -&gt; PG_BRONZE.T24CORE_CURRENCY_HIS.DATE_TIME</t>
        </is>
      </c>
    </row>
    <row r="383" ht="14.25" customHeight="1" s="335">
      <c r="A383" s="412">
        <f>B383&amp;C383&amp;D383</f>
        <v/>
      </c>
      <c r="B383" s="412" t="inlineStr">
        <is>
          <t>T24CORE</t>
        </is>
      </c>
      <c r="C383" s="412" t="inlineStr">
        <is>
          <t>CURRENCY_HIS</t>
        </is>
      </c>
      <c r="D383" s="412" t="inlineStr">
        <is>
          <t>CURR_NO</t>
        </is>
      </c>
      <c r="E383" s="412" t="inlineStr">
        <is>
          <t>Số thứ tự phiên bản lịch sử tỷ giá</t>
        </is>
      </c>
      <c r="F383" s="410" t="inlineStr">
        <is>
          <t>X</t>
        </is>
      </c>
      <c r="G383" s="412" t="inlineStr">
        <is>
          <t>Exchange Rate</t>
        </is>
      </c>
      <c r="H383" s="412" t="inlineStr">
        <is>
          <t>Current Number</t>
        </is>
      </c>
      <c r="I383" s="412" t="inlineStr">
        <is>
          <t>Bổ sung đầy đủ cột nguồn cho bảng T24CORE.CURRENCY_HIS</t>
        </is>
      </c>
      <c r="J383" s="410" t="inlineStr">
        <is>
          <t>2025-11-26</t>
        </is>
      </c>
      <c r="K383" s="385" t="inlineStr">
        <is>
          <t>1:1</t>
        </is>
      </c>
      <c r="L383" s="385" t="inlineStr">
        <is>
          <t>PG_BRONZE</t>
        </is>
      </c>
      <c r="M383" s="386" t="inlineStr">
        <is>
          <t>T24CORE_CURRENCY_HIS</t>
        </is>
      </c>
      <c r="N383" s="386" t="inlineStr">
        <is>
          <t>CURR_NO</t>
        </is>
      </c>
      <c r="O383" s="385" t="inlineStr">
        <is>
          <t>NUMBER</t>
        </is>
      </c>
      <c r="P383" s="420" t="n">
        <v>10</v>
      </c>
      <c r="Q383" s="386">
        <f>"COMMENT ON COLUMN "&amp;L383&amp;"."&amp;M383&amp;"."&amp;N383&amp;" IS '"&amp;E383&amp;"';"</f>
        <v/>
      </c>
      <c r="R383" s="414" t="inlineStr">
        <is>
          <t>Map 1:1 nguyên bản từ T24CORE.CURRENCY_HIS.CURR_NO -&gt; PG_BRONZE.T24CORE_CURRENCY_HIS.CURR_NO</t>
        </is>
      </c>
    </row>
    <row r="384" ht="14.25" customHeight="1" s="335">
      <c r="A384" s="412">
        <f>B384&amp;C384&amp;D384</f>
        <v/>
      </c>
      <c r="B384" s="412" t="inlineStr">
        <is>
          <t>T24CORE</t>
        </is>
      </c>
      <c r="C384" s="412" t="inlineStr">
        <is>
          <t>LIMIT</t>
        </is>
      </c>
      <c r="D384" s="412" t="inlineStr">
        <is>
          <t>RECID</t>
        </is>
      </c>
      <c r="E384" s="412" t="inlineStr">
        <is>
          <t>Mã định danh hạn mức tín dụng (Limit ID)</t>
        </is>
      </c>
      <c r="F384" s="410" t="inlineStr">
        <is>
          <t>X</t>
        </is>
      </c>
      <c r="G384" s="412" t="inlineStr">
        <is>
          <t>Limit</t>
        </is>
      </c>
      <c r="H384" s="412" t="inlineStr">
        <is>
          <t>Limit ID / Limit Code</t>
        </is>
      </c>
      <c r="I384" s="412" t="inlineStr">
        <is>
          <t>Bổ sung đầy đủ cột nguồn cho bảng T24CORE.LIMIT</t>
        </is>
      </c>
      <c r="J384" s="410" t="inlineStr">
        <is>
          <t>2025-11-26</t>
        </is>
      </c>
      <c r="K384" s="385" t="inlineStr">
        <is>
          <t>1:1</t>
        </is>
      </c>
      <c r="L384" s="385" t="inlineStr">
        <is>
          <t>PG_BRONZE</t>
        </is>
      </c>
      <c r="M384" s="386" t="inlineStr">
        <is>
          <t>T24CORE_LIMIT</t>
        </is>
      </c>
      <c r="N384" s="386" t="inlineStr">
        <is>
          <t>RECID</t>
        </is>
      </c>
      <c r="O384" s="385" t="inlineStr">
        <is>
          <t>VARCHAR2</t>
        </is>
      </c>
      <c r="P384" s="420" t="n">
        <v>100</v>
      </c>
      <c r="Q384" s="386">
        <f>"COMMENT ON COLUMN "&amp;L384&amp;"."&amp;M384&amp;"."&amp;N384&amp;" IS '"&amp;E384&amp;"';"</f>
        <v/>
      </c>
      <c r="R384" s="414" t="inlineStr">
        <is>
          <t>Map 1:1 nguyên bản từ T24CORE.LIMIT.RECID -&gt; PG_BRONZE.T24CORE_LIMIT.RECID</t>
        </is>
      </c>
    </row>
    <row r="385" ht="14.25" customHeight="1" s="335">
      <c r="A385" s="412">
        <f>B385&amp;C385&amp;D385</f>
        <v/>
      </c>
      <c r="B385" s="412" t="inlineStr">
        <is>
          <t>T24CORE</t>
        </is>
      </c>
      <c r="C385" s="412" t="inlineStr">
        <is>
          <t>LIMIT</t>
        </is>
      </c>
      <c r="D385" s="412" t="inlineStr">
        <is>
          <t>LIMIT_PRODUCT</t>
        </is>
      </c>
      <c r="E385" s="412" t="inlineStr">
        <is>
          <t>Mã sản phẩm hạn mức tín dụng</t>
        </is>
      </c>
      <c r="F385" s="410" t="inlineStr">
        <is>
          <t>X</t>
        </is>
      </c>
      <c r="G385" s="412" t="inlineStr">
        <is>
          <t>Limit</t>
        </is>
      </c>
      <c r="H385" s="412" t="inlineStr">
        <is>
          <t>Limit Product Code</t>
        </is>
      </c>
      <c r="I385" s="412" t="inlineStr">
        <is>
          <t>Bổ sung đầy đủ cột nguồn cho bảng T24CORE.LIMIT</t>
        </is>
      </c>
      <c r="J385" s="410" t="inlineStr">
        <is>
          <t>2025-11-26</t>
        </is>
      </c>
      <c r="K385" s="385" t="inlineStr">
        <is>
          <t>1:1</t>
        </is>
      </c>
      <c r="L385" s="385" t="inlineStr">
        <is>
          <t>PG_BRONZE</t>
        </is>
      </c>
      <c r="M385" s="386" t="inlineStr">
        <is>
          <t>T24CORE_LIMIT</t>
        </is>
      </c>
      <c r="N385" s="386" t="inlineStr">
        <is>
          <t>LIMIT_PRODUCT</t>
        </is>
      </c>
      <c r="O385" s="385" t="inlineStr">
        <is>
          <t>VARCHAR2</t>
        </is>
      </c>
      <c r="P385" s="420" t="n">
        <v>100</v>
      </c>
      <c r="Q385" s="386">
        <f>"COMMENT ON COLUMN "&amp;L385&amp;"."&amp;M385&amp;"."&amp;N385&amp;" IS '"&amp;E385&amp;"';"</f>
        <v/>
      </c>
      <c r="R385" s="414" t="inlineStr">
        <is>
          <t>Map 1:1 nguyên bản từ T24CORE.LIMIT.LIMIT_PRODUCT -&gt; PG_BRONZE.T24CORE_LIMIT.LIMIT_PRODUCT</t>
        </is>
      </c>
    </row>
    <row r="386" ht="14.25" customHeight="1" s="335">
      <c r="A386" s="412">
        <f>B386&amp;C386&amp;D386</f>
        <v/>
      </c>
      <c r="B386" s="412" t="inlineStr">
        <is>
          <t>T24CORE</t>
        </is>
      </c>
      <c r="C386" s="412" t="inlineStr">
        <is>
          <t>LIMIT</t>
        </is>
      </c>
      <c r="D386" s="412" t="inlineStr">
        <is>
          <t>INTERNAL_AMOUNT</t>
        </is>
      </c>
      <c r="E386" s="412" t="inlineStr">
        <is>
          <t>Số tiền hạn mức nội bộ được cấp</t>
        </is>
      </c>
      <c r="F386" s="410" t="inlineStr">
        <is>
          <t>X</t>
        </is>
      </c>
      <c r="G386" s="412" t="inlineStr">
        <is>
          <t>Limit</t>
        </is>
      </c>
      <c r="H386" s="412" t="inlineStr">
        <is>
          <t>Internal Limit Amount</t>
        </is>
      </c>
      <c r="I386" s="412" t="inlineStr">
        <is>
          <t>Bổ sung đầy đủ cột nguồn cho bảng T24CORE.LIMIT</t>
        </is>
      </c>
      <c r="J386" s="410" t="inlineStr">
        <is>
          <t>2025-11-26</t>
        </is>
      </c>
      <c r="K386" s="385" t="inlineStr">
        <is>
          <t>1:1</t>
        </is>
      </c>
      <c r="L386" s="385" t="inlineStr">
        <is>
          <t>PG_BRONZE</t>
        </is>
      </c>
      <c r="M386" s="386" t="inlineStr">
        <is>
          <t>T24CORE_LIMIT</t>
        </is>
      </c>
      <c r="N386" s="386" t="inlineStr">
        <is>
          <t>INTERNAL_AMOUNT</t>
        </is>
      </c>
      <c r="O386" s="385" t="inlineStr">
        <is>
          <t>NUMBER</t>
        </is>
      </c>
      <c r="P386" s="420" t="n">
        <v>25.5</v>
      </c>
      <c r="Q386" s="386">
        <f>"COMMENT ON COLUMN "&amp;L386&amp;"."&amp;M386&amp;"."&amp;N386&amp;" IS '"&amp;E386&amp;"';"</f>
        <v/>
      </c>
      <c r="R386" s="414" t="inlineStr">
        <is>
          <t>Map 1:1 nguyên bản từ T24CORE.LIMIT.INTERNAL_AMOUNT -&gt; PG_BRONZE.T24CORE_LIMIT.INTERNAL_AMOUNT</t>
        </is>
      </c>
    </row>
    <row r="387" ht="14.25" customHeight="1" s="335">
      <c r="A387" s="412">
        <f>B387&amp;C387&amp;D387</f>
        <v/>
      </c>
      <c r="B387" s="412" t="inlineStr">
        <is>
          <t>T24CORE</t>
        </is>
      </c>
      <c r="C387" s="412" t="inlineStr">
        <is>
          <t>LIMIT</t>
        </is>
      </c>
      <c r="D387" s="412" t="inlineStr">
        <is>
          <t>MAXIMUM_TOTAL</t>
        </is>
      </c>
      <c r="E387" s="412" t="inlineStr">
        <is>
          <t>Tổng hạn mức tối đa được phê duyệt</t>
        </is>
      </c>
      <c r="F387" s="410" t="inlineStr">
        <is>
          <t>X</t>
        </is>
      </c>
      <c r="G387" s="412" t="inlineStr">
        <is>
          <t>Limit</t>
        </is>
      </c>
      <c r="H387" s="412" t="inlineStr">
        <is>
          <t>Maximum Total Limit</t>
        </is>
      </c>
      <c r="I387" s="412" t="inlineStr">
        <is>
          <t>Bổ sung đầy đủ cột nguồn cho bảng T24CORE.LIMIT</t>
        </is>
      </c>
      <c r="J387" s="410" t="inlineStr">
        <is>
          <t>2025-11-26</t>
        </is>
      </c>
      <c r="K387" s="385" t="inlineStr">
        <is>
          <t>1:1</t>
        </is>
      </c>
      <c r="L387" s="385" t="inlineStr">
        <is>
          <t>PG_BRONZE</t>
        </is>
      </c>
      <c r="M387" s="386" t="inlineStr">
        <is>
          <t>T24CORE_LIMIT</t>
        </is>
      </c>
      <c r="N387" s="386" t="inlineStr">
        <is>
          <t>MAXIMUM_TOTAL</t>
        </is>
      </c>
      <c r="O387" s="385" t="inlineStr">
        <is>
          <t>NUMBER</t>
        </is>
      </c>
      <c r="P387" s="420" t="n">
        <v>25.5</v>
      </c>
      <c r="Q387" s="386">
        <f>"COMMENT ON COLUMN "&amp;L387&amp;"."&amp;M387&amp;"."&amp;N387&amp;" IS '"&amp;E387&amp;"';"</f>
        <v/>
      </c>
      <c r="R387" s="414" t="inlineStr">
        <is>
          <t>Map 1:1 nguyên bản từ T24CORE.LIMIT.MAXIMUM_TOTAL -&gt; PG_BRONZE.T24CORE_LIMIT.MAXIMUM_TOTAL</t>
        </is>
      </c>
    </row>
    <row r="388" ht="14.25" customHeight="1" s="335">
      <c r="A388" s="412">
        <f>B388&amp;C388&amp;D388</f>
        <v/>
      </c>
      <c r="B388" s="412" t="inlineStr">
        <is>
          <t>T24CORE</t>
        </is>
      </c>
      <c r="C388" s="412" t="inlineStr">
        <is>
          <t>LIMIT</t>
        </is>
      </c>
      <c r="D388" s="412" t="inlineStr">
        <is>
          <t>ONLINE_LIMIT_DATE</t>
        </is>
      </c>
      <c r="E388" s="412" t="inlineStr">
        <is>
          <t>Ngày hiệu lực hạn mức trực tuyến</t>
        </is>
      </c>
      <c r="F388" s="410" t="inlineStr">
        <is>
          <t>X</t>
        </is>
      </c>
      <c r="G388" s="412" t="inlineStr">
        <is>
          <t>Limit</t>
        </is>
      </c>
      <c r="H388" s="412" t="inlineStr">
        <is>
          <t>Online Limit Effective Date</t>
        </is>
      </c>
      <c r="I388" s="412" t="inlineStr">
        <is>
          <t>Bổ sung đầy đủ cột nguồn cho bảng T24CORE.LIMIT</t>
        </is>
      </c>
      <c r="J388" s="410" t="inlineStr">
        <is>
          <t>2025-11-26</t>
        </is>
      </c>
      <c r="K388" s="385" t="inlineStr">
        <is>
          <t>1:1</t>
        </is>
      </c>
      <c r="L388" s="385" t="inlineStr">
        <is>
          <t>PG_BRONZE</t>
        </is>
      </c>
      <c r="M388" s="386" t="inlineStr">
        <is>
          <t>T24CORE_LIMIT</t>
        </is>
      </c>
      <c r="N388" s="386" t="inlineStr">
        <is>
          <t>ONLINE_LIMIT_DATE</t>
        </is>
      </c>
      <c r="O388" s="385" t="inlineStr">
        <is>
          <t>DATE</t>
        </is>
      </c>
      <c r="P388" s="420" t="n">
        <v>8</v>
      </c>
      <c r="Q388" s="386">
        <f>"COMMENT ON COLUMN "&amp;L388&amp;"."&amp;M388&amp;"."&amp;N388&amp;" IS '"&amp;E388&amp;"';"</f>
        <v/>
      </c>
      <c r="R388" s="414" t="inlineStr">
        <is>
          <t>Map 1:1 nguyên bản từ T24CORE.LIMIT.ONLINE_LIMIT_DATE -&gt; PG_BRONZE.T24CORE_LIMIT.ONLINE_LIMIT_DATE</t>
        </is>
      </c>
    </row>
    <row r="389" ht="14.25" customHeight="1" s="335">
      <c r="A389" s="412">
        <f>B389&amp;C389&amp;D389</f>
        <v/>
      </c>
      <c r="B389" s="412" t="inlineStr">
        <is>
          <t>T24CORE</t>
        </is>
      </c>
      <c r="C389" s="412" t="inlineStr">
        <is>
          <t>LIMIT</t>
        </is>
      </c>
      <c r="D389" s="412" t="inlineStr">
        <is>
          <t>EXPIRY_DATE</t>
        </is>
      </c>
      <c r="E389" s="412" t="inlineStr">
        <is>
          <t>Ngày hết hạn hạn mức tín dụng</t>
        </is>
      </c>
      <c r="F389" s="410" t="inlineStr">
        <is>
          <t>X</t>
        </is>
      </c>
      <c r="G389" s="412" t="inlineStr">
        <is>
          <t>Limit</t>
        </is>
      </c>
      <c r="H389" s="412" t="inlineStr">
        <is>
          <t>Limit Expiry Date</t>
        </is>
      </c>
      <c r="I389" s="412" t="inlineStr">
        <is>
          <t>Bổ sung đầy đủ cột nguồn cho bảng T24CORE.LIMIT</t>
        </is>
      </c>
      <c r="J389" s="410" t="inlineStr">
        <is>
          <t>2025-11-26</t>
        </is>
      </c>
      <c r="K389" s="385" t="inlineStr">
        <is>
          <t>1:1</t>
        </is>
      </c>
      <c r="L389" s="385" t="inlineStr">
        <is>
          <t>PG_BRONZE</t>
        </is>
      </c>
      <c r="M389" s="386" t="inlineStr">
        <is>
          <t>T24CORE_LIMIT</t>
        </is>
      </c>
      <c r="N389" s="386" t="inlineStr">
        <is>
          <t>EXPIRY_DATE</t>
        </is>
      </c>
      <c r="O389" s="385" t="inlineStr">
        <is>
          <t>DATE</t>
        </is>
      </c>
      <c r="P389" s="420" t="n">
        <v>8</v>
      </c>
      <c r="Q389" s="386">
        <f>"COMMENT ON COLUMN "&amp;L389&amp;"."&amp;M389&amp;"."&amp;N389&amp;" IS '"&amp;E389&amp;"';"</f>
        <v/>
      </c>
      <c r="R389" s="414" t="inlineStr">
        <is>
          <t>Map 1:1 nguyên bản từ T24CORE.LIMIT.EXPIRY_DATE -&gt; PG_BRONZE.T24CORE_LIMIT.EXPIRY_DATE</t>
        </is>
      </c>
    </row>
    <row r="390" ht="14.25" customHeight="1" s="335">
      <c r="A390" s="412">
        <f>B390&amp;C390&amp;D390</f>
        <v/>
      </c>
      <c r="B390" s="412" t="inlineStr">
        <is>
          <t>LOS_APP</t>
        </is>
      </c>
      <c r="C390" s="412" t="inlineStr">
        <is>
          <t>PRODUCT@TO_LOS</t>
        </is>
      </c>
      <c r="D390" s="412" t="inlineStr">
        <is>
          <t>RECID</t>
        </is>
      </c>
      <c r="E390" s="412" t="inlineStr">
        <is>
          <t>Khóa bản ghi danh mục sản phẩm trên LOS</t>
        </is>
      </c>
      <c r="F390" s="410" t="inlineStr">
        <is>
          <t>X</t>
        </is>
      </c>
      <c r="G390" s="412" t="inlineStr">
        <is>
          <t>Product</t>
        </is>
      </c>
      <c r="H390" s="412" t="inlineStr">
        <is>
          <t>Product ID</t>
        </is>
      </c>
      <c r="I390" s="412" t="inlineStr">
        <is>
          <t>Bổ sung đầy đủ cột nguồn cho bảng LOS_APP.PRODUCT@TO_LOS</t>
        </is>
      </c>
      <c r="J390" s="410" t="inlineStr">
        <is>
          <t>2025-11-26</t>
        </is>
      </c>
      <c r="K390" s="385" t="inlineStr">
        <is>
          <t>1:1</t>
        </is>
      </c>
      <c r="L390" s="385" t="inlineStr">
        <is>
          <t>PG_BRONZE</t>
        </is>
      </c>
      <c r="M390" s="386" t="inlineStr">
        <is>
          <t>LOS_APP_PRODUCT</t>
        </is>
      </c>
      <c r="N390" s="386" t="inlineStr">
        <is>
          <t>RECID</t>
        </is>
      </c>
      <c r="O390" s="385" t="inlineStr">
        <is>
          <t>VARCHAR2</t>
        </is>
      </c>
      <c r="P390" s="420" t="n">
        <v>100</v>
      </c>
      <c r="Q390" s="386">
        <f>"COMMENT ON COLUMN "&amp;L390&amp;"."&amp;M390&amp;"."&amp;N390&amp;" IS '"&amp;E390&amp;"';"</f>
        <v/>
      </c>
      <c r="R390" s="414" t="inlineStr">
        <is>
          <t>Map 1:1 nguyên bản từ LOS_APP.PRODUCT@TO_LOS.RECID -&gt; PG_BRONZE.LOS_APP_PRODUCT.RECID</t>
        </is>
      </c>
    </row>
    <row r="391" ht="14.25" customHeight="1" s="335">
      <c r="A391" s="412">
        <f>B391&amp;C391&amp;D391</f>
        <v/>
      </c>
      <c r="B391" s="412" t="inlineStr">
        <is>
          <t>T24CORE</t>
        </is>
      </c>
      <c r="C391" s="412" t="inlineStr">
        <is>
          <t>PD_PAYMENT_DUE</t>
        </is>
      </c>
      <c r="D391" s="412" t="inlineStr">
        <is>
          <t>REPAYMENT_ACCT</t>
        </is>
      </c>
      <c r="E391" s="412" t="inlineStr">
        <is>
          <t>Tài khoản thu nợ quá hạn (Repayment Account)</t>
        </is>
      </c>
      <c r="F391" s="410" t="inlineStr">
        <is>
          <t>X</t>
        </is>
      </c>
      <c r="G391" s="412" t="inlineStr">
        <is>
          <t>Loan Arrangement Profile</t>
        </is>
      </c>
      <c r="H391" s="412" t="inlineStr">
        <is>
          <t>Interest Liquidation Arrangement Code</t>
        </is>
      </c>
      <c r="I391" s="412" t="inlineStr">
        <is>
          <t>Bổ sung đầy đủ cột nguồn cho bảng T24CORE.PD_PAYMENT_DUE</t>
        </is>
      </c>
      <c r="J391" s="410" t="inlineStr">
        <is>
          <t>2025-11-26</t>
        </is>
      </c>
      <c r="K391" s="385" t="inlineStr">
        <is>
          <t>1:1</t>
        </is>
      </c>
      <c r="L391" s="385" t="inlineStr">
        <is>
          <t>PG_BRONZE</t>
        </is>
      </c>
      <c r="M391" s="386" t="inlineStr">
        <is>
          <t>T24CORE_PD_PAYMENT_DUE</t>
        </is>
      </c>
      <c r="N391" s="386" t="inlineStr">
        <is>
          <t>REPAYMENT_ACCT</t>
        </is>
      </c>
      <c r="O391" s="385" t="inlineStr">
        <is>
          <t>VARCHAR2</t>
        </is>
      </c>
      <c r="P391" s="420" t="n">
        <v>100</v>
      </c>
      <c r="Q391" s="386">
        <f>"COMMENT ON COLUMN "&amp;L391&amp;"."&amp;M391&amp;"."&amp;N391&amp;" IS '"&amp;E391&amp;"';"</f>
        <v/>
      </c>
      <c r="R391" s="414" t="inlineStr">
        <is>
          <t>Map 1:1 nguyên bản từ T24CORE.PD_PAYMENT_DUE.REPAYMENT_ACCT -&gt; PG_BRONZE.T24CORE_PD_PAYMENT_DUE.REPAYMENT_ACCT</t>
        </is>
      </c>
    </row>
    <row r="392" ht="14.25" customHeight="1" s="335">
      <c r="A392" s="412">
        <f>B392&amp;C392&amp;D392</f>
        <v/>
      </c>
      <c r="B392" s="412" t="inlineStr">
        <is>
          <t>T24CORE</t>
        </is>
      </c>
      <c r="C392" s="412" t="inlineStr">
        <is>
          <t>PD_PAYMENT_DUE_HIS_MV</t>
        </is>
      </c>
      <c r="D392" s="412" t="inlineStr">
        <is>
          <t>PAYMENT_DTE_DUE</t>
        </is>
      </c>
      <c r="E392" s="412" t="inlineStr">
        <is>
          <t>Hạn thanh toán lịch sử quá hạn</t>
        </is>
      </c>
      <c r="F392" s="410" t="inlineStr">
        <is>
          <t>X</t>
        </is>
      </c>
      <c r="G392" s="412" t="inlineStr">
        <is>
          <t>Arrangement Delinquency Summary / sk_lich_tra_no</t>
        </is>
      </c>
      <c r="H392" s="412" t="inlineStr">
        <is>
          <t>Payment Date Due</t>
        </is>
      </c>
      <c r="I392" s="412" t="inlineStr">
        <is>
          <t>Bổ sung cột nguồn PAYMENT_DTE_DUE cho bảng T24CORE.PD_PAYMENT_DUE_HIS_MV phục vụ tính ngày quá hạn gốc/lãi trên AR_DLQ_SMY</t>
        </is>
      </c>
      <c r="J392" s="410" t="inlineStr">
        <is>
          <t>2025-11-26</t>
        </is>
      </c>
      <c r="K392" s="385" t="inlineStr">
        <is>
          <t>1:1</t>
        </is>
      </c>
      <c r="L392" s="385" t="inlineStr">
        <is>
          <t>PG_BRONZE</t>
        </is>
      </c>
      <c r="M392" s="386" t="inlineStr">
        <is>
          <t>T24CORE_PD_PAYMENT_DUE_HIS_MV</t>
        </is>
      </c>
      <c r="N392" s="386" t="inlineStr">
        <is>
          <t>PAYMENT_DTE_DUE</t>
        </is>
      </c>
      <c r="O392" s="385" t="inlineStr">
        <is>
          <t>DATE</t>
        </is>
      </c>
      <c r="P392" s="420" t="n">
        <v>8</v>
      </c>
      <c r="Q392" s="386">
        <f>"COMMENT ON COLUMN "&amp;L392&amp;"."&amp;M392&amp;"."&amp;N392&amp;" IS '"&amp;E392&amp;"';"</f>
        <v/>
      </c>
      <c r="R392" s="414" t="inlineStr">
        <is>
          <t>Map 1:1 nguyên bản từ T24CORE.PD_PAYMENT_DUE_HIS_MV.PAYMENT_DTE_DUE -&gt; PG_BRONZE.T24CORE_PD_PAYMENT_DUE_HIS_MV.PAYMENT_DTE_DUE</t>
        </is>
      </c>
    </row>
    <row r="393" ht="14.25" customHeight="1" s="335">
      <c r="A393" s="412">
        <f>B393&amp;C393&amp;D393</f>
        <v/>
      </c>
      <c r="B393" s="412" t="inlineStr">
        <is>
          <t>T24CORE</t>
        </is>
      </c>
      <c r="C393" s="412" t="inlineStr">
        <is>
          <t>PD_PAYMENT_DUE_HIS_MV</t>
        </is>
      </c>
      <c r="D393" s="412" t="inlineStr">
        <is>
          <t>PAY_AMT_OUTS</t>
        </is>
      </c>
      <c r="E393" s="412" t="inlineStr">
        <is>
          <t>Số tiền quá hạn còn lại chưa thanh toán</t>
        </is>
      </c>
      <c r="F393" s="410" t="inlineStr">
        <is>
          <t>X</t>
        </is>
      </c>
      <c r="G393" s="412" t="inlineStr">
        <is>
          <t>Arrangement Delinquency Summary / sk_lich_tra_no</t>
        </is>
      </c>
      <c r="H393" s="412" t="inlineStr">
        <is>
          <t>Pay Amount Outstanding</t>
        </is>
      </c>
      <c r="I393" s="412" t="inlineStr">
        <is>
          <t>Bổ sung cột nguồn PAY_AMT_OUTS cho bảng T24CORE.PD_PAYMENT_DUE_HIS_MV phục vụ tính dư nợ quá hạn gốc/lãi trên AR_DLQ_SMY</t>
        </is>
      </c>
      <c r="J393" s="410" t="inlineStr">
        <is>
          <t>2025-11-26</t>
        </is>
      </c>
      <c r="K393" s="385" t="inlineStr">
        <is>
          <t>1:1</t>
        </is>
      </c>
      <c r="L393" s="385" t="inlineStr">
        <is>
          <t>PG_BRONZE</t>
        </is>
      </c>
      <c r="M393" s="386" t="inlineStr">
        <is>
          <t>T24CORE_PD_PAYMENT_DUE_HIS_MV</t>
        </is>
      </c>
      <c r="N393" s="386" t="inlineStr">
        <is>
          <t>PAY_AMT_OUTS</t>
        </is>
      </c>
      <c r="O393" s="385" t="inlineStr">
        <is>
          <t>NUMBER</t>
        </is>
      </c>
      <c r="P393" s="420" t="n">
        <v>25.5</v>
      </c>
      <c r="Q393" s="386">
        <f>"COMMENT ON COLUMN "&amp;L393&amp;"."&amp;M393&amp;"."&amp;N393&amp;" IS '"&amp;E393&amp;"';"</f>
        <v/>
      </c>
      <c r="R393" s="414" t="inlineStr">
        <is>
          <t>Map 1:1 nguyên bản từ T24CORE.PD_PAYMENT_DUE_HIS_MV.PAY_AMT_OUTS -&gt; PG_BRONZE.T24CORE_PD_PAYMENT_DUE_HIS_MV.PAY_AMT_OUTS</t>
        </is>
      </c>
    </row>
    <row r="394" ht="14.25" customHeight="1" s="335"/>
    <row r="395" ht="14.25" customHeight="1" s="335"/>
    <row r="396" ht="14.25" customHeight="1" s="335"/>
    <row r="397" ht="14.25" customHeight="1" s="335"/>
    <row r="398" ht="14.25" customHeight="1" s="335"/>
    <row r="399" ht="14.25" customHeight="1" s="335"/>
    <row r="400" ht="14.25" customHeight="1" s="335"/>
    <row r="401" ht="14.25" customHeight="1" s="335"/>
    <row r="402" ht="14.25" customHeight="1" s="335"/>
    <row r="403" ht="14.25" customHeight="1" s="335"/>
    <row r="404" ht="14.25" customHeight="1" s="335"/>
    <row r="405" ht="14.25" customHeight="1" s="335"/>
    <row r="406" ht="14.25" customHeight="1" s="335"/>
    <row r="407" ht="14.25" customHeight="1" s="335"/>
    <row r="408" ht="14.25" customHeight="1" s="335"/>
    <row r="409" ht="14.25" customHeight="1" s="335"/>
    <row r="410" ht="14.25" customHeight="1" s="335"/>
    <row r="411" ht="14.25" customHeight="1" s="335"/>
    <row r="412" ht="14.25" customHeight="1" s="335"/>
    <row r="413" ht="14.25" customHeight="1" s="335"/>
    <row r="414" ht="14.25" customHeight="1" s="335"/>
    <row r="415" ht="14.25" customHeight="1" s="335"/>
    <row r="416" ht="14.25" customHeight="1" s="335"/>
    <row r="417" ht="14.25" customHeight="1" s="335"/>
    <row r="418" ht="14.25" customHeight="1" s="335"/>
    <row r="419" ht="14.25" customHeight="1" s="335"/>
    <row r="420" ht="14.25" customHeight="1" s="335"/>
    <row r="421" ht="14.25" customHeight="1" s="335"/>
    <row r="422" ht="14.25" customHeight="1" s="335"/>
    <row r="423" ht="14.25" customHeight="1" s="335"/>
    <row r="424" ht="14.25" customHeight="1" s="335"/>
    <row r="425" ht="14.25" customHeight="1" s="335"/>
    <row r="426" ht="14.25" customHeight="1" s="335"/>
    <row r="427" ht="14.25" customHeight="1" s="335"/>
    <row r="428" ht="14.25" customHeight="1" s="335"/>
    <row r="429" ht="14.25" customHeight="1" s="335"/>
    <row r="430" ht="14.25" customHeight="1" s="335"/>
    <row r="431" ht="14.25" customHeight="1" s="335"/>
    <row r="432" ht="14.25" customHeight="1" s="335"/>
    <row r="433" ht="14.25" customHeight="1" s="335"/>
    <row r="434" ht="14.25" customHeight="1" s="335"/>
    <row r="435" ht="14.25" customHeight="1" s="335"/>
    <row r="436" ht="14.25" customHeight="1" s="335"/>
    <row r="437" ht="14.25" customHeight="1" s="335"/>
    <row r="438" ht="14.25" customHeight="1" s="335"/>
    <row r="439" ht="14.25" customHeight="1" s="335"/>
    <row r="440" ht="14.25" customHeight="1" s="335"/>
    <row r="441" ht="14.25" customHeight="1" s="335"/>
    <row r="442" ht="14.25" customHeight="1" s="335"/>
    <row r="443" ht="14.25" customHeight="1" s="335"/>
    <row r="444" ht="14.25" customHeight="1" s="335"/>
    <row r="445" ht="14.25" customHeight="1" s="335"/>
    <row r="446" ht="14.25" customHeight="1" s="335"/>
    <row r="447" ht="14.25" customHeight="1" s="335"/>
    <row r="448" ht="14.25" customHeight="1" s="335"/>
    <row r="449" ht="14.25" customHeight="1" s="335"/>
    <row r="450" ht="14.25" customHeight="1" s="335"/>
    <row r="451" ht="14.25" customHeight="1" s="335"/>
    <row r="452" ht="14.25" customHeight="1" s="335"/>
    <row r="453" ht="14.25" customHeight="1" s="335"/>
    <row r="454" ht="14.25" customHeight="1" s="335"/>
    <row r="455" ht="14.25" customHeight="1" s="335"/>
    <row r="456" ht="14.25" customHeight="1" s="335"/>
    <row r="457" ht="14.25" customHeight="1" s="335"/>
    <row r="458" ht="14.25" customHeight="1" s="335"/>
    <row r="459" ht="14.25" customHeight="1" s="335"/>
    <row r="460" ht="14.25" customHeight="1" s="335"/>
    <row r="461" ht="14.25" customHeight="1" s="335"/>
    <row r="462" ht="14.25" customHeight="1" s="335"/>
    <row r="463" ht="14.25" customHeight="1" s="335"/>
    <row r="464" ht="14.25" customHeight="1" s="335"/>
    <row r="465" ht="14.25" customHeight="1" s="335"/>
    <row r="466" ht="14.25" customHeight="1" s="335"/>
    <row r="467" ht="14.25" customHeight="1" s="335"/>
    <row r="468" ht="14.25" customHeight="1" s="335"/>
    <row r="469" ht="14.25" customHeight="1" s="335"/>
    <row r="470" ht="14.25" customHeight="1" s="335"/>
    <row r="471" ht="14.25" customHeight="1" s="335"/>
    <row r="472" ht="14.25" customHeight="1" s="335"/>
    <row r="473" ht="14.25" customHeight="1" s="335"/>
    <row r="474" ht="14.25" customHeight="1" s="335"/>
    <row r="475" ht="14.25" customHeight="1" s="335"/>
    <row r="476" ht="14.25" customHeight="1" s="335"/>
    <row r="477" ht="14.25" customHeight="1" s="335"/>
    <row r="478" ht="14.25" customHeight="1" s="335"/>
    <row r="479" ht="14.25" customHeight="1" s="335"/>
    <row r="480" ht="14.25" customHeight="1" s="335"/>
    <row r="481" ht="14.25" customHeight="1" s="335"/>
    <row r="482" ht="14.25" customHeight="1" s="335"/>
    <row r="483" ht="14.25" customHeight="1" s="335"/>
    <row r="484" ht="14.25" customHeight="1" s="335"/>
    <row r="485" ht="14.25" customHeight="1" s="335"/>
    <row r="486" ht="14.25" customHeight="1" s="335"/>
    <row r="487" ht="14.25" customHeight="1" s="335"/>
    <row r="488" ht="14.25" customHeight="1" s="335"/>
    <row r="489" ht="14.25" customHeight="1" s="335"/>
    <row r="490" ht="14.25" customHeight="1" s="335"/>
    <row r="491" ht="14.25" customHeight="1" s="335"/>
    <row r="492" ht="14.25" customHeight="1" s="335"/>
    <row r="493" ht="14.25" customHeight="1" s="335"/>
    <row r="494" ht="14.25" customHeight="1" s="335"/>
    <row r="495" ht="14.25" customHeight="1" s="335"/>
    <row r="496" ht="14.25" customHeight="1" s="335"/>
    <row r="497" ht="14.25" customHeight="1" s="335"/>
    <row r="498" ht="14.25" customHeight="1" s="335"/>
    <row r="499" ht="14.25" customHeight="1" s="335"/>
    <row r="500" ht="14.25" customHeight="1" s="335"/>
    <row r="501" ht="14.25" customHeight="1" s="335"/>
    <row r="502" ht="14.25" customHeight="1" s="335"/>
    <row r="503" ht="14.25" customHeight="1" s="335"/>
    <row r="504" ht="14.25" customHeight="1" s="335"/>
    <row r="505" ht="14.25" customHeight="1" s="335"/>
    <row r="506" ht="14.25" customHeight="1" s="335"/>
    <row r="507" ht="14.25" customHeight="1" s="335"/>
    <row r="508" ht="14.25" customHeight="1" s="335"/>
    <row r="509" ht="14.25" customHeight="1" s="335"/>
    <row r="510" ht="14.25" customHeight="1" s="335"/>
    <row r="511" ht="14.25" customHeight="1" s="335"/>
    <row r="512" ht="14.25" customHeight="1" s="335"/>
    <row r="513" ht="14.25" customHeight="1" s="335"/>
    <row r="514" ht="14.25" customHeight="1" s="335"/>
    <row r="515" ht="14.25" customHeight="1" s="335"/>
    <row r="516" ht="14.25" customHeight="1" s="335"/>
    <row r="517" ht="14.25" customHeight="1" s="335"/>
    <row r="518" ht="14.25" customHeight="1" s="335"/>
    <row r="519" ht="14.25" customHeight="1" s="335"/>
    <row r="520" ht="14.25" customHeight="1" s="335"/>
    <row r="521" ht="14.25" customHeight="1" s="335"/>
    <row r="522" ht="14.25" customHeight="1" s="335"/>
    <row r="523" ht="14.25" customHeight="1" s="335"/>
    <row r="524" ht="14.25" customHeight="1" s="335"/>
    <row r="525" ht="14.25" customHeight="1" s="335"/>
    <row r="526" ht="14.25" customHeight="1" s="335"/>
    <row r="527" ht="14.25" customHeight="1" s="335"/>
    <row r="528" ht="14.25" customHeight="1" s="335"/>
    <row r="529" ht="14.25" customHeight="1" s="335"/>
    <row r="530" ht="14.25" customHeight="1" s="335"/>
    <row r="531" ht="14.25" customHeight="1" s="335"/>
    <row r="532" ht="14.25" customHeight="1" s="335"/>
    <row r="533" ht="14.25" customHeight="1" s="335"/>
    <row r="534" ht="14.25" customHeight="1" s="335"/>
    <row r="535" ht="14.25" customHeight="1" s="335"/>
    <row r="536" ht="14.25" customHeight="1" s="335"/>
    <row r="537" ht="14.25" customHeight="1" s="335"/>
    <row r="538" ht="14.25" customHeight="1" s="335"/>
    <row r="539" ht="14.25" customHeight="1" s="335"/>
    <row r="540" ht="14.25" customHeight="1" s="335"/>
    <row r="541" ht="14.25" customHeight="1" s="335"/>
    <row r="542" ht="14.25" customHeight="1" s="335"/>
    <row r="543" ht="14.25" customHeight="1" s="335"/>
    <row r="544" ht="14.25" customHeight="1" s="335"/>
    <row r="545" ht="14.25" customHeight="1" s="335"/>
    <row r="546" ht="14.25" customHeight="1" s="335"/>
    <row r="547" ht="14.25" customHeight="1" s="335"/>
    <row r="548" ht="14.25" customHeight="1" s="335"/>
    <row r="549" ht="14.25" customHeight="1" s="335"/>
    <row r="550" ht="14.25" customHeight="1" s="335"/>
    <row r="551" ht="14.25" customHeight="1" s="335"/>
    <row r="552" ht="14.25" customHeight="1" s="335"/>
    <row r="553" ht="14.25" customHeight="1" s="335"/>
    <row r="554" ht="14.25" customHeight="1" s="335"/>
    <row r="555" ht="14.25" customHeight="1" s="335"/>
    <row r="556" ht="14.25" customHeight="1" s="335"/>
    <row r="557" ht="14.25" customHeight="1" s="335"/>
    <row r="558" ht="14.25" customHeight="1" s="335"/>
    <row r="559" ht="14.25" customHeight="1" s="335"/>
    <row r="560" ht="14.25" customHeight="1" s="335"/>
    <row r="561" ht="14.25" customHeight="1" s="335"/>
    <row r="562" ht="14.25" customHeight="1" s="335"/>
    <row r="563" ht="14.25" customHeight="1" s="335"/>
    <row r="564" ht="14.25" customHeight="1" s="335"/>
    <row r="565" ht="14.25" customHeight="1" s="335"/>
    <row r="566" ht="14.25" customHeight="1" s="335"/>
    <row r="567" ht="14.25" customHeight="1" s="335"/>
    <row r="568" ht="14.25" customHeight="1" s="335"/>
    <row r="569" ht="14.25" customHeight="1" s="335"/>
    <row r="570" ht="14.25" customHeight="1" s="335"/>
    <row r="571" ht="14.25" customHeight="1" s="335"/>
    <row r="572" ht="14.25" customHeight="1" s="335"/>
    <row r="573" ht="14.25" customHeight="1" s="335"/>
    <row r="574" ht="14.25" customHeight="1" s="335"/>
    <row r="575" ht="14.25" customHeight="1" s="335"/>
    <row r="576" ht="14.25" customHeight="1" s="335"/>
    <row r="577" ht="14.25" customHeight="1" s="335"/>
    <row r="578" ht="14.25" customHeight="1" s="335"/>
    <row r="579" ht="14.25" customHeight="1" s="335"/>
    <row r="580" ht="14.25" customHeight="1" s="335"/>
    <row r="581" ht="14.25" customHeight="1" s="335"/>
    <row r="582" ht="14.25" customHeight="1" s="335"/>
    <row r="583" ht="14.25" customHeight="1" s="335"/>
    <row r="584" ht="14.25" customHeight="1" s="335"/>
    <row r="585" ht="14.25" customHeight="1" s="335"/>
    <row r="586" ht="14.25" customHeight="1" s="335"/>
    <row r="587" ht="14.25" customHeight="1" s="335"/>
    <row r="588" ht="14.25" customHeight="1" s="335"/>
    <row r="589" ht="14.25" customHeight="1" s="335"/>
    <row r="590" ht="14.25" customHeight="1" s="335"/>
    <row r="591" ht="14.25" customHeight="1" s="335"/>
    <row r="592" ht="14.25" customHeight="1" s="335"/>
    <row r="593" ht="14.25" customHeight="1" s="335"/>
    <row r="594" ht="14.25" customHeight="1" s="335"/>
    <row r="595" ht="14.25" customHeight="1" s="335"/>
    <row r="596" ht="14.25" customHeight="1" s="335"/>
    <row r="597" ht="14.25" customHeight="1" s="335"/>
    <row r="598" ht="14.25" customHeight="1" s="335"/>
    <row r="599" ht="14.25" customHeight="1" s="335"/>
    <row r="600" ht="14.25" customHeight="1" s="335"/>
    <row r="601" ht="14.25" customHeight="1" s="335"/>
    <row r="602" ht="14.25" customHeight="1" s="335"/>
    <row r="603" ht="14.25" customHeight="1" s="335"/>
    <row r="604" ht="14.25" customHeight="1" s="335"/>
    <row r="605" ht="14.25" customHeight="1" s="335"/>
    <row r="606" ht="14.25" customHeight="1" s="335"/>
    <row r="607" ht="14.25" customHeight="1" s="335"/>
    <row r="608" ht="14.25" customHeight="1" s="335"/>
    <row r="609" ht="14.25" customHeight="1" s="335"/>
    <row r="610" ht="14.25" customHeight="1" s="335"/>
    <row r="611" ht="14.25" customHeight="1" s="335"/>
    <row r="612" ht="14.25" customHeight="1" s="335"/>
    <row r="613" ht="14.25" customHeight="1" s="335"/>
    <row r="614" ht="14.25" customHeight="1" s="335"/>
    <row r="615" ht="14.25" customHeight="1" s="335"/>
    <row r="616" ht="14.25" customHeight="1" s="335"/>
    <row r="617" ht="14.25" customHeight="1" s="335"/>
    <row r="618" ht="14.25" customHeight="1" s="335"/>
    <row r="619" ht="14.25" customHeight="1" s="335"/>
    <row r="620" ht="14.25" customHeight="1" s="335"/>
    <row r="621" ht="14.25" customHeight="1" s="335"/>
    <row r="622" ht="14.25" customHeight="1" s="335"/>
    <row r="623" ht="14.25" customHeight="1" s="335"/>
    <row r="624" ht="14.25" customHeight="1" s="335"/>
    <row r="625" ht="14.25" customHeight="1" s="335"/>
    <row r="626" ht="14.25" customHeight="1" s="335"/>
    <row r="627" ht="14.25" customHeight="1" s="335"/>
    <row r="628" ht="14.25" customHeight="1" s="335"/>
    <row r="629" ht="14.25" customHeight="1" s="335"/>
    <row r="630" ht="14.25" customHeight="1" s="335"/>
    <row r="631" ht="14.25" customHeight="1" s="335"/>
    <row r="632" ht="14.25" customHeight="1" s="335"/>
    <row r="633" ht="14.25" customHeight="1" s="335"/>
    <row r="634" ht="14.25" customHeight="1" s="335"/>
    <row r="635" ht="14.25" customHeight="1" s="335"/>
    <row r="636" ht="14.25" customHeight="1" s="335"/>
    <row r="637" ht="14.25" customHeight="1" s="335"/>
    <row r="638" ht="14.25" customHeight="1" s="335"/>
    <row r="639" ht="14.25" customHeight="1" s="335"/>
    <row r="640" ht="14.25" customHeight="1" s="335"/>
    <row r="641" ht="14.25" customHeight="1" s="335"/>
    <row r="642" ht="14.25" customHeight="1" s="335"/>
    <row r="643" ht="14.25" customHeight="1" s="335"/>
    <row r="644" ht="14.25" customHeight="1" s="335"/>
    <row r="645" ht="14.25" customHeight="1" s="335"/>
    <row r="646" ht="14.25" customHeight="1" s="335"/>
    <row r="647" ht="14.25" customHeight="1" s="335"/>
    <row r="648" ht="14.25" customHeight="1" s="335"/>
    <row r="649" ht="14.25" customHeight="1" s="335"/>
    <row r="650" ht="14.25" customHeight="1" s="335"/>
    <row r="651" ht="14.25" customHeight="1" s="335"/>
    <row r="652" ht="14.25" customHeight="1" s="335"/>
    <row r="653" ht="14.25" customHeight="1" s="335"/>
    <row r="654" ht="14.25" customHeight="1" s="335"/>
    <row r="655" ht="14.25" customHeight="1" s="335"/>
    <row r="656" ht="14.25" customHeight="1" s="335"/>
    <row r="657" ht="14.25" customHeight="1" s="335"/>
    <row r="658" ht="14.25" customHeight="1" s="335"/>
    <row r="659" ht="14.25" customHeight="1" s="335"/>
    <row r="660" ht="14.25" customHeight="1" s="335"/>
    <row r="661" ht="14.25" customHeight="1" s="335"/>
    <row r="662" ht="14.25" customHeight="1" s="335"/>
    <row r="663" ht="14.25" customHeight="1" s="335"/>
    <row r="664" ht="14.25" customHeight="1" s="335"/>
    <row r="665" ht="14.25" customHeight="1" s="335"/>
    <row r="666" ht="14.25" customHeight="1" s="335"/>
    <row r="667" ht="14.25" customHeight="1" s="335"/>
    <row r="668" ht="14.25" customHeight="1" s="335"/>
    <row r="669" ht="14.25" customHeight="1" s="335"/>
    <row r="670" ht="14.25" customHeight="1" s="335"/>
    <row r="671" ht="14.25" customHeight="1" s="335"/>
    <row r="672" ht="14.25" customHeight="1" s="335"/>
    <row r="673" ht="14.25" customHeight="1" s="335"/>
    <row r="674" ht="14.25" customHeight="1" s="335"/>
    <row r="675" ht="14.25" customHeight="1" s="335"/>
    <row r="676" ht="14.25" customHeight="1" s="335"/>
    <row r="677" ht="14.25" customHeight="1" s="335"/>
    <row r="678" ht="14.25" customHeight="1" s="335"/>
    <row r="679" ht="14.25" customHeight="1" s="335"/>
    <row r="680" ht="14.25" customHeight="1" s="335"/>
    <row r="681" ht="14.25" customHeight="1" s="335"/>
    <row r="682" ht="14.25" customHeight="1" s="335"/>
    <row r="683" ht="14.25" customHeight="1" s="335"/>
    <row r="684" ht="14.25" customHeight="1" s="335"/>
    <row r="685" ht="14.25" customHeight="1" s="335"/>
    <row r="686" ht="14.25" customHeight="1" s="335"/>
    <row r="687" ht="14.25" customHeight="1" s="335"/>
    <row r="688" ht="14.25" customHeight="1" s="335"/>
    <row r="689" ht="14.25" customHeight="1" s="335"/>
    <row r="690" ht="14.25" customHeight="1" s="335"/>
    <row r="691" ht="14.25" customHeight="1" s="335"/>
    <row r="692" ht="14.25" customHeight="1" s="335"/>
    <row r="693" ht="14.25" customHeight="1" s="335"/>
    <row r="694" ht="14.25" customHeight="1" s="335"/>
    <row r="695" ht="14.25" customHeight="1" s="335"/>
    <row r="696" ht="14.25" customHeight="1" s="335"/>
    <row r="697" ht="14.25" customHeight="1" s="335"/>
    <row r="698" ht="14.25" customHeight="1" s="335"/>
    <row r="699" ht="14.25" customHeight="1" s="335"/>
    <row r="700" ht="14.25" customHeight="1" s="335"/>
    <row r="701" ht="14.25" customHeight="1" s="335"/>
    <row r="702" ht="14.25" customHeight="1" s="335"/>
    <row r="703" ht="14.25" customHeight="1" s="335"/>
    <row r="704" ht="14.25" customHeight="1" s="335"/>
    <row r="705" ht="14.25" customHeight="1" s="335"/>
    <row r="706" ht="14.25" customHeight="1" s="335"/>
    <row r="707" ht="14.25" customHeight="1" s="335"/>
    <row r="708" ht="14.25" customHeight="1" s="335"/>
    <row r="709" ht="14.25" customHeight="1" s="335"/>
    <row r="710" ht="14.25" customHeight="1" s="335"/>
    <row r="711" ht="14.25" customHeight="1" s="335"/>
    <row r="712" ht="14.25" customHeight="1" s="335"/>
    <row r="713" ht="14.25" customHeight="1" s="335"/>
    <row r="714" ht="14.25" customHeight="1" s="335"/>
    <row r="715" ht="14.25" customHeight="1" s="335"/>
    <row r="716" ht="14.25" customHeight="1" s="335"/>
    <row r="717" ht="14.25" customHeight="1" s="335"/>
    <row r="718" ht="14.25" customHeight="1" s="335"/>
    <row r="719" ht="14.25" customHeight="1" s="335"/>
    <row r="720" ht="14.25" customHeight="1" s="335"/>
    <row r="721" ht="14.25" customHeight="1" s="335"/>
    <row r="722" ht="14.25" customHeight="1" s="335"/>
    <row r="723" ht="14.25" customHeight="1" s="335"/>
    <row r="724" ht="14.25" customHeight="1" s="335"/>
    <row r="725" ht="14.25" customHeight="1" s="335"/>
    <row r="726" ht="14.25" customHeight="1" s="335"/>
    <row r="727" ht="14.25" customHeight="1" s="335"/>
    <row r="728" ht="14.25" customHeight="1" s="335"/>
    <row r="729" ht="14.25" customHeight="1" s="335"/>
    <row r="730" ht="14.25" customHeight="1" s="335"/>
    <row r="731" ht="14.25" customHeight="1" s="335"/>
    <row r="732" ht="14.25" customHeight="1" s="335"/>
    <row r="733" ht="14.25" customHeight="1" s="335"/>
    <row r="734" ht="14.25" customHeight="1" s="335"/>
    <row r="735" ht="14.25" customHeight="1" s="335"/>
    <row r="736" ht="14.25" customHeight="1" s="335"/>
    <row r="737" ht="14.25" customHeight="1" s="335"/>
    <row r="738" ht="14.25" customHeight="1" s="335"/>
    <row r="739" ht="14.25" customHeight="1" s="335"/>
    <row r="740" ht="14.25" customHeight="1" s="335"/>
    <row r="741" ht="14.25" customHeight="1" s="335"/>
    <row r="742" ht="14.25" customHeight="1" s="335"/>
    <row r="743" ht="14.25" customHeight="1" s="335"/>
    <row r="744" ht="14.25" customHeight="1" s="335"/>
    <row r="745" ht="14.25" customHeight="1" s="335"/>
    <row r="746" ht="14.25" customHeight="1" s="335"/>
    <row r="747" ht="14.25" customHeight="1" s="335"/>
    <row r="748" ht="14.25" customHeight="1" s="335"/>
    <row r="749" ht="14.25" customHeight="1" s="335"/>
    <row r="750" ht="14.25" customHeight="1" s="335"/>
    <row r="751" ht="14.25" customHeight="1" s="335"/>
    <row r="752" ht="14.25" customHeight="1" s="335"/>
    <row r="753" ht="14.25" customHeight="1" s="335"/>
    <row r="754" ht="14.25" customHeight="1" s="335"/>
    <row r="755" ht="14.25" customHeight="1" s="335"/>
    <row r="756" ht="14.25" customHeight="1" s="335"/>
    <row r="757" ht="14.25" customHeight="1" s="335"/>
    <row r="758" ht="14.25" customHeight="1" s="335"/>
    <row r="759" ht="14.25" customHeight="1" s="335"/>
    <row r="760" ht="14.25" customHeight="1" s="335"/>
    <row r="761" ht="14.25" customHeight="1" s="335"/>
    <row r="762" ht="14.25" customHeight="1" s="335"/>
    <row r="763" ht="14.25" customHeight="1" s="335"/>
    <row r="764" ht="14.25" customHeight="1" s="335"/>
    <row r="765" ht="14.25" customHeight="1" s="335"/>
    <row r="766" ht="14.25" customHeight="1" s="335"/>
    <row r="767" ht="14.25" customHeight="1" s="335"/>
    <row r="768" ht="14.25" customHeight="1" s="335"/>
    <row r="769" ht="14.25" customHeight="1" s="335"/>
    <row r="770" ht="14.25" customHeight="1" s="335"/>
    <row r="771" ht="14.25" customHeight="1" s="335"/>
    <row r="772" ht="14.25" customHeight="1" s="335"/>
    <row r="773" ht="14.25" customHeight="1" s="335"/>
    <row r="774" ht="14.25" customHeight="1" s="335"/>
    <row r="775" ht="14.25" customHeight="1" s="335"/>
    <row r="776" ht="14.25" customHeight="1" s="335"/>
    <row r="777" ht="14.25" customHeight="1" s="335"/>
    <row r="778" ht="14.25" customHeight="1" s="335"/>
    <row r="779" ht="14.25" customHeight="1" s="335"/>
    <row r="780" ht="14.25" customHeight="1" s="335"/>
    <row r="781" ht="14.25" customHeight="1" s="335"/>
    <row r="782" ht="14.25" customHeight="1" s="335"/>
    <row r="783" ht="14.25" customHeight="1" s="335"/>
    <row r="784" ht="14.25" customHeight="1" s="335"/>
    <row r="785" ht="14.25" customHeight="1" s="335"/>
    <row r="786" ht="14.25" customHeight="1" s="335"/>
    <row r="787" ht="14.25" customHeight="1" s="335"/>
    <row r="788" ht="14.25" customHeight="1" s="335"/>
    <row r="789" ht="14.25" customHeight="1" s="335"/>
    <row r="790" ht="14.25" customHeight="1" s="335"/>
    <row r="791" ht="14.25" customHeight="1" s="335"/>
    <row r="792" ht="14.25" customHeight="1" s="335"/>
    <row r="793" ht="14.25" customHeight="1" s="335"/>
    <row r="794" ht="14.25" customHeight="1" s="335"/>
    <row r="795" ht="14.25" customHeight="1" s="335"/>
    <row r="796" ht="14.25" customHeight="1" s="335"/>
    <row r="797" ht="14.25" customHeight="1" s="335"/>
    <row r="798" ht="14.25" customHeight="1" s="335"/>
    <row r="799" ht="14.25" customHeight="1" s="335"/>
    <row r="800" ht="14.25" customHeight="1" s="335"/>
    <row r="801" ht="14.25" customHeight="1" s="335"/>
    <row r="802" ht="14.25" customHeight="1" s="335"/>
    <row r="803" ht="14.25" customHeight="1" s="335"/>
    <row r="804" ht="14.25" customHeight="1" s="335"/>
    <row r="805" ht="14.25" customHeight="1" s="335"/>
    <row r="806" ht="14.25" customHeight="1" s="335"/>
    <row r="807" ht="14.25" customHeight="1" s="335"/>
    <row r="808" ht="14.25" customHeight="1" s="335"/>
    <row r="809" ht="14.25" customHeight="1" s="335"/>
    <row r="810" ht="14.25" customHeight="1" s="335"/>
    <row r="811" ht="14.25" customHeight="1" s="335"/>
    <row r="812" ht="14.25" customHeight="1" s="335"/>
    <row r="813" ht="14.25" customHeight="1" s="335"/>
    <row r="814" ht="14.25" customHeight="1" s="335"/>
    <row r="815" ht="14.25" customHeight="1" s="335"/>
    <row r="816" ht="14.25" customHeight="1" s="335"/>
    <row r="817" ht="14.25" customHeight="1" s="335"/>
    <row r="818" ht="14.25" customHeight="1" s="335"/>
    <row r="819" ht="14.25" customHeight="1" s="335"/>
    <row r="820" ht="14.25" customHeight="1" s="335"/>
    <row r="821" ht="14.25" customHeight="1" s="335"/>
    <row r="822" ht="14.25" customHeight="1" s="335"/>
    <row r="823" ht="14.25" customHeight="1" s="335"/>
    <row r="824" ht="14.25" customHeight="1" s="335"/>
    <row r="825" ht="14.25" customHeight="1" s="335"/>
    <row r="826" ht="14.25" customHeight="1" s="335"/>
    <row r="827" ht="14.25" customHeight="1" s="335"/>
    <row r="828" ht="14.25" customHeight="1" s="335"/>
    <row r="829" ht="14.25" customHeight="1" s="335"/>
    <row r="830" ht="14.25" customHeight="1" s="335"/>
    <row r="831" ht="14.25" customHeight="1" s="335"/>
    <row r="832" ht="14.25" customHeight="1" s="335"/>
    <row r="833" ht="14.25" customHeight="1" s="335"/>
    <row r="834" ht="14.25" customHeight="1" s="335"/>
    <row r="835" ht="14.25" customHeight="1" s="335"/>
    <row r="836" ht="14.25" customHeight="1" s="335"/>
    <row r="837" ht="14.25" customHeight="1" s="335"/>
    <row r="838" ht="14.25" customHeight="1" s="335"/>
    <row r="839" ht="14.25" customHeight="1" s="335"/>
    <row r="840" ht="14.25" customHeight="1" s="335"/>
    <row r="841" ht="14.25" customHeight="1" s="335"/>
    <row r="842" ht="14.25" customHeight="1" s="335"/>
    <row r="843" ht="14.25" customHeight="1" s="335"/>
    <row r="844" ht="14.25" customHeight="1" s="335"/>
    <row r="845" ht="14.25" customHeight="1" s="335"/>
    <row r="846" ht="14.25" customHeight="1" s="335"/>
    <row r="847" ht="14.25" customHeight="1" s="335"/>
    <row r="848" ht="14.25" customHeight="1" s="335"/>
    <row r="849" ht="14.25" customHeight="1" s="335"/>
    <row r="850" ht="14.25" customHeight="1" s="335"/>
    <row r="851" ht="14.25" customHeight="1" s="335"/>
    <row r="852" ht="14.25" customHeight="1" s="335"/>
    <row r="853" ht="14.25" customHeight="1" s="335"/>
    <row r="854" ht="14.25" customHeight="1" s="335"/>
    <row r="855" ht="14.25" customHeight="1" s="335"/>
    <row r="856" ht="14.25" customHeight="1" s="335"/>
    <row r="857" ht="14.25" customHeight="1" s="335"/>
    <row r="858" ht="14.25" customHeight="1" s="335"/>
    <row r="859" ht="14.25" customHeight="1" s="335"/>
    <row r="860" ht="14.25" customHeight="1" s="335"/>
    <row r="861" ht="14.25" customHeight="1" s="335"/>
    <row r="862" ht="14.25" customHeight="1" s="335"/>
    <row r="863" ht="14.25" customHeight="1" s="335"/>
    <row r="864" ht="14.25" customHeight="1" s="335"/>
    <row r="865" ht="14.25" customHeight="1" s="335"/>
    <row r="866" ht="14.25" customHeight="1" s="335"/>
    <row r="867" ht="14.25" customHeight="1" s="335"/>
    <row r="868" ht="14.25" customHeight="1" s="335"/>
    <row r="869" ht="14.25" customHeight="1" s="335"/>
    <row r="870" ht="14.25" customHeight="1" s="335"/>
    <row r="871" ht="14.25" customHeight="1" s="335"/>
    <row r="872" ht="14.25" customHeight="1" s="335"/>
    <row r="873" ht="14.25" customHeight="1" s="335"/>
    <row r="874" ht="14.25" customHeight="1" s="335"/>
    <row r="875" ht="14.25" customHeight="1" s="335"/>
    <row r="876" ht="14.25" customHeight="1" s="335"/>
    <row r="877" ht="14.25" customHeight="1" s="335"/>
    <row r="878" ht="14.25" customHeight="1" s="335"/>
    <row r="879" ht="14.25" customHeight="1" s="335"/>
    <row r="880" ht="14.25" customHeight="1" s="335"/>
    <row r="881" ht="14.25" customHeight="1" s="335"/>
    <row r="882" ht="14.25" customHeight="1" s="335"/>
    <row r="883" ht="14.25" customHeight="1" s="335"/>
    <row r="884" ht="14.25" customHeight="1" s="335"/>
    <row r="885" ht="14.25" customHeight="1" s="335"/>
    <row r="886" ht="14.25" customHeight="1" s="335"/>
    <row r="887" ht="14.25" customHeight="1" s="335"/>
    <row r="888" ht="14.25" customHeight="1" s="335"/>
    <row r="889" ht="14.25" customHeight="1" s="335"/>
    <row r="890" ht="14.25" customHeight="1" s="335"/>
    <row r="891" ht="14.25" customHeight="1" s="335"/>
    <row r="892" ht="14.25" customHeight="1" s="335"/>
    <row r="893" ht="14.25" customHeight="1" s="335"/>
    <row r="894" ht="14.25" customHeight="1" s="335"/>
    <row r="895" ht="14.25" customHeight="1" s="335"/>
    <row r="896" ht="14.25" customHeight="1" s="335"/>
    <row r="897" ht="14.25" customHeight="1" s="335"/>
    <row r="898" ht="14.25" customHeight="1" s="335"/>
    <row r="899" ht="14.25" customHeight="1" s="335"/>
    <row r="900" ht="14.25" customHeight="1" s="335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E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6.11" customWidth="1" style="334" min="2" max="2"/>
    <col width="33.67" customWidth="1" style="334" min="3" max="3"/>
    <col width="46" customWidth="1" style="334" min="4" max="4"/>
    <col width="44.56" customWidth="1" style="334" min="5" max="5"/>
  </cols>
  <sheetData>
    <row r="1" ht="14.25" customHeight="1" s="335">
      <c r="B1" s="424" t="inlineStr">
        <is>
          <t>Interface Name</t>
        </is>
      </c>
      <c r="C1" s="424" t="inlineStr">
        <is>
          <t>Column Name</t>
        </is>
      </c>
      <c r="D1" s="424" t="inlineStr">
        <is>
          <t>Ý nghĩa</t>
        </is>
      </c>
      <c r="E1" s="424" t="inlineStr">
        <is>
          <t>LOV Column</t>
        </is>
      </c>
    </row>
    <row r="2" ht="14.25" customHeight="1" s="335">
      <c r="B2" s="425" t="inlineStr">
        <is>
          <t>INTF_ACG_AR</t>
        </is>
      </c>
      <c r="C2" s="425" t="inlineStr">
        <is>
          <t>CDR_DT</t>
        </is>
      </c>
      <c r="D2" s="426" t="inlineStr">
        <is>
          <t>Ngày dữ liệu</t>
        </is>
      </c>
      <c r="E2" s="426" t="n"/>
    </row>
    <row r="3" ht="14.25" customHeight="1" s="335">
      <c r="B3" s="427" t="inlineStr">
        <is>
          <t>INTF_ACG_AR</t>
        </is>
      </c>
      <c r="C3" s="427" t="inlineStr">
        <is>
          <t>AC_NBR</t>
        </is>
      </c>
      <c r="D3" s="428" t="inlineStr">
        <is>
          <t>Mã hợp đồng</t>
        </is>
      </c>
      <c r="E3" s="428" t="n"/>
    </row>
    <row r="4" ht="14.25" customHeight="1" s="335">
      <c r="B4" s="425" t="inlineStr">
        <is>
          <t>INTF_ACG_AR</t>
        </is>
      </c>
      <c r="C4" s="428" t="inlineStr">
        <is>
          <t>ACG_STC_ITM_CODE</t>
        </is>
      </c>
      <c r="D4" s="426" t="inlineStr">
        <is>
          <t>Mã GL</t>
        </is>
      </c>
      <c r="E4" s="426" t="inlineStr">
        <is>
          <t>LOV_GL.GL_CODE</t>
        </is>
      </c>
    </row>
    <row r="5" ht="14.25" customHeight="1" s="335">
      <c r="B5" s="427" t="inlineStr">
        <is>
          <t>INTF_ACG_AR</t>
        </is>
      </c>
      <c r="C5" s="428" t="inlineStr">
        <is>
          <t>CST_CODE</t>
        </is>
      </c>
      <c r="D5" s="428" t="inlineStr">
        <is>
          <t>Mã khách hàng</t>
        </is>
      </c>
      <c r="E5" s="428" t="n"/>
    </row>
    <row r="6" ht="14.25" customHeight="1" s="335">
      <c r="B6" s="425" t="inlineStr">
        <is>
          <t>INTF_ACG_AR</t>
        </is>
      </c>
      <c r="C6" s="429" t="inlineStr">
        <is>
          <t>IDY_CODE</t>
        </is>
      </c>
      <c r="D6" s="426" t="inlineStr">
        <is>
          <t>Mã ngành nghề kinh doanh</t>
        </is>
      </c>
      <c r="E6" s="426" t="inlineStr">
        <is>
          <t>LOV_IDY.IDY_CODE</t>
        </is>
      </c>
    </row>
    <row r="7" ht="14.25" customHeight="1" s="335">
      <c r="B7" s="427" t="inlineStr">
        <is>
          <t>INTF_ACG_AR</t>
        </is>
      </c>
      <c r="C7" s="428" t="inlineStr">
        <is>
          <t>BR_CODE</t>
        </is>
      </c>
      <c r="D7" s="428" t="inlineStr">
        <is>
          <t>Mã chi nhánh</t>
        </is>
      </c>
      <c r="E7" s="428" t="inlineStr">
        <is>
          <t>LOV_BR_INFO.BR_NBR</t>
        </is>
      </c>
    </row>
    <row r="8" ht="14.25" customHeight="1" s="335">
      <c r="B8" s="425" t="inlineStr">
        <is>
          <t>INTF_ACG_AR</t>
        </is>
      </c>
      <c r="C8" s="427" t="inlineStr">
        <is>
          <t>IDY_PPS_CODE</t>
        </is>
      </c>
      <c r="D8" s="426" t="inlineStr">
        <is>
          <t>Mã mục đích ngành nghề kinh doanh</t>
        </is>
      </c>
      <c r="E8" s="426" t="inlineStr">
        <is>
          <t>LOV_PPS.PPS_CODE</t>
        </is>
      </c>
    </row>
    <row r="9" ht="14.25" customHeight="1" s="335">
      <c r="B9" s="427" t="inlineStr">
        <is>
          <t>INTF_ACG_AR</t>
        </is>
      </c>
      <c r="C9" s="428" t="inlineStr">
        <is>
          <t>CGY_CODE</t>
        </is>
      </c>
      <c r="D9" s="428" t="inlineStr">
        <is>
          <t>Mã category</t>
        </is>
      </c>
      <c r="E9" s="428" t="inlineStr">
        <is>
          <t>LOV_CGY.CGY_CODE</t>
        </is>
      </c>
    </row>
    <row r="10" ht="14.25" customHeight="1" s="335">
      <c r="B10" s="425" t="inlineStr">
        <is>
          <t>INTF_ACG_AR</t>
        </is>
      </c>
      <c r="C10" s="428" t="inlineStr">
        <is>
          <t>TERM_CODE</t>
        </is>
      </c>
      <c r="D10" s="426" t="inlineStr">
        <is>
          <t>Mã kì hạn</t>
        </is>
      </c>
      <c r="E10" s="426" t="inlineStr">
        <is>
          <t>LOV_TERM_CODE.TERM_CODE</t>
        </is>
      </c>
    </row>
    <row r="11" ht="14.25" customHeight="1" s="335">
      <c r="B11" s="427" t="inlineStr">
        <is>
          <t>INTF_ACG_AR</t>
        </is>
      </c>
      <c r="C11" s="427" t="inlineStr">
        <is>
          <t>CST_CLSS_CODE</t>
        </is>
      </c>
      <c r="D11" s="428" t="inlineStr">
        <is>
          <t>Nhóm nợ khách hàng theo VPB</t>
        </is>
      </c>
      <c r="E11" s="428" t="inlineStr">
        <is>
          <t>LOV_CST_CLSS.CST_CLSS</t>
        </is>
      </c>
    </row>
    <row r="12" ht="14.25" customHeight="1" s="335">
      <c r="B12" s="425" t="inlineStr">
        <is>
          <t>INTF_ACG_AR</t>
        </is>
      </c>
      <c r="C12" s="430" t="inlineStr">
        <is>
          <t>CST_CLSS_CIC_CODE</t>
        </is>
      </c>
      <c r="D12" s="426" t="inlineStr">
        <is>
          <t>Nhóm nợ khách hàng theo CIC</t>
        </is>
      </c>
      <c r="E12" s="426" t="inlineStr">
        <is>
          <t>LOV_CST_CLSS.CST_CLSS</t>
        </is>
      </c>
    </row>
    <row r="13" ht="14.25" customHeight="1" s="335">
      <c r="B13" s="427" t="inlineStr">
        <is>
          <t>INTF_ACG_AR</t>
        </is>
      </c>
      <c r="C13" s="428" t="inlineStr">
        <is>
          <t>SCTR_CODE</t>
        </is>
      </c>
      <c r="D13" s="428" t="inlineStr">
        <is>
          <t>Mã thành phần kinh tế</t>
        </is>
      </c>
      <c r="E13" s="428" t="inlineStr">
        <is>
          <t>LOV_SCTR.SCTR_CODE</t>
        </is>
      </c>
    </row>
    <row r="14" ht="14.25" customHeight="1" s="335">
      <c r="B14" s="425" t="inlineStr">
        <is>
          <t>INTF_ACG_AR</t>
        </is>
      </c>
      <c r="C14" s="427" t="inlineStr">
        <is>
          <t>SEG_CODE</t>
        </is>
      </c>
      <c r="D14" s="426" t="inlineStr">
        <is>
          <t>Mã phân khúc khách hàng</t>
        </is>
      </c>
      <c r="E14" s="426" t="inlineStr">
        <is>
          <t>LOV_SEG.SEG_CODE</t>
        </is>
      </c>
    </row>
    <row r="15" ht="14.25" customHeight="1" s="335">
      <c r="B15" s="427" t="inlineStr">
        <is>
          <t>INTF_ACG_AR</t>
        </is>
      </c>
      <c r="C15" s="427" t="inlineStr">
        <is>
          <t>CCY_CODE</t>
        </is>
      </c>
      <c r="D15" s="428" t="inlineStr">
        <is>
          <t>Loại tiền</t>
        </is>
      </c>
      <c r="E15" s="428" t="inlineStr">
        <is>
          <t>LOV_CCY.CCY_CODE</t>
        </is>
      </c>
    </row>
    <row r="16" ht="14.25" customHeight="1" s="335">
      <c r="B16" s="425" t="inlineStr">
        <is>
          <t>INTF_ACG_AR</t>
        </is>
      </c>
      <c r="C16" s="427" t="inlineStr">
        <is>
          <t>PD_CODE</t>
        </is>
      </c>
      <c r="D16" s="426" t="inlineStr">
        <is>
          <t>Mã phân nhóm sản phẩm trên T24</t>
        </is>
      </c>
      <c r="E16" s="426" t="inlineStr">
        <is>
          <t>LOV_PD.PD_CODE</t>
        </is>
      </c>
    </row>
    <row r="17" ht="14.25" customHeight="1" s="335">
      <c r="B17" s="427" t="inlineStr">
        <is>
          <t>INTF_ACG_AR</t>
        </is>
      </c>
      <c r="C17" s="427" t="inlineStr">
        <is>
          <t>CLS_BAL_USD</t>
        </is>
      </c>
      <c r="D17" s="428" t="inlineStr">
        <is>
          <t>Dư nợ quy USD</t>
        </is>
      </c>
      <c r="E17" s="428" t="n"/>
    </row>
    <row r="18" ht="14.25" customHeight="1" s="335">
      <c r="B18" s="425" t="inlineStr">
        <is>
          <t>INTF_ACG_AR</t>
        </is>
      </c>
      <c r="C18" s="427" t="inlineStr">
        <is>
          <t>SCR_SBV_CODE</t>
        </is>
      </c>
      <c r="D18" s="426" t="inlineStr">
        <is>
          <t>Mã bảo mật SBV</t>
        </is>
      </c>
      <c r="E18" s="426" t="inlineStr">
        <is>
          <t>LOV_SCR_TP.SCR_TP_CODE</t>
        </is>
      </c>
    </row>
    <row r="19" ht="14.25" customHeight="1" s="335">
      <c r="B19" s="427" t="inlineStr">
        <is>
          <t>INTF_ACG_AR</t>
        </is>
      </c>
      <c r="C19" s="427" t="inlineStr">
        <is>
          <t>GNL_PRVN_AMT_LCY</t>
        </is>
      </c>
      <c r="D19" s="428" t="inlineStr">
        <is>
          <t>Giá trị dự phòng chung quy đổi VND</t>
        </is>
      </c>
      <c r="E19" s="428" t="n"/>
    </row>
    <row r="20" ht="14.25" customHeight="1" s="335">
      <c r="B20" s="425" t="inlineStr">
        <is>
          <t>INTF_ACG_AR</t>
        </is>
      </c>
      <c r="C20" s="428" t="inlineStr">
        <is>
          <t>TERM_TO_DUE_DT_CODE</t>
        </is>
      </c>
      <c r="D20" s="426" t="inlineStr">
        <is>
          <t>Kỳ hạn</t>
        </is>
      </c>
      <c r="E20" s="426" t="inlineStr">
        <is>
          <t>LOV_TERM_CODE.TERM_CODE</t>
        </is>
      </c>
    </row>
    <row r="21" ht="14.25" customHeight="1" s="335">
      <c r="B21" s="427" t="inlineStr">
        <is>
          <t>INTF_ACG_AR</t>
        </is>
      </c>
      <c r="C21" s="427" t="inlineStr">
        <is>
          <t>CLS_BAL_FCY</t>
        </is>
      </c>
      <c r="D21" s="428" t="inlineStr">
        <is>
          <t>Dư nợ nguyên tệ</t>
        </is>
      </c>
      <c r="E21" s="428" t="n"/>
    </row>
    <row r="22" ht="14.25" customHeight="1" s="335">
      <c r="B22" s="425" t="inlineStr">
        <is>
          <t>INTF_ACG_AR</t>
        </is>
      </c>
      <c r="C22" s="425" t="inlineStr">
        <is>
          <t>SPF_PRVN_AMT_LCY</t>
        </is>
      </c>
      <c r="D22" s="426" t="inlineStr">
        <is>
          <t>Dự phòng cụ thể</t>
        </is>
      </c>
      <c r="E22" s="426" t="n"/>
    </row>
    <row r="23" ht="14.25" customHeight="1" s="335">
      <c r="B23" s="427" t="inlineStr">
        <is>
          <t>INTF_ACG_AR</t>
        </is>
      </c>
      <c r="C23" s="427" t="inlineStr">
        <is>
          <t>CLS_BAL_LCY</t>
        </is>
      </c>
      <c r="D23" s="428" t="inlineStr">
        <is>
          <t>Dư nợ quy đổi (VND)</t>
        </is>
      </c>
      <c r="E23" s="428" t="n"/>
    </row>
    <row r="24" ht="14.25" customHeight="1" s="335">
      <c r="B24" s="425" t="inlineStr">
        <is>
          <t>INTF_ACG_AR</t>
        </is>
      </c>
      <c r="C24" s="425" t="inlineStr">
        <is>
          <t>NEW_BAL_FCY</t>
        </is>
      </c>
      <c r="D24" s="426" t="inlineStr">
        <is>
          <t>Dư nợ phát sinh mới nguyên tệ</t>
        </is>
      </c>
      <c r="E24" s="426" t="n"/>
    </row>
    <row r="25" ht="14.25" customHeight="1" s="335">
      <c r="B25" s="427" t="inlineStr">
        <is>
          <t>INTF_ACG_AR</t>
        </is>
      </c>
      <c r="C25" s="427" t="inlineStr">
        <is>
          <t>NBR_OF_ODUE_DYS</t>
        </is>
      </c>
      <c r="D25" s="428" t="inlineStr">
        <is>
          <t>Số ngày quá hạn</t>
        </is>
      </c>
      <c r="E25" s="428" t="n"/>
    </row>
    <row r="26" ht="14.25" customHeight="1" s="335">
      <c r="B26" s="425" t="inlineStr">
        <is>
          <t>INTF_ACG_AR</t>
        </is>
      </c>
      <c r="C26" s="425" t="inlineStr">
        <is>
          <t>DCN_AND_ADL_AMT_ALCT</t>
        </is>
      </c>
      <c r="D26" s="426" t="inlineStr">
        <is>
          <t>Phụ trội triết khấu</t>
        </is>
      </c>
      <c r="E26" s="426" t="n"/>
    </row>
    <row r="27" ht="14.25" customHeight="1" s="335">
      <c r="B27" s="427" t="inlineStr">
        <is>
          <t>INTF_ACG_AR</t>
        </is>
      </c>
      <c r="C27" s="427" t="inlineStr">
        <is>
          <t>TXN_ON_DAY_F</t>
        </is>
      </c>
      <c r="D27" s="428" t="inlineStr">
        <is>
          <t>Cờ đánh dấu giao dịch trong ngày</t>
        </is>
      </c>
      <c r="E27" s="428" t="inlineStr">
        <is>
          <t>Y/N</t>
        </is>
      </c>
    </row>
    <row r="28" ht="14.25" customHeight="1" s="335">
      <c r="B28" s="425" t="inlineStr">
        <is>
          <t>INTF_ACG_AR</t>
        </is>
      </c>
      <c r="C28" s="425" t="inlineStr">
        <is>
          <t>PRVN_AMT_USING</t>
        </is>
      </c>
      <c r="D28" s="426" t="inlineStr">
        <is>
          <t>Số tiền dự phòng sử dụng</t>
        </is>
      </c>
      <c r="E28" s="426" t="n"/>
    </row>
    <row r="29" ht="14.25" customHeight="1" s="335">
      <c r="B29" s="427" t="inlineStr">
        <is>
          <t>INTF_ACG_AR</t>
        </is>
      </c>
      <c r="C29" s="427" t="inlineStr">
        <is>
          <t>CLT_TP_CODE</t>
        </is>
      </c>
      <c r="D29" s="428" t="inlineStr">
        <is>
          <t>Mã loại tài sản đảm bảo</t>
        </is>
      </c>
      <c r="E29" s="428" t="inlineStr">
        <is>
          <t>Dữ liệu đang null toàn bộ</t>
        </is>
      </c>
    </row>
    <row r="30" ht="14.25" customHeight="1" s="335">
      <c r="B30" s="425" t="inlineStr">
        <is>
          <t>INTF_ACG_AR</t>
        </is>
      </c>
      <c r="C30" s="425" t="inlineStr">
        <is>
          <t>SRC_STM_CODE</t>
        </is>
      </c>
      <c r="D30" s="426" t="inlineStr">
        <is>
          <t>Nguồn dữ liệu</t>
        </is>
      </c>
      <c r="E30" s="426" t="n"/>
    </row>
    <row r="31" ht="14.25" customHeight="1" s="335">
      <c r="B31" s="427" t="inlineStr">
        <is>
          <t>INTF_ACG_AR</t>
        </is>
      </c>
      <c r="C31" s="427" t="inlineStr">
        <is>
          <t>CST_RSDNC_CODE</t>
        </is>
      </c>
      <c r="D31" s="428" t="inlineStr">
        <is>
          <t>Mã quốc gia ứng với khách hàng trên T24</t>
        </is>
      </c>
      <c r="E31" s="428" t="inlineStr">
        <is>
          <t>LOV_CTY.VPB_CTY_CODE</t>
        </is>
      </c>
    </row>
    <row r="32" ht="14.25" customHeight="1" s="335">
      <c r="B32" s="425" t="inlineStr">
        <is>
          <t>INTF_ACG_AR</t>
        </is>
      </c>
      <c r="C32" s="428" t="inlineStr">
        <is>
          <t>SUB_CGY_CODE</t>
        </is>
      </c>
      <c r="D32" s="426" t="inlineStr">
        <is>
          <t>Mã sub Category</t>
        </is>
      </c>
      <c r="E32" s="426" t="inlineStr">
        <is>
          <t>LOV_SUB_CGY.CGY_CODE</t>
        </is>
      </c>
    </row>
    <row r="33" ht="14.25" customHeight="1" s="335">
      <c r="B33" s="427" t="inlineStr">
        <is>
          <t>INTF_ACG_AR</t>
        </is>
      </c>
      <c r="C33" s="427" t="inlineStr">
        <is>
          <t>NEW_BAL_LCY</t>
        </is>
      </c>
      <c r="D33" s="428" t="inlineStr">
        <is>
          <t>Dư nợ phát sinh mới quy đổi VND</t>
        </is>
      </c>
      <c r="E33" s="428" t="n"/>
    </row>
    <row r="34" ht="14.25" customHeight="1" s="335">
      <c r="B34" s="425" t="inlineStr">
        <is>
          <t>INTF_ACG_AR</t>
        </is>
      </c>
      <c r="C34" s="425" t="inlineStr">
        <is>
          <t>ACR_INT_AMT_FCY_MTD</t>
        </is>
      </c>
      <c r="D34" s="426" t="inlineStr">
        <is>
          <t>Lũy kế tháng tiền lãi nguyên tệ</t>
        </is>
      </c>
      <c r="E34" s="426" t="n"/>
    </row>
    <row r="35" ht="14.25" customHeight="1" s="335">
      <c r="B35" s="427" t="inlineStr">
        <is>
          <t>INTF_ACG_AR</t>
        </is>
      </c>
      <c r="C35" s="427" t="inlineStr">
        <is>
          <t>ACR_INT_AMT_LCY_MTD</t>
        </is>
      </c>
      <c r="D35" s="428" t="inlineStr">
        <is>
          <t>Lũy kế tháng tiền lãi quy đổi VND</t>
        </is>
      </c>
      <c r="E35" s="428" t="n"/>
    </row>
    <row r="36" ht="14.25" customHeight="1" s="335">
      <c r="B36" s="425" t="inlineStr">
        <is>
          <t>INTF_ACG_AR</t>
        </is>
      </c>
      <c r="C36" s="427" t="inlineStr">
        <is>
          <t>SRO_CODE</t>
        </is>
      </c>
      <c r="D36" s="426" t="inlineStr">
        <is>
          <t>Kịch bản vận hành</t>
        </is>
      </c>
      <c r="E36" s="426" t="inlineStr">
        <is>
          <t>LOV_SRO.SRO_CODE</t>
        </is>
      </c>
    </row>
    <row r="37" ht="14.25" customHeight="1" s="335">
      <c r="B37" s="427" t="inlineStr">
        <is>
          <t>INTF_ACG_AR</t>
        </is>
      </c>
      <c r="C37" s="427" t="inlineStr">
        <is>
          <t>NEW_BAD_DEB_AMT</t>
        </is>
      </c>
      <c r="D37" s="428" t="inlineStr">
        <is>
          <t>Nợ xấu phát sinh</t>
        </is>
      </c>
      <c r="E37" s="428" t="n"/>
    </row>
    <row r="38" ht="14.25" customHeight="1" s="335">
      <c r="B38" s="425" t="inlineStr">
        <is>
          <t>INTF_ACG_AR</t>
        </is>
      </c>
      <c r="C38" s="425" t="inlineStr">
        <is>
          <t>CLT_AMT</t>
        </is>
      </c>
      <c r="D38" s="426" t="inlineStr">
        <is>
          <t>Giá trị tài sản đảm bảo</t>
        </is>
      </c>
      <c r="E38" s="426" t="n"/>
    </row>
    <row r="39" ht="14.25" customHeight="1" s="335">
      <c r="B39" s="427" t="inlineStr">
        <is>
          <t>INTF_ACG_AR</t>
        </is>
      </c>
      <c r="C39" s="428" t="inlineStr">
        <is>
          <t>SCR_TERM_CODE</t>
        </is>
      </c>
      <c r="D39" s="428" t="n"/>
      <c r="E39" s="431" t="inlineStr">
        <is>
          <t>LOV_TERM_GRP_2.TERM_GRP_CODE_LV2</t>
        </is>
      </c>
    </row>
    <row r="40" ht="14.25" customHeight="1" s="335">
      <c r="B40" s="425" t="inlineStr">
        <is>
          <t>INTF_ACG_AR</t>
        </is>
      </c>
      <c r="C40" s="425" t="inlineStr">
        <is>
          <t>LISTED</t>
        </is>
      </c>
      <c r="D40" s="426" t="inlineStr">
        <is>
          <t>đánh dấu niêm yết</t>
        </is>
      </c>
      <c r="E40" s="426" t="n"/>
    </row>
    <row r="41" ht="14.25" customHeight="1" s="335">
      <c r="B41" s="427" t="inlineStr">
        <is>
          <t>INTF_ACG_AR</t>
        </is>
      </c>
      <c r="C41" s="427" t="inlineStr">
        <is>
          <t>ORG_IDY_PPS_CODE</t>
        </is>
      </c>
      <c r="D41" s="428" t="inlineStr">
        <is>
          <t>Mã mục đích ngành ngh kinh doanh của tổ chức</t>
        </is>
      </c>
      <c r="E41" s="428" t="inlineStr">
        <is>
          <t>LOV_PPS.PPS_CODE</t>
        </is>
      </c>
    </row>
    <row r="42" ht="14.25" customHeight="1" s="335">
      <c r="B42" s="425" t="inlineStr">
        <is>
          <t>INTF_ACG_AR</t>
        </is>
      </c>
      <c r="C42" s="425" t="inlineStr">
        <is>
          <t>LIMIT_AMT</t>
        </is>
      </c>
      <c r="D42" s="426" t="inlineStr">
        <is>
          <t>Hạn mức</t>
        </is>
      </c>
      <c r="E42" s="426" t="n"/>
    </row>
    <row r="43" ht="14.25" customHeight="1" s="335">
      <c r="B43" s="427" t="inlineStr">
        <is>
          <t>INTF_ACG_AR</t>
        </is>
      </c>
      <c r="C43" s="427" t="inlineStr">
        <is>
          <t>SRC_IDY_PPS_CODE</t>
        </is>
      </c>
      <c r="D43" s="428" t="inlineStr">
        <is>
          <t>Mã mục đích ngành nghề kinh doanh gốc</t>
        </is>
      </c>
      <c r="E43" s="428" t="inlineStr">
        <is>
          <t>LOV_PPS.PPS_CODE</t>
        </is>
      </c>
    </row>
    <row r="44" ht="14.25" customHeight="1" s="335">
      <c r="B44" s="425" t="inlineStr">
        <is>
          <t>INTF_ACG_AR</t>
        </is>
      </c>
      <c r="C44" s="427" t="inlineStr">
        <is>
          <t>SRC_CTR_TP</t>
        </is>
      </c>
      <c r="D44" s="426" t="inlineStr">
        <is>
          <t>Loại hợp đồng gốc</t>
        </is>
      </c>
      <c r="E44" s="426" t="inlineStr">
        <is>
          <t>LOV_SRC_CTR_TP.SRC_CTR_TP</t>
        </is>
      </c>
    </row>
    <row r="45" ht="14.25" customHeight="1" s="335">
      <c r="B45" s="427" t="inlineStr">
        <is>
          <t>INTF_ACG_AR</t>
        </is>
      </c>
      <c r="C45" s="427" t="inlineStr">
        <is>
          <t>CST_SRC_SYNC</t>
        </is>
      </c>
      <c r="D45" s="428" t="inlineStr">
        <is>
          <t>Hệ thống nguồn của khách hàng</t>
        </is>
      </c>
      <c r="E45" s="428" t="n"/>
    </row>
    <row r="46" ht="14.25" customHeight="1" s="335">
      <c r="B46" s="425" t="inlineStr">
        <is>
          <t>INTF_ACG_AR</t>
        </is>
      </c>
      <c r="C46" s="425" t="inlineStr">
        <is>
          <t>INT_RATE</t>
        </is>
      </c>
      <c r="D46" s="426" t="inlineStr">
        <is>
          <t>Lãi</t>
        </is>
      </c>
      <c r="E46" s="426" t="n"/>
    </row>
    <row r="47" ht="14.25" customHeight="1" s="335">
      <c r="B47" s="427" t="inlineStr">
        <is>
          <t>INTF_ACG_AR</t>
        </is>
      </c>
      <c r="C47" s="427" t="inlineStr">
        <is>
          <t>SCR_TP</t>
        </is>
      </c>
      <c r="D47" s="428" t="n"/>
      <c r="E47" s="428" t="inlineStr">
        <is>
          <t>LOV_SCR_TP.SCR_TP_CODE</t>
        </is>
      </c>
    </row>
    <row r="48" ht="14.25" customHeight="1" s="335">
      <c r="B48" s="425" t="inlineStr">
        <is>
          <t>INTF_ACG_AR</t>
        </is>
      </c>
      <c r="C48" s="427" t="inlineStr">
        <is>
          <t>CST_OPN_BR_NBR</t>
        </is>
      </c>
      <c r="D48" s="426" t="inlineStr">
        <is>
          <t>Chi nhánh mở của khách hàng</t>
        </is>
      </c>
      <c r="E48" s="426" t="inlineStr">
        <is>
          <t>LOV_BR_INFO.BR_NBR</t>
        </is>
      </c>
    </row>
    <row r="49" ht="14.25" customHeight="1" s="335">
      <c r="B49" s="427" t="inlineStr">
        <is>
          <t>INTF_ACG_AR</t>
        </is>
      </c>
      <c r="C49" s="427" t="inlineStr">
        <is>
          <t>TD_PRODUCT_CODE</t>
        </is>
      </c>
      <c r="D49" s="428" t="n"/>
      <c r="E49" s="428" t="inlineStr">
        <is>
          <t>LOV_TD_PD.TD_PRODUCT_CODE</t>
        </is>
      </c>
    </row>
    <row r="50" ht="14.25" customHeight="1" s="335">
      <c r="B50" s="425" t="inlineStr">
        <is>
          <t>INTF_ACG_AR</t>
        </is>
      </c>
      <c r="C50" s="425" t="inlineStr">
        <is>
          <t>DCN_AND_ADL_AMT_ALCT_DLY</t>
        </is>
      </c>
      <c r="D50" s="426" t="inlineStr">
        <is>
          <t>Phụ trội triết khấu</t>
        </is>
      </c>
      <c r="E50" s="426" t="n"/>
    </row>
    <row r="51" ht="14.25" customHeight="1" s="335">
      <c r="B51" s="427" t="inlineStr">
        <is>
          <t>INTF_ACG_AR</t>
        </is>
      </c>
      <c r="C51" s="427" t="inlineStr">
        <is>
          <t>CR_RSDL_AMT_FCY</t>
        </is>
      </c>
      <c r="D51" s="428" t="inlineStr">
        <is>
          <t>Dư tín dụng nguyên tệ</t>
        </is>
      </c>
      <c r="E51" s="428" t="n"/>
    </row>
    <row r="52" ht="14.25" customHeight="1" s="335">
      <c r="B52" s="425" t="inlineStr">
        <is>
          <t>INTF_ACG_AR</t>
        </is>
      </c>
      <c r="C52" s="425" t="inlineStr">
        <is>
          <t>CR_RSDL_AMT_LCY</t>
        </is>
      </c>
      <c r="D52" s="426" t="inlineStr">
        <is>
          <t>Dư tín dụng quy đổi</t>
        </is>
      </c>
      <c r="E52" s="426" t="n"/>
    </row>
    <row r="53" ht="14.25" customHeight="1" s="335">
      <c r="B53" s="427" t="inlineStr">
        <is>
          <t>INTF_ACG_AR</t>
        </is>
      </c>
      <c r="C53" s="427" t="inlineStr">
        <is>
          <t>CR_GRNT_AMT_FCY</t>
        </is>
      </c>
      <c r="D53" s="428" t="inlineStr">
        <is>
          <t>Cấp tín dụng nguyên tệ</t>
        </is>
      </c>
      <c r="E53" s="428" t="n"/>
    </row>
    <row r="54" ht="14.25" customHeight="1" s="335">
      <c r="B54" s="425" t="inlineStr">
        <is>
          <t>INTF_ACG_AR</t>
        </is>
      </c>
      <c r="C54" s="425" t="inlineStr">
        <is>
          <t>CR_GRNT_AMT_LCY</t>
        </is>
      </c>
      <c r="D54" s="426" t="inlineStr">
        <is>
          <t>Cấp tín dụng quy đổi</t>
        </is>
      </c>
      <c r="E54" s="426" t="n"/>
    </row>
    <row r="55" ht="14.25" customHeight="1" s="335">
      <c r="B55" s="427" t="inlineStr">
        <is>
          <t>INTF_ACG_AR</t>
        </is>
      </c>
      <c r="C55" s="427" t="inlineStr">
        <is>
          <t>PRVN_AMT</t>
        </is>
      </c>
      <c r="D55" s="428" t="inlineStr">
        <is>
          <t>Dự phòng</t>
        </is>
      </c>
      <c r="E55" s="428" t="n"/>
    </row>
    <row r="56" ht="14.25" customHeight="1" s="335">
      <c r="B56" s="425" t="inlineStr">
        <is>
          <t>INTF_ACG_AR</t>
        </is>
      </c>
      <c r="C56" s="425" t="inlineStr">
        <is>
          <t>OFF_BSH_INT_AMT_FCY</t>
        </is>
      </c>
      <c r="D56" s="426" t="inlineStr">
        <is>
          <t>Lãi ngoài bảng cân đối nguyên tệ</t>
        </is>
      </c>
      <c r="E56" s="426" t="n"/>
    </row>
    <row r="57" ht="14.25" customHeight="1" s="335">
      <c r="B57" s="427" t="inlineStr">
        <is>
          <t>INTF_ACG_AR</t>
        </is>
      </c>
      <c r="C57" s="427" t="inlineStr">
        <is>
          <t>OFF_BSH_INT_AMT_LCY</t>
        </is>
      </c>
      <c r="D57" s="428" t="inlineStr">
        <is>
          <t>Lãi ngoài bảng cân đối quy đổi</t>
        </is>
      </c>
      <c r="E57" s="428" t="n"/>
    </row>
    <row r="58" ht="14.25" customHeight="1" s="335">
      <c r="B58" s="425" t="inlineStr">
        <is>
          <t>INTF_ACG_AR</t>
        </is>
      </c>
      <c r="C58" s="428" t="inlineStr">
        <is>
          <t>TERM_IN_MTH_CODE</t>
        </is>
      </c>
      <c r="D58" s="426" t="inlineStr">
        <is>
          <t>Kỳ hạn</t>
        </is>
      </c>
      <c r="E58" s="426" t="inlineStr">
        <is>
          <t>LOV_TERM_CODE.TERM_CODE</t>
        </is>
      </c>
    </row>
    <row r="59" ht="14.25" customHeight="1" s="335">
      <c r="B59" s="427" t="inlineStr">
        <is>
          <t>INTF_ACG_AR</t>
        </is>
      </c>
      <c r="C59" s="427" t="inlineStr">
        <is>
          <t>TOT_PRICE_SELL</t>
        </is>
      </c>
      <c r="D59" s="428" t="inlineStr">
        <is>
          <t>Tổng giá bán</t>
        </is>
      </c>
      <c r="E59" s="428" t="n"/>
    </row>
    <row r="60" ht="14.25" customHeight="1" s="335">
      <c r="B60" s="425" t="inlineStr">
        <is>
          <t>INTF_ACG_AR</t>
        </is>
      </c>
      <c r="C60" s="425" t="inlineStr">
        <is>
          <t>TOT_PRICE_BUY</t>
        </is>
      </c>
      <c r="D60" s="426" t="inlineStr">
        <is>
          <t>Tổng giá mua</t>
        </is>
      </c>
      <c r="E60" s="426" t="n"/>
    </row>
    <row r="61" ht="14.25" customHeight="1" s="335">
      <c r="B61" s="427" t="inlineStr">
        <is>
          <t>INTF_ACG_AR</t>
        </is>
      </c>
      <c r="C61" s="427" t="inlineStr">
        <is>
          <t>TERM_RSVR_CODE</t>
        </is>
      </c>
      <c r="D61" s="428" t="inlineStr">
        <is>
          <t>Kỳ hạn dữ trữ</t>
        </is>
      </c>
      <c r="E61" s="428" t="n"/>
    </row>
    <row r="62" ht="14.25" customHeight="1" s="335">
      <c r="B62" s="425" t="inlineStr">
        <is>
          <t>INTF_ACG_AR</t>
        </is>
      </c>
      <c r="C62" s="425" t="inlineStr">
        <is>
          <t>AR_LOAN_PPS</t>
        </is>
      </c>
      <c r="D62" s="426" t="inlineStr">
        <is>
          <t>Mục đích hợp đồng vay</t>
        </is>
      </c>
      <c r="E62" s="426" t="n"/>
    </row>
    <row r="63" ht="14.25" customHeight="1" s="335">
      <c r="B63" s="427" t="inlineStr">
        <is>
          <t>INTF_ACG_AR</t>
        </is>
      </c>
      <c r="C63" s="427" t="inlineStr">
        <is>
          <t>PRTLF_CODE</t>
        </is>
      </c>
      <c r="D63" s="428" t="inlineStr">
        <is>
          <t>Mã danh mục đầu tư</t>
        </is>
      </c>
      <c r="E63" s="428" t="inlineStr">
        <is>
          <t>LOV_PRTLF_CODE.PRTLF_CODE</t>
        </is>
      </c>
    </row>
    <row r="64" ht="14.25" customHeight="1" s="335">
      <c r="B64" s="425" t="inlineStr">
        <is>
          <t>INTF_ACG_AR</t>
        </is>
      </c>
      <c r="C64" s="427" t="inlineStr">
        <is>
          <t>VPB_LN_PR</t>
        </is>
      </c>
      <c r="D64" s="426" t="inlineStr">
        <is>
          <t>Mã mục đích vay</t>
        </is>
      </c>
      <c r="E64" s="426" t="inlineStr">
        <is>
          <t>LOV_VPB_LN_PR.PD_CODE</t>
        </is>
      </c>
    </row>
    <row r="65" ht="14.25" customHeight="1" s="335">
      <c r="B65" s="427" t="inlineStr">
        <is>
          <t>INTF_ACG_AR</t>
        </is>
      </c>
      <c r="C65" s="427" t="inlineStr">
        <is>
          <t>PPS_NAME</t>
        </is>
      </c>
      <c r="D65" s="428" t="inlineStr">
        <is>
          <t>Mục đích vay</t>
        </is>
      </c>
      <c r="E65" s="428" t="inlineStr">
        <is>
          <t>LOV_PPS.PPS_NAME</t>
        </is>
      </c>
    </row>
    <row r="66" ht="14.25" customHeight="1" s="335">
      <c r="B66" s="425" t="inlineStr">
        <is>
          <t>INTF_ACG_AR</t>
        </is>
      </c>
      <c r="C66" s="425" t="inlineStr">
        <is>
          <t>GROUP_SP</t>
        </is>
      </c>
      <c r="D66" s="426" t="n"/>
      <c r="E66" s="426" t="inlineStr">
        <is>
          <t>SECURED/UNSECURED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N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3.44" customWidth="1" style="334" min="1" max="1"/>
    <col width="32" customWidth="1" style="334" min="2" max="2"/>
    <col width="27.44" customWidth="1" style="334" min="3" max="3"/>
    <col width="99.34" customWidth="1" style="334" min="4" max="4"/>
    <col width="33.56" customWidth="1" style="334" min="5" max="5"/>
    <col width="34" customWidth="1" style="334" min="6" max="6"/>
    <col width="15.56" customWidth="1" style="334" min="7" max="7"/>
    <col width="29.44" customWidth="1" style="334" min="8" max="8"/>
    <col width="29.44" customWidth="1" style="334" min="11" max="11"/>
    <col width="55" customWidth="1" style="334" min="14" max="14"/>
  </cols>
  <sheetData>
    <row r="1" ht="14.25" customHeight="1" s="335">
      <c r="A1" s="432" t="inlineStr">
        <is>
          <t>TYPE : SNAPSHOT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4" customHeight="1" s="335">
      <c r="A3" s="433" t="inlineStr">
        <is>
          <t>PG_BRONZE</t>
        </is>
      </c>
      <c r="B3" s="415" t="inlineStr">
        <is>
          <t>T24CORE_PD_PAYMENT_DUE_HIS_MV</t>
        </is>
      </c>
      <c r="C3" s="433" t="inlineStr">
        <is>
          <t>a</t>
        </is>
      </c>
      <c r="D3" s="434" t="inlineStr">
        <is>
          <t>WHERE a.FLAG_STATUS = 'LIVE'
  AND a.PAY_TYPE IN ('PR', 'IN')
  AND NVL(a.PD_TYPE, '0') &lt;&gt; '1'
  AND a.RECORD_STATUS IS NULL
  AND NVL(a.RECORD_STATUS, '_') &lt;&gt; 'REVE'
  AND a.PAY_AMT_OUTS &gt; 0
  AND a.DATE_TIME = (SELECT MAX(b2.DATE_TIME) FROM PG_BRONZE.T24CORE_PD_PAYMENT_DUE_HIS_MV b2 WHERE b2.RECID = a.RECID AND a.PAY_TYPE = b2.PAY_TYPE)
  AND a.CURR_NO = (SELECT MAX(b2.CURR_NO) FROM PG_BRONZE.T24CORE_PD_PAYMENT_DUE_HIS_MV b2 WHERE b2.RECID = a.RECID AND a.PAY_TYPE = b2.PAY_TYPE)
GROUP BY SUBSTR(a.RECID, 1, 14)</t>
        </is>
      </c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433" t="inlineStr">
        <is>
          <t>PG_BRONZE</t>
        </is>
      </c>
      <c r="B4" s="415" t="inlineStr">
        <is>
          <t>T24CORE_PD_PAYMENT_DUE</t>
        </is>
      </c>
      <c r="C4" s="436" t="inlineStr">
        <is>
          <t>b</t>
        </is>
      </c>
      <c r="D4" s="436" t="inlineStr">
        <is>
          <t>(left join) a.recid = b.recid</t>
        </is>
      </c>
      <c r="E4" s="436" t="n"/>
      <c r="F4" s="436" t="n"/>
      <c r="G4" s="436" t="n"/>
      <c r="H4" s="436" t="n"/>
      <c r="I4" s="436" t="n"/>
      <c r="J4" s="436" t="n"/>
      <c r="K4" s="436" t="n"/>
    </row>
    <row r="5" ht="14.25" customHeight="1" s="335">
      <c r="A5" s="437" t="n"/>
      <c r="B5" s="437" t="n"/>
      <c r="C5" s="437" t="n"/>
      <c r="D5" s="437" t="n"/>
      <c r="E5" s="437" t="n"/>
      <c r="F5" s="437" t="n"/>
      <c r="G5" s="437" t="n"/>
      <c r="H5" s="437" t="n"/>
      <c r="I5" s="437" t="n"/>
      <c r="J5" s="437" t="n"/>
      <c r="K5" s="437" t="n"/>
    </row>
    <row r="6" ht="14.25" customHeight="1" s="335">
      <c r="A6" s="432" t="inlineStr">
        <is>
          <t>Nguồn</t>
        </is>
      </c>
      <c r="B6" s="432" t="inlineStr">
        <is>
          <t>Bảng nguồn</t>
        </is>
      </c>
      <c r="C6" s="432" t="inlineStr">
        <is>
          <t>Cột nguồn</t>
        </is>
      </c>
      <c r="D6" s="432" t="inlineStr">
        <is>
          <t>Transform</t>
        </is>
      </c>
      <c r="E6" s="432" t="inlineStr">
        <is>
          <t>Entity</t>
        </is>
      </c>
      <c r="F6" s="432" t="inlineStr">
        <is>
          <t>Attribute</t>
        </is>
      </c>
      <c r="G6" s="432" t="inlineStr">
        <is>
          <t>Bảng đích</t>
        </is>
      </c>
      <c r="H6" s="432" t="inlineStr">
        <is>
          <t>Cột đích</t>
        </is>
      </c>
      <c r="I6" s="432" t="inlineStr">
        <is>
          <t>Kiểu dữ liệu</t>
        </is>
      </c>
      <c r="J6" s="432" t="inlineStr">
        <is>
          <t>Độ dài</t>
        </is>
      </c>
      <c r="K6" s="432" t="inlineStr">
        <is>
          <t>Diễn giải</t>
        </is>
      </c>
      <c r="L6" s="432" t="inlineStr">
        <is>
          <t>Glossary</t>
        </is>
      </c>
      <c r="M6" s="432" t="inlineStr">
        <is>
          <t>DDL Comment</t>
        </is>
      </c>
      <c r="N6" s="413" t="inlineStr">
        <is>
          <t>Ghi chú kỹ thuật &amp; Business Rule</t>
        </is>
      </c>
    </row>
    <row r="7" ht="14.25" customHeight="1" s="335">
      <c r="A7" s="334" t="inlineStr">
        <is>
          <t>PG_BRONZE</t>
        </is>
      </c>
      <c r="B7" s="438" t="inlineStr">
        <is>
          <t>T24CORE_PD_PAYMENT_DUE_HIS_MV</t>
        </is>
      </c>
      <c r="C7" s="334" t="inlineStr">
        <is>
          <t>PAYMENT_DTE_DUE</t>
        </is>
      </c>
      <c r="D7" s="439" t="inlineStr">
        <is>
          <t>${ETL_DATE}</t>
        </is>
      </c>
      <c r="E7" s="433" t="inlineStr">
        <is>
          <t>Arrangement Delinquency Summary</t>
        </is>
      </c>
      <c r="F7" s="438" t="inlineStr">
        <is>
          <t>Carlendar Date</t>
        </is>
      </c>
      <c r="G7" s="415" t="inlineStr">
        <is>
          <t>AR_DLQ_SMY</t>
        </is>
      </c>
      <c r="H7" s="438" t="inlineStr">
        <is>
          <t>CDR_DT</t>
        </is>
      </c>
      <c r="I7" s="438" t="inlineStr">
        <is>
          <t>DATE</t>
        </is>
      </c>
      <c r="J7" s="438" t="n"/>
      <c r="K7" s="438" t="inlineStr">
        <is>
          <t>Ngày dữ liệu</t>
        </is>
      </c>
      <c r="M7" s="438">
        <f>"COMMENT ON COLUMN PG_SILVER."&amp;G7&amp;"."&amp;H7&amp;" IS '"&amp;K7&amp;"';"</f>
        <v/>
      </c>
      <c r="N7" s="414" t="inlineStr">
        <is>
          <t>Gán biến ngày chạy `${ETL_DATE}` cho CDR_DT.</t>
        </is>
      </c>
    </row>
    <row r="8" ht="14.25" customHeight="1" s="335">
      <c r="A8" s="433" t="inlineStr">
        <is>
          <t>PG_BRONZE</t>
        </is>
      </c>
      <c r="B8" s="415" t="inlineStr">
        <is>
          <t>T24CORE_PD_PAYMENT_DUE_HIS_MV</t>
        </is>
      </c>
      <c r="C8" s="433" t="inlineStr">
        <is>
          <t>RECID</t>
        </is>
      </c>
      <c r="D8" s="433" t="inlineStr">
        <is>
          <t>fn_hash("T24_LD_LOANS_AND_DEPOSITS",SUBSTR(a.RECID,1,14 ))</t>
        </is>
      </c>
      <c r="E8" s="433" t="inlineStr">
        <is>
          <t>Arrangement Delinquency Summary</t>
        </is>
      </c>
      <c r="F8" s="415" t="inlineStr">
        <is>
          <t>Arrangement ID</t>
        </is>
      </c>
      <c r="G8" s="415" t="inlineStr">
        <is>
          <t>AR_DLQ_SMY</t>
        </is>
      </c>
      <c r="H8" s="415" t="inlineStr">
        <is>
          <t>AR_ID</t>
        </is>
      </c>
      <c r="I8" s="415" t="inlineStr">
        <is>
          <t>CHAR</t>
        </is>
      </c>
      <c r="J8" s="415" t="n">
        <v>32</v>
      </c>
      <c r="K8" s="415" t="inlineStr">
        <is>
          <t>ID của hợp đồng</t>
        </is>
      </c>
      <c r="M8" s="334">
        <f>"COMMENT ON COLUMN PG_SILVER."&amp;G8&amp;"."&amp;H8&amp;" IS '"&amp;K8&amp;"';"</f>
        <v/>
      </c>
    </row>
    <row r="9" ht="14.25" customHeight="1" s="335">
      <c r="A9" s="433" t="inlineStr">
        <is>
          <t>PG_BRONZE</t>
        </is>
      </c>
      <c r="B9" s="415" t="inlineStr">
        <is>
          <t>T24CORE_PD_PAYMENT_DUE_HIS_MV</t>
        </is>
      </c>
      <c r="C9" s="433" t="inlineStr">
        <is>
          <t>RECID</t>
        </is>
      </c>
      <c r="D9" s="433" t="inlineStr">
        <is>
          <t>SUBSTR(a.RECID,1,14 )</t>
        </is>
      </c>
      <c r="E9" s="433" t="inlineStr">
        <is>
          <t>Arrangement Delinquency Summary</t>
        </is>
      </c>
      <c r="F9" s="433" t="inlineStr">
        <is>
          <t>Arrangement Code</t>
        </is>
      </c>
      <c r="G9" s="415" t="inlineStr">
        <is>
          <t>AR_DLQ_SMY</t>
        </is>
      </c>
      <c r="H9" s="415" t="inlineStr">
        <is>
          <t>AR_CODE</t>
        </is>
      </c>
      <c r="I9" s="415" t="inlineStr">
        <is>
          <t>VARCHAR2</t>
        </is>
      </c>
      <c r="J9" s="433" t="n">
        <v>40</v>
      </c>
      <c r="K9" s="433" t="inlineStr">
        <is>
          <t>Mã hợp đồng</t>
        </is>
      </c>
      <c r="M9" s="334">
        <f>"COMMENT ON COLUMN PG_SILVER."&amp;G9&amp;"."&amp;H9&amp;" IS '"&amp;K9&amp;"';"</f>
        <v/>
      </c>
    </row>
    <row r="10" ht="14.25" customHeight="1" s="335">
      <c r="A10" s="433" t="inlineStr">
        <is>
          <t>PG_BRONZE</t>
        </is>
      </c>
      <c r="B10" s="415" t="inlineStr">
        <is>
          <t>T24CORE_PD_PAYMENT_DUE_HIS_MV</t>
        </is>
      </c>
      <c r="C10" s="433" t="inlineStr">
        <is>
          <t>RECID</t>
        </is>
      </c>
      <c r="D10" s="433" t="inlineStr">
        <is>
          <t>fn_hash("T24_LD_LOANS_AND_DEPOSITS", CASE WHEN a.RECID LIKE 'PDLD%' THEN SUBSTR(a.RECID, 3, 12) ELSE SUBSTR(a.RECID, 1, 14) END)</t>
        </is>
      </c>
      <c r="E10" s="433" t="inlineStr">
        <is>
          <t>Arrangement Delinquency Summary</t>
        </is>
      </c>
      <c r="F10" s="415" t="inlineStr">
        <is>
          <t>Original Arrangement Id</t>
        </is>
      </c>
      <c r="G10" s="415" t="inlineStr">
        <is>
          <t>AR_DLQ_SMY</t>
        </is>
      </c>
      <c r="H10" s="433" t="inlineStr">
        <is>
          <t>ORIG_AR_ID</t>
        </is>
      </c>
      <c r="I10" s="415" t="inlineStr">
        <is>
          <t>CHAR</t>
        </is>
      </c>
      <c r="J10" s="415" t="n">
        <v>32</v>
      </c>
      <c r="K10" s="415" t="inlineStr">
        <is>
          <t>ID của hợp đồng gốc</t>
        </is>
      </c>
      <c r="M10" s="334">
        <f>"COMMENT ON COLUMN PG_SILVER."&amp;G10&amp;"."&amp;H10&amp;" IS '"&amp;K10&amp;"';"</f>
        <v/>
      </c>
    </row>
    <row r="11" ht="14.25" customHeight="1" s="335">
      <c r="A11" s="433" t="inlineStr">
        <is>
          <t>PG_BRONZE</t>
        </is>
      </c>
      <c r="B11" s="415" t="inlineStr">
        <is>
          <t>T24CORE_PD_PAYMENT_DUE_HIS_MV</t>
        </is>
      </c>
      <c r="C11" s="433" t="inlineStr">
        <is>
          <t>RECID</t>
        </is>
      </c>
      <c r="D11" s="433" t="inlineStr">
        <is>
          <t>CASE WHEN a.RECID LIKE 'PDLD%' THEN SUBSTR(a.RECID, 3, 12) ELSE SUBSTR(a.RECID, 1, 14) END</t>
        </is>
      </c>
      <c r="E11" s="433" t="inlineStr">
        <is>
          <t>Arrangement Delinquency Summary</t>
        </is>
      </c>
      <c r="F11" s="415" t="inlineStr">
        <is>
          <t>Original Arrangement Code</t>
        </is>
      </c>
      <c r="G11" s="415" t="inlineStr">
        <is>
          <t>AR_DLQ_SMY</t>
        </is>
      </c>
      <c r="H11" s="433" t="inlineStr">
        <is>
          <t>ORIG_AR_CODE</t>
        </is>
      </c>
      <c r="I11" s="415" t="inlineStr">
        <is>
          <t>VARCHAR2</t>
        </is>
      </c>
      <c r="J11" s="415" t="n">
        <v>40</v>
      </c>
      <c r="K11" s="433" t="inlineStr">
        <is>
          <t>Mã hợp đồng gốc</t>
        </is>
      </c>
      <c r="M11" s="334">
        <f>"COMMENT ON COLUMN PG_SILVER."&amp;G11&amp;"."&amp;H11&amp;" IS '"&amp;K11&amp;"';"</f>
        <v/>
      </c>
    </row>
    <row r="12" ht="27" customHeight="1" s="335">
      <c r="A12" s="433" t="inlineStr">
        <is>
          <t>PG_BRONZE</t>
        </is>
      </c>
      <c r="B12" s="415" t="inlineStr">
        <is>
          <t>T24CORE_PD_PAYMENT_DUE_HIS_MV</t>
        </is>
      </c>
      <c r="C12" s="440" t="inlineStr">
        <is>
          <t>RECID</t>
        </is>
      </c>
      <c r="D12" s="441" t="inlineStr">
        <is>
          <t>'T24_PD_PAYMENT_DUE_HIS_MV'</t>
        </is>
      </c>
      <c r="E12" s="433" t="inlineStr">
        <is>
          <t>Arrangement Delinquency Summary</t>
        </is>
      </c>
      <c r="F12" s="442" t="inlineStr">
        <is>
          <t>Source System Code</t>
        </is>
      </c>
      <c r="G12" s="415" t="inlineStr">
        <is>
          <t>AR_DLQ_SMY</t>
        </is>
      </c>
      <c r="H12" s="415" t="inlineStr">
        <is>
          <t>SRC_STM_CODE</t>
        </is>
      </c>
      <c r="I12" s="415" t="inlineStr">
        <is>
          <t>VARCHAR2</t>
        </is>
      </c>
      <c r="J12" s="415" t="n">
        <v>32</v>
      </c>
      <c r="K12" s="415" t="inlineStr">
        <is>
          <t>Mã nguồn dữ liệu</t>
        </is>
      </c>
      <c r="M12" s="334">
        <f>"COMMENT ON COLUMN PG_SILVER."&amp;G12&amp;"."&amp;H12&amp;" IS '"&amp;K12&amp;"';"</f>
        <v/>
      </c>
      <c r="N12" s="414" t="inlineStr">
        <is>
          <t>Gán mã nguồn `'T24_PD_PAYMENT_DUE_HIS_MV'` cho SRC_STM_CODE.</t>
        </is>
      </c>
    </row>
    <row r="13" ht="100.5" customHeight="1" s="335">
      <c r="A13" s="433" t="inlineStr">
        <is>
          <t>PG_BRONZE</t>
        </is>
      </c>
      <c r="B13" s="415" t="inlineStr">
        <is>
          <t>T24CORE_PD_PAYMENT_DUE_HIS_MV</t>
        </is>
      </c>
      <c r="C13" s="440" t="inlineStr">
        <is>
          <t>PAYMENT_DTE_DUE, PAY_TYPE, CATEGORY</t>
        </is>
      </c>
      <c r="D13" s="443" t="inlineStr">
        <is>
          <t>MIN(CASE
        WHEN a.PAY_TYPE = 'PR' AND a.CATEGORY &lt;&gt; 21069
        THEN TO_DATE(a.PAYMENT_DTE_DUE, 'RRRRMMDD')
        ELSE NULL
END)</t>
        </is>
      </c>
      <c r="E13" s="433" t="inlineStr">
        <is>
          <t>Arrangement Delinquency Summary</t>
        </is>
      </c>
      <c r="F13" s="415" t="inlineStr">
        <is>
          <t>Principal Past Due Date</t>
        </is>
      </c>
      <c r="G13" s="415" t="inlineStr">
        <is>
          <t>AR_DLQ_SMY</t>
        </is>
      </c>
      <c r="H13" s="433" t="inlineStr">
        <is>
          <t>PNP_PAST_DUE_DT</t>
        </is>
      </c>
      <c r="I13" s="433" t="inlineStr">
        <is>
          <t>DATE</t>
        </is>
      </c>
      <c r="J13" s="415" t="n"/>
      <c r="K13" s="415" t="inlineStr">
        <is>
          <t>Ngày quá hạn gốc</t>
        </is>
      </c>
      <c r="M13" s="334">
        <f>"COMMENT ON COLUMN PG_SILVER."&amp;G13&amp;"."&amp;H13&amp;" IS '"&amp;K13&amp;"';"</f>
        <v/>
      </c>
    </row>
    <row r="14" ht="114.75" customHeight="1" s="335">
      <c r="A14" s="433" t="inlineStr">
        <is>
          <t>PG_BRONZE</t>
        </is>
      </c>
      <c r="B14" s="415" t="inlineStr">
        <is>
          <t>T24CORE_PD_PAYMENT_DUE_HIS_MV</t>
        </is>
      </c>
      <c r="C14" s="440" t="inlineStr">
        <is>
          <t>PAYMENT_DTE_DUE, PAY_TYPE, CATEGORY</t>
        </is>
      </c>
      <c r="D14" s="443" t="inlineStr">
        <is>
          <t>MIN(CASE
        WHEN (a.PAY_TYPE = 'IN' OR (a.CATEGORY = 21069 AND a.PAY_TYPE = 'PR'))
        THEN TO_DATE(a.PAYMENT_DTE_DUE, 'RRRRMMDD')
        ELSE NULL
END)</t>
        </is>
      </c>
      <c r="E14" s="433" t="inlineStr">
        <is>
          <t>Arrangement Delinquency Summary</t>
        </is>
      </c>
      <c r="F14" s="415" t="inlineStr">
        <is>
          <t>Interest Past Due Date</t>
        </is>
      </c>
      <c r="G14" s="415" t="inlineStr">
        <is>
          <t>AR_DLQ_SMY</t>
        </is>
      </c>
      <c r="H14" s="433" t="inlineStr">
        <is>
          <t>INT_PAST_DUE_DT</t>
        </is>
      </c>
      <c r="I14" s="433" t="inlineStr">
        <is>
          <t>DATE</t>
        </is>
      </c>
      <c r="J14" s="415" t="n"/>
      <c r="K14" s="415" t="inlineStr">
        <is>
          <t>Ngày quá hạn lãi</t>
        </is>
      </c>
      <c r="M14" s="334">
        <f>"COMMENT ON COLUMN PG_SILVER."&amp;G14&amp;"."&amp;H14&amp;" IS '"&amp;K14&amp;"';"</f>
        <v/>
      </c>
    </row>
    <row r="15" ht="86.25" customHeight="1" s="335">
      <c r="A15" s="433" t="inlineStr">
        <is>
          <t>PG_BRONZE</t>
        </is>
      </c>
      <c r="B15" s="415" t="inlineStr">
        <is>
          <t>T24CORE_PD_PAYMENT_DUE_HIS_MV</t>
        </is>
      </c>
      <c r="C15" s="444" t="inlineStr">
        <is>
          <t>PAY_AMT_OUTS, PAY_TYPE, CATEGORY</t>
        </is>
      </c>
      <c r="D15" s="445" t="inlineStr">
        <is>
          <t>SUM(CASE
        WHEN a.PAY_TYPE = 'PR' AND a.CATEGORY &lt;&gt; 21069
        THEN a.PAY_AMT_OUTS
        ELSE 0
END)</t>
        </is>
      </c>
      <c r="E15" s="433" t="inlineStr">
        <is>
          <t>Arrangement Delinquency Summary</t>
        </is>
      </c>
      <c r="F15" s="415" t="inlineStr">
        <is>
          <t>Principal Arrears</t>
        </is>
      </c>
      <c r="G15" s="415" t="inlineStr">
        <is>
          <t>AR_DLQ_SMY</t>
        </is>
      </c>
      <c r="H15" s="433" t="inlineStr">
        <is>
          <t>PNP_ARS</t>
        </is>
      </c>
      <c r="I15" s="415" t="inlineStr">
        <is>
          <t>NUMBER</t>
        </is>
      </c>
      <c r="J15" s="415" t="n">
        <v>25.5</v>
      </c>
      <c r="K15" s="433" t="inlineStr">
        <is>
          <t>Số tiền quá hạn gốc</t>
        </is>
      </c>
      <c r="M15" s="334">
        <f>"COMMENT ON COLUMN PG_SILVER."&amp;G15&amp;"."&amp;H15&amp;" IS '"&amp;K15&amp;"';"</f>
        <v/>
      </c>
      <c r="N15" s="414" t="inlineStr">
        <is>
          <t>Đổi từ MIN(...) sang SUM(...) cho PNP_ARS.</t>
        </is>
      </c>
    </row>
    <row r="16" ht="86.25" customHeight="1" s="335">
      <c r="A16" s="433" t="inlineStr">
        <is>
          <t>PG_BRONZE</t>
        </is>
      </c>
      <c r="B16" s="415" t="inlineStr">
        <is>
          <t>T24CORE_PD_PAYMENT_DUE_HIS_MV</t>
        </is>
      </c>
      <c r="C16" s="433" t="inlineStr">
        <is>
          <t>PAY_AMT_OUTS, PAY_TYPE, CATEGORY</t>
        </is>
      </c>
      <c r="D16" s="445" t="inlineStr">
        <is>
          <t>SUM(CASE
        WHEN (a.PAY_TYPE = 'IN' OR (a.CATEGORY = 21069 AND a.PAY_TYPE = 'PR'))
        THEN a.PAY_AMT_OUTS
        ELSE 0
END)</t>
        </is>
      </c>
      <c r="E16" s="433" t="inlineStr">
        <is>
          <t>Arrangement Delinquency Summary</t>
        </is>
      </c>
      <c r="F16" s="433" t="inlineStr">
        <is>
          <t>Interest Arrears</t>
        </is>
      </c>
      <c r="G16" s="415" t="inlineStr">
        <is>
          <t>AR_DLQ_SMY</t>
        </is>
      </c>
      <c r="H16" s="433" t="inlineStr">
        <is>
          <t>INT_ARS</t>
        </is>
      </c>
      <c r="I16" s="415" t="inlineStr">
        <is>
          <t>NUMBER</t>
        </is>
      </c>
      <c r="J16" s="433" t="n">
        <v>25.5</v>
      </c>
      <c r="K16" s="433" t="inlineStr">
        <is>
          <t>Số tiền quá hạn lãi</t>
        </is>
      </c>
      <c r="M16" s="334">
        <f>"COMMENT ON COLUMN PG_SILVER."&amp;G16&amp;"."&amp;H16&amp;" IS '"&amp;K16&amp;"';"</f>
        <v/>
      </c>
      <c r="N16" s="414" t="inlineStr">
        <is>
          <t>Đổi từ MIN(...) sang SUM(...) cho INT_ARS.</t>
        </is>
      </c>
    </row>
    <row r="17" ht="14.25" customHeight="1" s="335">
      <c r="A17" s="433" t="inlineStr">
        <is>
          <t>PG_BRONZE</t>
        </is>
      </c>
      <c r="B17" s="415" t="inlineStr">
        <is>
          <t>T24CORE_PD_PAYMENT_DUE</t>
        </is>
      </c>
      <c r="C17" s="433" t="inlineStr">
        <is>
          <t>SNQH_CHUYENDOI</t>
        </is>
      </c>
      <c r="D17" s="433" t="inlineStr">
        <is>
          <t>MAX(b.SNQH_CHUYENDOI)</t>
        </is>
      </c>
      <c r="E17" s="433" t="inlineStr">
        <is>
          <t>Arrangement Delinquency Summary</t>
        </is>
      </c>
      <c r="F17" s="433" t="inlineStr">
        <is>
          <t>Addition days in arrears</t>
        </is>
      </c>
      <c r="G17" s="415" t="inlineStr">
        <is>
          <t>AR_DLQ_SMY</t>
        </is>
      </c>
      <c r="H17" s="433" t="inlineStr">
        <is>
          <t>ADDITION_DYS_IN_ARS</t>
        </is>
      </c>
      <c r="I17" s="415" t="inlineStr">
        <is>
          <t>NUMBER</t>
        </is>
      </c>
      <c r="J17" s="433" t="n">
        <v>22</v>
      </c>
      <c r="K17" s="415" t="inlineStr">
        <is>
          <t>Số ngày quá hạn chuyển đổi</t>
        </is>
      </c>
      <c r="M17" s="334">
        <f>"COMMENT ON COLUMN PG_SILVER."&amp;G17&amp;"."&amp;H17&amp;" IS '"&amp;K17&amp;"';"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N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8.109999999999999" customWidth="1" style="334" min="1" max="1"/>
    <col width="13.44" customWidth="1" style="334" min="2" max="2"/>
    <col width="15.11" customWidth="1" style="334" min="3" max="3"/>
    <col width="46.88" customWidth="1" style="334" min="4" max="4"/>
    <col width="32" customWidth="1" style="334" min="5" max="5"/>
    <col width="34.88" customWidth="1" style="334" min="6" max="6"/>
    <col width="15.56" customWidth="1" style="334" min="7" max="7"/>
    <col width="94.11" customWidth="1" style="334" min="8" max="8"/>
    <col width="29.44" customWidth="1" style="334" min="11" max="11"/>
    <col width="55" customWidth="1" style="334" min="14" max="14"/>
  </cols>
  <sheetData>
    <row r="1" ht="14.25" customHeight="1" s="335">
      <c r="A1" s="432" t="inlineStr">
        <is>
          <t>TYPE : Fact Snapshot</t>
        </is>
      </c>
      <c r="B1" s="432" t="n"/>
      <c r="C1" s="446" t="n"/>
      <c r="D1" s="446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47" t="inlineStr">
        <is>
          <t>No</t>
        </is>
      </c>
      <c r="B2" s="448" t="inlineStr">
        <is>
          <t>System</t>
        </is>
      </c>
      <c r="C2" s="449" t="inlineStr">
        <is>
          <t>TABLE</t>
        </is>
      </c>
      <c r="D2" s="449" t="inlineStr">
        <is>
          <t>Short table</t>
        </is>
      </c>
      <c r="E2" s="450" t="inlineStr">
        <is>
          <t>Main Table</t>
        </is>
      </c>
      <c r="F2" s="450" t="inlineStr">
        <is>
          <t>Type join</t>
        </is>
      </c>
      <c r="G2" s="450" t="inlineStr">
        <is>
          <t>Condition JOIN</t>
        </is>
      </c>
      <c r="H2" s="450" t="inlineStr">
        <is>
          <t>Condition where</t>
        </is>
      </c>
      <c r="I2" s="432" t="n"/>
      <c r="J2" s="432" t="n"/>
      <c r="K2" s="432" t="n"/>
    </row>
    <row r="3" ht="126.75" customHeight="1" s="335">
      <c r="A3" s="416" t="n">
        <v>1</v>
      </c>
      <c r="B3" s="416" t="inlineStr">
        <is>
          <t>PG_BRONZE</t>
        </is>
      </c>
      <c r="C3" s="416" t="inlineStr">
        <is>
          <t>SOURCE_SAOKE_CRB</t>
        </is>
      </c>
      <c r="D3" s="416" t="inlineStr">
        <is>
          <t>a</t>
        </is>
      </c>
      <c r="E3" s="416" t="inlineStr">
        <is>
          <t>main</t>
        </is>
      </c>
      <c r="F3" s="416" t="n"/>
      <c r="G3" s="416" t="n"/>
      <c r="H3" s="377" t="inlineStr">
        <is>
          <t>WHERE a.APP_CODE IN ('LD', 'PD') AND a.TXN_DATE = ${ETL_DATE} GROUP BY a.APP_ID, dlq.PNP_ARS, la.DSBR_AMT_FCY, la.ORIG_AMT_FCY, stmt.*</t>
        </is>
      </c>
      <c r="I3" s="432" t="n"/>
      <c r="J3" s="432" t="n"/>
      <c r="K3" s="432" t="n"/>
    </row>
    <row r="4" ht="14.25" customHeight="1" s="335">
      <c r="A4" s="416" t="n">
        <v>2</v>
      </c>
      <c r="B4" s="416" t="inlineStr">
        <is>
          <t>PG_SILVER</t>
        </is>
      </c>
      <c r="C4" s="416" t="inlineStr">
        <is>
          <t>PST_ENTR</t>
        </is>
      </c>
      <c r="D4" s="416" t="inlineStr">
        <is>
          <t>stmt</t>
        </is>
      </c>
      <c r="E4" s="416" t="inlineStr">
        <is>
          <t>sub</t>
        </is>
      </c>
      <c r="F4" s="416" t="inlineStr">
        <is>
          <t>LEFT JOIN</t>
        </is>
      </c>
      <c r="G4" s="416" t="inlineStr">
        <is>
          <t>(CASE WHEN a.APP_ID LIKE 'PDLD%' THEN SUBSTR(a.APP_ID, 3, 12) ELSE a.APP_ID END) = stmt.AR_CODE</t>
        </is>
      </c>
      <c r="H4" s="416" t="inlineStr">
        <is>
          <t>(SELECT
  AR_CODE
  ,SUM(CASE WHEN ACG_CR_DB_F = 'D' AND PST_DT = ${ETL_DATE} THEN ABS(NVL(PST_ENTR_AMT_FCY, 0)) ELSE 0 END) AS DB_AMT_IN_DAY_FCY
  ,COUNT(CASE WHEN ACG_CR_DB_F = 'D' AND PST_DT = ${ETL_DATE} THEN PST_ENTR_ID END) AS NBR_OF_DB_IN_DAY
  ,SUM(CASE WHEN ACG_CR_DB_F = 'C' AND PST_DT = ${ETL_DATE} THEN ABS(NVL(PST_ENTR_AMT_FCY, 0)) ELSE 0 END) AS CR_AMT_IN_DAY_FCY
  ,COUNT(CASE WHEN ACG_CR_DB_F = 'C' AND PST_DT = ${ETL_DATE} THEN PST_ENTR_ID END) AS NBR_OF_CR_IN_DAY
  ,SUM(CASE WHEN ACG_CR_DB_F = 'D' AND TRUNC(PST_DT, 'MM') = TRUNC(${ETL_DATE}, 'MM') AND PST_DT &lt;= ${ETL_DATE} THEN ABS(NVL(PST_ENTR_AMT_FCY, 0)) ELSE 0 END) AS DB_AMT_IN_MO_FCY
  ,COUNT(CASE WHEN ACG_CR_DB_F = 'D' AND TRUNC(PST_DT, 'MM') = TRUNC(${ETL_DATE}, 'MM') AND PST_DT &lt;= ${ETL_DATE} THEN PST_ENTR_ID END) AS NBR_OF_DB_IN_MO
  ,SUM(CASE WHEN ACG_CR_DB_F = 'C' AND TRUNC(PST_DT, 'MM') = TRUNC(${ETL_DATE}, 'MM') AND PST_DT &lt;= ${ETL_DATE} THEN ABS(NVL(PST_ENTR_AMT_FCY, 0)) ELSE 0 END) AS CR_AMT_IN_MO_FCY
  ,COUNT(CASE WHEN ACG_CR_DB_F = 'C' AND TRUNC(PST_DT, 'MM') = TRUNC(${ETL_DATE}, 'MM') AND PST_DT &lt;= ${ETL_DATE} THEN PST_ENTR_ID END) AS NBR_OF_CR_IN_MO
  ,SUM(CASE WHEN ACG_CR_DB_F = 'D' AND TRUNC(PST_DT, 'YYYY') = TRUNC(${ETL_DATE}, 'YYYY') AND PST_DT &lt;= ${ETL_DATE} THEN ABS(NVL(PST_ENTR_AMT_FCY, 0)) ELSE 0 END) AS DB_AMT_IN_YR_FCY
  ,COUNT(CASE WHEN ACG_CR_DB_F = 'D' AND TRUNC(PST_DT, 'YYYY') = TRUNC(${ETL_DATE}, 'YYYY') AND PST_DT &lt;= ${ETL_DATE} THEN PST_ENTR_ID END) AS NBR_OF_DB_IN_YR
  ,SUM(CASE WHEN ACG_CR_DB_F = 'C' AND TRUNC(PST_DT, 'YYYY') = TRUNC(${ETL_DATE}, 'YYYY') AND PST_DT &lt;= ${ETL_DATE} THEN ABS(NVL(PST_ENTR_AMT_FCY, 0)) ELSE 0 END) AS CR_AMT_IN_YR_FCY
  ,COUNT(CASE WHEN ACG_CR_DB_F = 'C' AND TRUNC(PST_DT, 'YYYY') = TRUNC(${ETL_DATE}, 'YYYY') AND PST_DT &lt;= ${ETL_DATE} THEN PST_ENTR_ID END) AS NBR_OF_CR_IN_YR
FROM PG_SILVER.PST_ENTR
WHERE TRUNC(PST_DT, 'YYYY') = TRUNC(${ETL_DATE}, 'YYYY') AND PST_DT &lt;= ${ETL_DATE}
GROUP BY AR_CODE) stmt</t>
        </is>
      </c>
    </row>
    <row r="5" ht="14.25" customHeight="1" s="335">
      <c r="A5" s="416" t="n">
        <v>3</v>
      </c>
      <c r="B5" s="416" t="inlineStr">
        <is>
          <t>PG_SILVER</t>
        </is>
      </c>
      <c r="C5" s="416" t="inlineStr">
        <is>
          <t>AR_DLQ_SMY</t>
        </is>
      </c>
      <c r="D5" s="416" t="inlineStr">
        <is>
          <t>dlq</t>
        </is>
      </c>
      <c r="E5" s="416" t="inlineStr">
        <is>
          <t>sub</t>
        </is>
      </c>
      <c r="F5" s="416" t="inlineStr">
        <is>
          <t>LEFT JOIN</t>
        </is>
      </c>
      <c r="G5" s="416" t="inlineStr">
        <is>
          <t>(CASE WHEN a.APP_ID LIKE 'PDLD%' THEN SUBSTR(a.APP_ID, 3, 12) ELSE a.APP_ID END) = dlq.ORIG_AR_CODE</t>
        </is>
      </c>
      <c r="H5" s="416" t="inlineStr">
        <is>
          <t>(SELECT ORIG_AR_CODE, SUM(PNP_ARS) AS PNP_ARS FROM PG_SILVER.AR_DLQ_SMY WHERE CDR_DT = ${ETL_DATE} GROUP BY ORIG_AR_CODE) dlq</t>
        </is>
      </c>
    </row>
    <row r="6" ht="14.25" customHeight="1" s="335">
      <c r="A6" s="342" t="n">
        <v>4</v>
      </c>
      <c r="B6" s="342" t="inlineStr">
        <is>
          <t>PG_SILVER</t>
        </is>
      </c>
      <c r="C6" s="342" t="inlineStr">
        <is>
          <t>LOAN_AR</t>
        </is>
      </c>
      <c r="D6" s="342" t="inlineStr">
        <is>
          <t>la</t>
        </is>
      </c>
      <c r="E6" s="342" t="inlineStr">
        <is>
          <t>sub</t>
        </is>
      </c>
      <c r="F6" s="342" t="inlineStr">
        <is>
          <t>LEFT JOIN</t>
        </is>
      </c>
      <c r="G6" s="342" t="inlineStr">
        <is>
          <t>a.APP_ID = la.AR_CODE</t>
        </is>
      </c>
      <c r="H6" s="342" t="inlineStr">
        <is>
          <t>la.SYS_EXP_DT IS NULL</t>
        </is>
      </c>
      <c r="I6" s="437" t="n"/>
      <c r="J6" s="437" t="n"/>
      <c r="K6" s="437" t="n"/>
    </row>
    <row r="7" ht="14.25" customHeight="1" s="335">
      <c r="A7" s="437" t="n"/>
      <c r="B7" s="437" t="n"/>
      <c r="C7" s="451" t="n"/>
      <c r="D7" s="451" t="n"/>
      <c r="E7" s="437" t="n"/>
      <c r="F7" s="437" t="n"/>
      <c r="G7" s="437" t="n"/>
      <c r="H7" s="437" t="n"/>
      <c r="I7" s="437" t="n"/>
      <c r="J7" s="437" t="n"/>
      <c r="K7" s="437" t="n"/>
    </row>
    <row r="8" ht="14.25" customHeight="1" s="335">
      <c r="A8" s="432" t="inlineStr">
        <is>
          <t>Nguồn</t>
        </is>
      </c>
      <c r="B8" s="432" t="inlineStr">
        <is>
          <t>Bảng nguồn</t>
        </is>
      </c>
      <c r="C8" s="446" t="inlineStr">
        <is>
          <t>Cột nguồn</t>
        </is>
      </c>
      <c r="D8" s="446" t="inlineStr">
        <is>
          <t>Transform</t>
        </is>
      </c>
      <c r="E8" s="432" t="inlineStr">
        <is>
          <t>Entity</t>
        </is>
      </c>
      <c r="F8" s="432" t="inlineStr">
        <is>
          <t>Attribute</t>
        </is>
      </c>
      <c r="G8" s="432" t="inlineStr">
        <is>
          <t>Bảng đích</t>
        </is>
      </c>
      <c r="H8" s="432" t="inlineStr">
        <is>
          <t>Cột đích</t>
        </is>
      </c>
      <c r="I8" s="432" t="inlineStr">
        <is>
          <t>Kiểu dữ liệu</t>
        </is>
      </c>
      <c r="J8" s="432" t="inlineStr">
        <is>
          <t>Độ dài</t>
        </is>
      </c>
      <c r="K8" s="432" t="inlineStr">
        <is>
          <t>Diễn giải</t>
        </is>
      </c>
      <c r="L8" s="432" t="inlineStr">
        <is>
          <t>Glossary</t>
        </is>
      </c>
      <c r="M8" s="432" t="inlineStr">
        <is>
          <t>DDL Comment</t>
        </is>
      </c>
      <c r="N8" s="413" t="inlineStr">
        <is>
          <t>Ghi chú kỹ thuật &amp; Business Rule</t>
        </is>
      </c>
    </row>
    <row r="9" ht="14.25" customHeight="1" s="335">
      <c r="A9" s="433" t="inlineStr">
        <is>
          <t>PG_BRONZE</t>
        </is>
      </c>
      <c r="B9" s="433" t="inlineStr">
        <is>
          <t>SOURCE_SAOKE_CRB</t>
        </is>
      </c>
      <c r="C9" s="443" t="inlineStr">
        <is>
          <t>TXN_DATE</t>
        </is>
      </c>
      <c r="D9" s="445" t="inlineStr">
        <is>
          <t>${ETL_DATE}</t>
        </is>
      </c>
      <c r="E9" s="433" t="inlineStr">
        <is>
          <t>Arrangement Turnover Summary</t>
        </is>
      </c>
      <c r="F9" s="433" t="inlineStr">
        <is>
          <t>Carlendar Date</t>
        </is>
      </c>
      <c r="G9" s="415" t="inlineStr">
        <is>
          <t>AR_TVR_SMY</t>
        </is>
      </c>
      <c r="H9" s="415" t="inlineStr">
        <is>
          <t>CDR_DT</t>
        </is>
      </c>
      <c r="I9" s="415" t="inlineStr">
        <is>
          <t>DATE</t>
        </is>
      </c>
      <c r="J9" s="415" t="n"/>
      <c r="K9" s="415" t="inlineStr">
        <is>
          <t>Ngày dữ liệu</t>
        </is>
      </c>
      <c r="M9" s="334">
        <f>"COMMENT ON COLUMN PG_SILVER."&amp;G9&amp;"."&amp;H9&amp;" IS '"&amp;K9&amp;"';"</f>
        <v/>
      </c>
      <c r="N9" s="414" t="inlineStr">
        <is>
          <t>Gán `${ETL_DATE}` cho CDR_DT.</t>
        </is>
      </c>
    </row>
    <row r="10" ht="14.25" customHeight="1" s="335">
      <c r="A10" s="433" t="inlineStr">
        <is>
          <t>PG_BRONZE</t>
        </is>
      </c>
      <c r="B10" s="433" t="inlineStr">
        <is>
          <t>SOURCE_SAOKE_CRB</t>
        </is>
      </c>
      <c r="C10" s="443" t="inlineStr">
        <is>
          <t>APP_ID</t>
        </is>
      </c>
      <c r="D10" s="445" t="inlineStr">
        <is>
          <t>'SAOKE_CRB'</t>
        </is>
      </c>
      <c r="E10" s="433" t="inlineStr">
        <is>
          <t>Arrangement Turnover Summary</t>
        </is>
      </c>
      <c r="F10" s="442" t="inlineStr">
        <is>
          <t>Source System Code</t>
        </is>
      </c>
      <c r="G10" s="415" t="inlineStr">
        <is>
          <t>AR_TVR_SMY</t>
        </is>
      </c>
      <c r="H10" s="415" t="inlineStr">
        <is>
          <t>SRC_STM_CODE</t>
        </is>
      </c>
      <c r="I10" s="415" t="inlineStr">
        <is>
          <t>VARCHAR2</t>
        </is>
      </c>
      <c r="J10" s="415" t="n">
        <v>32</v>
      </c>
      <c r="K10" s="415" t="inlineStr">
        <is>
          <t>Mã nguồn dữ liệu</t>
        </is>
      </c>
      <c r="M10" s="334">
        <f>"COMMENT ON COLUMN PG_SILVER."&amp;G10&amp;"."&amp;H10&amp;" IS '"&amp;K10&amp;"';"</f>
        <v/>
      </c>
      <c r="N10" s="414" t="inlineStr">
        <is>
          <t>Gán hằng số `'SAOKE_CRB'` cho SRC_STM_CODE.</t>
        </is>
      </c>
    </row>
    <row r="11" ht="54.75" customHeight="1" s="335">
      <c r="A11" s="433" t="inlineStr">
        <is>
          <t>PG_BRONZE</t>
        </is>
      </c>
      <c r="B11" s="415" t="inlineStr">
        <is>
          <t>SOURCE_SAOKE_CRB</t>
        </is>
      </c>
      <c r="C11" s="443" t="inlineStr">
        <is>
          <t>APP_ID</t>
        </is>
      </c>
      <c r="D11" s="443" t="inlineStr">
        <is>
          <t>fn_hash("T24_LD_LOANS_AND_DEPOSITS", a.APP_ID)</t>
        </is>
      </c>
      <c r="E11" s="433" t="inlineStr">
        <is>
          <t>Arrangement Turnover Summary</t>
        </is>
      </c>
      <c r="F11" s="415" t="inlineStr">
        <is>
          <t>Arrangement ID</t>
        </is>
      </c>
      <c r="G11" s="415" t="inlineStr">
        <is>
          <t>AR_TVR_SMY</t>
        </is>
      </c>
      <c r="H11" s="433" t="inlineStr">
        <is>
          <t>AR_ID</t>
        </is>
      </c>
      <c r="I11" s="415" t="inlineStr">
        <is>
          <t>CHAR</t>
        </is>
      </c>
      <c r="J11" s="433" t="n">
        <v>32</v>
      </c>
      <c r="K11" s="433" t="inlineStr">
        <is>
          <t>ID hợp đồng</t>
        </is>
      </c>
      <c r="M11" s="334">
        <f>"COMMENT ON COLUMN PG_SILVER."&amp;G11&amp;"."&amp;H11&amp;" IS '"&amp;K11&amp;"';"</f>
        <v/>
      </c>
    </row>
    <row r="12" ht="28.5" customHeight="1" s="335">
      <c r="A12" s="433" t="inlineStr">
        <is>
          <t>PG_BRONZE</t>
        </is>
      </c>
      <c r="B12" s="415" t="inlineStr">
        <is>
          <t>SOURCE_SAOKE_CRB</t>
        </is>
      </c>
      <c r="C12" s="443" t="inlineStr">
        <is>
          <t>APP_ID</t>
        </is>
      </c>
      <c r="D12" s="443" t="inlineStr">
        <is>
          <t>1:1</t>
        </is>
      </c>
      <c r="E12" s="433" t="inlineStr">
        <is>
          <t>Arrangement Turnover Summary</t>
        </is>
      </c>
      <c r="F12" s="415" t="inlineStr">
        <is>
          <t>Arrangement Code</t>
        </is>
      </c>
      <c r="G12" s="415" t="inlineStr">
        <is>
          <t>AR_TVR_SMY</t>
        </is>
      </c>
      <c r="H12" s="433" t="inlineStr">
        <is>
          <t>AR_CODE</t>
        </is>
      </c>
      <c r="I12" s="415" t="inlineStr">
        <is>
          <t>VARCHAR2</t>
        </is>
      </c>
      <c r="J12" s="415" t="n">
        <v>32</v>
      </c>
      <c r="K12" s="433" t="inlineStr">
        <is>
          <t>Mã hợp đồng</t>
        </is>
      </c>
      <c r="M12" s="334">
        <f>"COMMENT ON COLUMN PG_SILVER."&amp;G12&amp;"."&amp;H12&amp;" IS '"&amp;K12&amp;"';"</f>
        <v/>
      </c>
    </row>
    <row r="13" ht="42.75" customHeight="1" s="335">
      <c r="A13" s="433" t="inlineStr">
        <is>
          <t>PG_BRONZE</t>
        </is>
      </c>
      <c r="B13" s="415" t="inlineStr">
        <is>
          <t>SOURCE_SAOKE_CRB</t>
        </is>
      </c>
      <c r="C13" s="433" t="inlineStr">
        <is>
          <t>APP_ID</t>
        </is>
      </c>
      <c r="D13" s="443" t="inlineStr">
        <is>
          <t>fn_hash("T24_LD_LOANS_AND_DEPOSITS", CASE WHEN a.APP_ID LIKE 'PDLD%' THEN SUBSTR(a.APP_ID, 3, 12) ELSE a.APP_ID END)</t>
        </is>
      </c>
      <c r="E13" s="433" t="inlineStr">
        <is>
          <t>Arrangement Turnover Summary</t>
        </is>
      </c>
      <c r="F13" s="433" t="inlineStr">
        <is>
          <t>Original Arrangement Id</t>
        </is>
      </c>
      <c r="G13" s="441" t="inlineStr">
        <is>
          <t>AR_TVR_SMY</t>
        </is>
      </c>
      <c r="H13" s="443" t="inlineStr">
        <is>
          <t>ORIG_AR_ID</t>
        </is>
      </c>
      <c r="I13" s="433" t="inlineStr">
        <is>
          <t>CHAR</t>
        </is>
      </c>
      <c r="J13" s="433" t="n">
        <v>32</v>
      </c>
      <c r="K13" s="433" t="inlineStr">
        <is>
          <t>ID hợp đồng gốc</t>
        </is>
      </c>
      <c r="M13" s="334">
        <f>"COMMENT ON COLUMN PG_SILVER."&amp;G13&amp;"."&amp;H13&amp;" IS '"&amp;K13&amp;"';"</f>
        <v/>
      </c>
      <c r="N13" s="414" t="inlineStr">
        <is>
          <t>Đổi Bảng đích về `AR_TVR_SMY`.</t>
        </is>
      </c>
    </row>
    <row r="14" ht="42.75" customHeight="1" s="335">
      <c r="A14" s="433" t="inlineStr">
        <is>
          <t>PG_BRONZE</t>
        </is>
      </c>
      <c r="B14" s="415" t="inlineStr">
        <is>
          <t>SOURCE_SAOKE_CRB</t>
        </is>
      </c>
      <c r="C14" s="433" t="inlineStr">
        <is>
          <t>APP_ID</t>
        </is>
      </c>
      <c r="D14" s="443" t="inlineStr">
        <is>
          <t>CASE WHEN a.APP_ID LIKE 'PDLD%' THEN SUBSTR(a.APP_ID, 3, 12) ELSE a.APP_ID END</t>
        </is>
      </c>
      <c r="E14" s="433" t="inlineStr">
        <is>
          <t>Arrangement Turnover Summary</t>
        </is>
      </c>
      <c r="F14" s="433" t="inlineStr">
        <is>
          <t>Original Arrangement Code</t>
        </is>
      </c>
      <c r="G14" s="441" t="inlineStr">
        <is>
          <t>AR_TVR_SMY</t>
        </is>
      </c>
      <c r="H14" s="443" t="inlineStr">
        <is>
          <t>ORIG_AR_CODE</t>
        </is>
      </c>
      <c r="I14" s="433" t="inlineStr">
        <is>
          <t>VARCHAR2</t>
        </is>
      </c>
      <c r="J14" s="433" t="n">
        <v>40</v>
      </c>
      <c r="K14" s="433" t="inlineStr">
        <is>
          <t>Mã hợp đồng gốc</t>
        </is>
      </c>
      <c r="M14" s="334">
        <f>"COMMENT ON COLUMN PG_SILVER."&amp;G14&amp;"."&amp;H14&amp;" IS '"&amp;K14&amp;"';"</f>
        <v/>
      </c>
      <c r="N14" s="414" t="inlineStr">
        <is>
          <t>Đổi Bảng đích về `AR_TVR_SMY`.</t>
        </is>
      </c>
    </row>
    <row r="15" ht="42.75" customHeight="1" s="335">
      <c r="A15" s="433" t="inlineStr">
        <is>
          <t>PG_BRONZE</t>
        </is>
      </c>
      <c r="B15" s="415" t="inlineStr">
        <is>
          <t>SOURCE_SAOKE_CRB</t>
        </is>
      </c>
      <c r="C15" s="443" t="inlineStr">
        <is>
          <t>SBV_CODE, AMOUNT_CUR</t>
        </is>
      </c>
      <c r="D15" s="443" t="inlineStr">
        <is>
          <t>SUM(CASE WHEN a.SBV_CODE LIKE '2%' AND a.AMOUNT_CUR &lt; 0 THEN ABS(a.AMOUNT_CUR) ELSE 0 END)</t>
        </is>
      </c>
      <c r="E15" s="433" t="inlineStr">
        <is>
          <t>Arrangement Turnover Summary</t>
        </is>
      </c>
      <c r="F15" s="433" t="inlineStr">
        <is>
          <t>Closing Balance FCY</t>
        </is>
      </c>
      <c r="G15" s="415" t="inlineStr">
        <is>
          <t>AR_TVR_SMY</t>
        </is>
      </c>
      <c r="H15" s="433" t="inlineStr">
        <is>
          <t>CLS_BAL_FCY</t>
        </is>
      </c>
      <c r="I15" s="433" t="inlineStr">
        <is>
          <t>NUMBER</t>
        </is>
      </c>
      <c r="J15" s="433" t="n">
        <v>32.5</v>
      </c>
      <c r="K15" s="433" t="inlineStr">
        <is>
          <t>Dư nợ còn lại nguyên tệ</t>
        </is>
      </c>
      <c r="M15" s="334">
        <f>"COMMENT ON COLUMN PG_SILVER."&amp;G15&amp;"."&amp;H15&amp;" IS '"&amp;K15&amp;"';"</f>
        <v/>
      </c>
    </row>
    <row r="16" ht="42.75" customHeight="1" s="335">
      <c r="A16" s="433" t="inlineStr">
        <is>
          <t>PG_BRONZE</t>
        </is>
      </c>
      <c r="B16" s="415" t="inlineStr">
        <is>
          <t>SOURCE_SAOKE_CRB</t>
        </is>
      </c>
      <c r="C16" s="443" t="inlineStr">
        <is>
          <t>SBV_CODE, AMOUNT_LCY</t>
        </is>
      </c>
      <c r="D16" s="443" t="inlineStr">
        <is>
          <t>SUM(CASE WHEN a.SBV_CODE LIKE '2%' AND a.AMOUNT_LCY &lt; 0 THEN ABS(a.AMOUNT_LCY) ELSE 0 END)</t>
        </is>
      </c>
      <c r="E16" s="433" t="inlineStr">
        <is>
          <t>Arrangement Turnover Summary</t>
        </is>
      </c>
      <c r="F16" s="433" t="inlineStr">
        <is>
          <t>Closing Balance LCY</t>
        </is>
      </c>
      <c r="G16" s="415" t="inlineStr">
        <is>
          <t>AR_TVR_SMY</t>
        </is>
      </c>
      <c r="H16" s="433" t="inlineStr">
        <is>
          <t>CLS_BAL_LCY</t>
        </is>
      </c>
      <c r="I16" s="433" t="inlineStr">
        <is>
          <t>NUMBER</t>
        </is>
      </c>
      <c r="J16" s="433" t="n">
        <v>32.5</v>
      </c>
      <c r="K16" s="433" t="inlineStr">
        <is>
          <t>Dư nợ còn lại quy đổi</t>
        </is>
      </c>
      <c r="M16" s="334">
        <f>"COMMENT ON COLUMN PG_SILVER."&amp;G16&amp;"."&amp;H16&amp;" IS '"&amp;K16&amp;"';"</f>
        <v/>
      </c>
    </row>
    <row r="17" ht="27" customHeight="1" s="335">
      <c r="A17" s="452" t="inlineStr">
        <is>
          <t>PG_BRONZE, PG_SILVER</t>
        </is>
      </c>
      <c r="B17" s="452" t="inlineStr">
        <is>
          <t>SOURCE_SAOKE_CRB, AR_DLQ_SMY</t>
        </is>
      </c>
      <c r="C17" s="453" t="inlineStr">
        <is>
          <t>SBV_CODE, AMOUNT_CUR, PNP_ARS</t>
        </is>
      </c>
      <c r="D17" s="454" t="inlineStr">
        <is>
          <t>GREATEST(SUM(CASE WHEN a.SBV_CODE LIKE '2%' AND a.AMOUNT_CUR &lt; 0 THEN ABS(a.AMOUNT_CUR) ELSE 0 END) - NVL(dlq.PNP_ARS, 0), 0)</t>
        </is>
      </c>
      <c r="E17" s="455" t="inlineStr">
        <is>
          <t>Arrangement Turnover Summary</t>
        </is>
      </c>
      <c r="F17" s="452" t="inlineStr">
        <is>
          <t>Total Recoverable Principal Amount FCY</t>
        </is>
      </c>
      <c r="G17" s="456" t="inlineStr">
        <is>
          <t>AR_TVR_SMY</t>
        </is>
      </c>
      <c r="H17" s="452" t="inlineStr">
        <is>
          <t>TOT_RECBL_PNP_AMT_FCY</t>
        </is>
      </c>
      <c r="I17" s="452" t="inlineStr">
        <is>
          <t>NUMBER</t>
        </is>
      </c>
      <c r="J17" s="452" t="n">
        <v>32.5</v>
      </c>
      <c r="K17" s="452" t="inlineStr">
        <is>
          <t>Tổng dư nợ gốc có thể thu được</t>
        </is>
      </c>
      <c r="L17" s="452" t="n"/>
      <c r="M17" s="452">
        <f>"COMMENT ON COLUMN PG_SILVER."&amp;G17&amp;"."&amp;H17&amp;" IS '"&amp;K17&amp;"';"</f>
        <v/>
      </c>
      <c r="N17" s="414" t="inlineStr">
        <is>
          <t>Tính dư nợ gốc có thể thu được = Dư nợ gốc - Gốc quá hạn.</t>
        </is>
      </c>
    </row>
    <row r="18" ht="41.25" customHeight="1" s="335">
      <c r="A18" s="452" t="inlineStr">
        <is>
          <t>PG_BRONZE</t>
        </is>
      </c>
      <c r="B18" s="452" t="inlineStr">
        <is>
          <t>SOURCE_SAOKE_CRB</t>
        </is>
      </c>
      <c r="C18" s="457" t="inlineStr">
        <is>
          <t>SBV_CODE, MAT_DATE, AMOUNT_CUR</t>
        </is>
      </c>
      <c r="D18" s="454" t="inlineStr">
        <is>
          <t>SUM(CASE WHEN a.SBV_CODE LIKE '2%' AND a.MAT_DATE = ${ETL_DATE} AND a.AMOUNT_CUR &lt; 0 THEN ABS(a.AMOUNT_CUR) ELSE 0 END)</t>
        </is>
      </c>
      <c r="E18" s="455" t="inlineStr">
        <is>
          <t>Arrangement Turnover Summary</t>
        </is>
      </c>
      <c r="F18" s="452" t="inlineStr">
        <is>
          <t>Total Due Principal Amount FCY</t>
        </is>
      </c>
      <c r="G18" s="456" t="inlineStr">
        <is>
          <t>AR_TVR_SMY</t>
        </is>
      </c>
      <c r="H18" s="452" t="inlineStr">
        <is>
          <t>TOT_DUE_PNP_AMT_FCY</t>
        </is>
      </c>
      <c r="I18" s="452" t="inlineStr">
        <is>
          <t>NUMBER</t>
        </is>
      </c>
      <c r="J18" s="452" t="n">
        <v>32.5</v>
      </c>
      <c r="K18" s="452" t="inlineStr">
        <is>
          <t>Tổng dư nợ gốc đến hạn</t>
        </is>
      </c>
      <c r="L18" s="452" t="n"/>
      <c r="M18" s="452">
        <f>"COMMENT ON COLUMN PG_SILVER."&amp;G18&amp;"."&amp;H18&amp;" IS '"&amp;K18&amp;"';"</f>
        <v/>
      </c>
      <c r="N18" s="414" t="inlineStr">
        <is>
          <t>Bổ sung công thức tính tổng dư nợ gốc đến hạn.</t>
        </is>
      </c>
    </row>
    <row r="19" ht="42.75" customHeight="1" s="335">
      <c r="A19" s="452" t="inlineStr">
        <is>
          <t>PG_SILVER</t>
        </is>
      </c>
      <c r="B19" s="452" t="inlineStr">
        <is>
          <t>AR_DLQ_SMY</t>
        </is>
      </c>
      <c r="C19" s="457" t="inlineStr">
        <is>
          <t>PNP_ARS</t>
        </is>
      </c>
      <c r="D19" s="454" t="inlineStr">
        <is>
          <t>NVL(stmt.DB_AMT_IN_DAY_FCY, 0)</t>
        </is>
      </c>
      <c r="E19" s="455" t="inlineStr">
        <is>
          <t>Arrangement Turnover Summary</t>
        </is>
      </c>
      <c r="F19" s="452" t="inlineStr">
        <is>
          <t>Total Overdue Principal Amount FCY</t>
        </is>
      </c>
      <c r="G19" s="456" t="inlineStr">
        <is>
          <t>AR_TVR_SMY</t>
        </is>
      </c>
      <c r="H19" s="452" t="inlineStr">
        <is>
          <t>TOT_ODUE_PNP_AMT_FCY</t>
        </is>
      </c>
      <c r="I19" s="452" t="inlineStr">
        <is>
          <t>NUMBER</t>
        </is>
      </c>
      <c r="J19" s="452" t="n">
        <v>32.5</v>
      </c>
      <c r="K19" s="452" t="inlineStr">
        <is>
          <t>Tổng dư nợ gốc quá hạn</t>
        </is>
      </c>
      <c r="L19" s="452" t="n"/>
      <c r="M19" s="452">
        <f>"COMMENT ON COLUMN PG_SILVER."&amp;G19&amp;"."&amp;H19&amp;" IS '"&amp;K19&amp;"';"</f>
        <v/>
      </c>
      <c r="N19" s="414" t="inlineStr">
        <is>
          <t>Lấy từ subquery `stmt` đã gom nhóm trước theo `AR_CODE` (tránh join trực tiếp bảng chi tiết gây nhân bản N x M): `SUM(CASE WHEN ACG_CR_DB_F = 'D' AND PST_DT = ${ETL_DATE} THEN ABS(NVL(PST_ENTR_AMT_FCY, 0)) ELSE 0 END)`.</t>
        </is>
      </c>
    </row>
    <row r="20" ht="42.75" customHeight="1" s="335">
      <c r="A20" s="334" t="inlineStr">
        <is>
          <t>PG_SILVER</t>
        </is>
      </c>
      <c r="B20" s="334" t="inlineStr">
        <is>
          <t>LOAN_AR</t>
        </is>
      </c>
      <c r="C20" s="453" t="inlineStr">
        <is>
          <t>DSBR_AMT_FCY, ORIG_AMT_FCY</t>
        </is>
      </c>
      <c r="D20" s="458" t="inlineStr">
        <is>
          <t>NVL(stmt.NBR_OF_DB_IN_DAY, 0)</t>
        </is>
      </c>
      <c r="E20" s="433" t="inlineStr">
        <is>
          <t>Arrangement Turnover Summary</t>
        </is>
      </c>
      <c r="F20" s="334" t="inlineStr">
        <is>
          <t>Disbursement Amount LTD FCY</t>
        </is>
      </c>
      <c r="G20" s="415" t="inlineStr">
        <is>
          <t>AR_TVR_SMY</t>
        </is>
      </c>
      <c r="H20" s="334" t="inlineStr">
        <is>
          <t>DSBR_AMT_LTD_FCY</t>
        </is>
      </c>
      <c r="I20" s="334" t="inlineStr">
        <is>
          <t>NUMBER</t>
        </is>
      </c>
      <c r="J20" s="334" t="n">
        <v>32.5</v>
      </c>
      <c r="K20" s="334" t="inlineStr">
        <is>
          <t>Tổng giá trị giải ngân từ trước đến nay</t>
        </is>
      </c>
      <c r="M20" s="334">
        <f>"COMMENT ON COLUMN PG_SILVER."&amp;G20&amp;"."&amp;H20&amp;" IS '"&amp;K20&amp;"';"</f>
        <v/>
      </c>
      <c r="N20" s="414" t="inlineStr">
        <is>
          <t>Lấy từ subquery `stmt` đã gom nhóm trước theo `AR_CODE`: `COUNT(CASE WHEN ACG_CR_DB_F = 'D' AND PST_DT = ${ETL_DATE} THEN PST_ENTR_ID END)`.</t>
        </is>
      </c>
    </row>
    <row r="21" ht="42.75" customHeight="1" s="335">
      <c r="A21" s="334" t="inlineStr">
        <is>
          <t>PG_SILVER</t>
        </is>
      </c>
      <c r="B21" s="334" t="inlineStr">
        <is>
          <t>PST_ENTR</t>
        </is>
      </c>
      <c r="C21" s="453" t="inlineStr">
        <is>
          <t>PST_ENTR_AMT_FCY, ACG_CR_DB_F, PST_DT</t>
        </is>
      </c>
      <c r="D21" s="458" t="inlineStr">
        <is>
          <t>NVL(stmt.CR_AMT_IN_DAY_FCY, 0)</t>
        </is>
      </c>
      <c r="E21" s="433" t="inlineStr">
        <is>
          <t>Arrangement Turnover Summary</t>
        </is>
      </c>
      <c r="F21" s="334" t="inlineStr">
        <is>
          <t>Debits Amount In Day FCY</t>
        </is>
      </c>
      <c r="G21" s="415" t="inlineStr">
        <is>
          <t>AR_TVR_SMY</t>
        </is>
      </c>
      <c r="H21" s="334" t="inlineStr">
        <is>
          <t>DB_AMT_IN_DAY_FCY</t>
        </is>
      </c>
      <c r="I21" s="334" t="inlineStr">
        <is>
          <t>NUMBER</t>
        </is>
      </c>
      <c r="J21" s="334" t="n">
        <v>32.5</v>
      </c>
      <c r="K21" s="334" t="inlineStr">
        <is>
          <t>Số tiền ghi nợ trong ngày</t>
        </is>
      </c>
      <c r="M21" s="334">
        <f>"COMMENT ON COLUMN PG_SILVER."&amp;G21&amp;"."&amp;H21&amp;" IS '"&amp;K21&amp;"';"</f>
        <v/>
      </c>
      <c r="N21" s="414" t="inlineStr">
        <is>
          <t>Lấy từ subquery `stmt` đã gom nhóm trước theo `AR_CODE`: `SUM(CASE WHEN ACG_CR_DB_F = 'C' AND PST_DT = ${ETL_DATE} THEN ABS(NVL(PST_ENTR_AMT_FCY, 0)) ELSE 0 END)`.</t>
        </is>
      </c>
    </row>
    <row r="22" ht="42.75" customHeight="1" s="335">
      <c r="A22" s="334" t="inlineStr">
        <is>
          <t>PG_SILVER</t>
        </is>
      </c>
      <c r="B22" s="334" t="inlineStr">
        <is>
          <t>PST_ENTR</t>
        </is>
      </c>
      <c r="C22" s="453" t="inlineStr">
        <is>
          <t>PST_ENTR_ID, ACG_CR_DB_F, PST_DT</t>
        </is>
      </c>
      <c r="D22" s="458" t="inlineStr">
        <is>
          <t>NVL(stmt.NBR_OF_CR_IN_DAY, 0)</t>
        </is>
      </c>
      <c r="E22" s="433" t="inlineStr">
        <is>
          <t>Arrangement Turnover Summary</t>
        </is>
      </c>
      <c r="F22" s="334" t="inlineStr">
        <is>
          <t>Number Of Debits In Day</t>
        </is>
      </c>
      <c r="G22" s="415" t="inlineStr">
        <is>
          <t>AR_TVR_SMY</t>
        </is>
      </c>
      <c r="H22" s="334" t="inlineStr">
        <is>
          <t>NBR_OF_DB_IN_DAY</t>
        </is>
      </c>
      <c r="I22" s="334" t="inlineStr">
        <is>
          <t>NUMBER</t>
        </is>
      </c>
      <c r="J22" s="334" t="n">
        <v>32.5</v>
      </c>
      <c r="K22" s="334" t="inlineStr">
        <is>
          <t>Số giao dịch ghi nợ trong ngày</t>
        </is>
      </c>
      <c r="M22" s="334">
        <f>"COMMENT ON COLUMN PG_SILVER."&amp;G22&amp;"."&amp;H22&amp;" IS '"&amp;K22&amp;"';"</f>
        <v/>
      </c>
      <c r="N22" s="414" t="inlineStr">
        <is>
          <t>Lấy từ subquery `stmt` đã gom nhóm trước theo `AR_CODE`: `COUNT(CASE WHEN ACG_CR_DB_F = 'C' AND PST_DT = ${ETL_DATE} THEN PST_ENTR_ID END)`.</t>
        </is>
      </c>
    </row>
    <row r="23" ht="57" customHeight="1" s="335">
      <c r="A23" s="334" t="inlineStr">
        <is>
          <t>PG_SILVER</t>
        </is>
      </c>
      <c r="B23" s="334" t="inlineStr">
        <is>
          <t>PST_ENTR</t>
        </is>
      </c>
      <c r="C23" s="453" t="inlineStr">
        <is>
          <t>PST_ENTR_AMT_FCY, ACG_CR_DB_F, PST_DT</t>
        </is>
      </c>
      <c r="D23" s="458" t="inlineStr">
        <is>
          <t>NVL(stmt.DB_AMT_IN_MO_FCY, 0)</t>
        </is>
      </c>
      <c r="E23" s="433" t="inlineStr">
        <is>
          <t>Arrangement Turnover Summary</t>
        </is>
      </c>
      <c r="F23" s="334" t="inlineStr">
        <is>
          <t>Credits Amount In Day FCY</t>
        </is>
      </c>
      <c r="G23" s="415" t="inlineStr">
        <is>
          <t>AR_TVR_SMY</t>
        </is>
      </c>
      <c r="H23" s="334" t="inlineStr">
        <is>
          <t>CR_AMT_IN_DAY_FCY</t>
        </is>
      </c>
      <c r="I23" s="334" t="inlineStr">
        <is>
          <t>NUMBER</t>
        </is>
      </c>
      <c r="J23" s="334" t="n">
        <v>32.5</v>
      </c>
      <c r="K23" s="334" t="inlineStr">
        <is>
          <t>Số tiền ghi có trong ngày</t>
        </is>
      </c>
      <c r="M23" s="334">
        <f>"COMMENT ON COLUMN PG_SILVER."&amp;G23&amp;"."&amp;H23&amp;" IS '"&amp;K23&amp;"';"</f>
        <v/>
      </c>
      <c r="N23" s="414" t="inlineStr">
        <is>
          <t>Lấy từ subquery `stmt` đã gom nhóm trước theo `AR_CODE`: `SUM(CASE WHEN ACG_CR_DB_F = 'D' AND TRUNC(PST_DT, 'MM') = TRUNC(${ETL_DATE}, 'MM') AND PST_DT &lt;= ${ETL_DATE} THEN ABS(NVL(PST_ENTR_AMT_FCY, 0)) ELSE 0 END)`.</t>
        </is>
      </c>
    </row>
    <row r="24" ht="57" customHeight="1" s="335">
      <c r="A24" s="334" t="inlineStr">
        <is>
          <t>PG_SILVER</t>
        </is>
      </c>
      <c r="B24" s="334" t="inlineStr">
        <is>
          <t>PST_ENTR</t>
        </is>
      </c>
      <c r="C24" s="453" t="inlineStr">
        <is>
          <t>PST_ENTR_ID, ACG_CR_DB_F, PST_DT</t>
        </is>
      </c>
      <c r="D24" s="458" t="inlineStr">
        <is>
          <t>NVL(stmt.NBR_OF_DB_IN_MO, 0)</t>
        </is>
      </c>
      <c r="E24" s="433" t="inlineStr">
        <is>
          <t>Arrangement Turnover Summary</t>
        </is>
      </c>
      <c r="F24" s="334" t="inlineStr">
        <is>
          <t>Number Of Credit In Day</t>
        </is>
      </c>
      <c r="G24" s="415" t="inlineStr">
        <is>
          <t>AR_TVR_SMY</t>
        </is>
      </c>
      <c r="H24" s="334" t="inlineStr">
        <is>
          <t>NBR_OF_CR_IN_DAY</t>
        </is>
      </c>
      <c r="I24" s="334" t="inlineStr">
        <is>
          <t>NUMBER</t>
        </is>
      </c>
      <c r="J24" s="334" t="n">
        <v>32.5</v>
      </c>
      <c r="K24" s="334" t="inlineStr">
        <is>
          <t>Số giao dịch ghi có trong ngày</t>
        </is>
      </c>
      <c r="M24" s="334">
        <f>"COMMENT ON COLUMN PG_SILVER."&amp;G24&amp;"."&amp;H24&amp;" IS '"&amp;K24&amp;"';"</f>
        <v/>
      </c>
      <c r="N24" s="414" t="inlineStr">
        <is>
          <t>Lấy từ subquery `stmt` đã gom nhóm trước theo `AR_CODE`: `COUNT(CASE WHEN ACG_CR_DB_F = 'D' AND TRUNC(PST_DT, 'MM') = TRUNC(${ETL_DATE}, 'MM') AND PST_DT &lt;= ${ETL_DATE} THEN PST_ENTR_ID END)`.</t>
        </is>
      </c>
    </row>
    <row r="25" ht="57" customHeight="1" s="335">
      <c r="A25" s="334" t="inlineStr">
        <is>
          <t>PG_SILVER</t>
        </is>
      </c>
      <c r="B25" s="334" t="inlineStr">
        <is>
          <t>PST_ENTR</t>
        </is>
      </c>
      <c r="C25" s="453" t="inlineStr">
        <is>
          <t>PST_ENTR_AMT_FCY, ACG_CR_DB_F, PST_DT</t>
        </is>
      </c>
      <c r="D25" s="458" t="inlineStr">
        <is>
          <t>NVL(stmt.CR_AMT_IN_MO_FCY, 0)</t>
        </is>
      </c>
      <c r="E25" s="433" t="inlineStr">
        <is>
          <t>Arrangement Turnover Summary</t>
        </is>
      </c>
      <c r="F25" s="334" t="inlineStr">
        <is>
          <t>Debits Amount In Month FCY</t>
        </is>
      </c>
      <c r="G25" s="415" t="inlineStr">
        <is>
          <t>AR_TVR_SMY</t>
        </is>
      </c>
      <c r="H25" s="334" t="inlineStr">
        <is>
          <t>DB_AMT_IN_MO_FCY</t>
        </is>
      </c>
      <c r="I25" s="334" t="inlineStr">
        <is>
          <t>NUMBER</t>
        </is>
      </c>
      <c r="J25" s="334" t="n">
        <v>32.5</v>
      </c>
      <c r="K25" s="334" t="inlineStr">
        <is>
          <t>Số tiền ghi nợ trong tháng</t>
        </is>
      </c>
      <c r="M25" s="334">
        <f>"COMMENT ON COLUMN PG_SILVER."&amp;G25&amp;"."&amp;H25&amp;" IS '"&amp;K25&amp;"';"</f>
        <v/>
      </c>
      <c r="N25" s="414" t="inlineStr">
        <is>
          <t>Lấy từ subquery `stmt` đã gom nhóm trước theo `AR_CODE`: `SUM(CASE WHEN ACG_CR_DB_F = 'C' AND TRUNC(PST_DT, 'MM') = TRUNC(${ETL_DATE}, 'MM') AND PST_DT &lt;= ${ETL_DATE} THEN ABS(NVL(PST_ENTR_AMT_FCY, 0)) ELSE 0 END)`.</t>
        </is>
      </c>
    </row>
    <row r="26" ht="57" customHeight="1" s="335">
      <c r="A26" s="334" t="inlineStr">
        <is>
          <t>PG_SILVER</t>
        </is>
      </c>
      <c r="B26" s="334" t="inlineStr">
        <is>
          <t>PST_ENTR</t>
        </is>
      </c>
      <c r="C26" s="453" t="inlineStr">
        <is>
          <t>PST_ENTR_ID, ACG_CR_DB_F, PST_DT</t>
        </is>
      </c>
      <c r="D26" s="458" t="inlineStr">
        <is>
          <t>NVL(stmt.NBR_OF_CR_IN_MO, 0)</t>
        </is>
      </c>
      <c r="E26" s="433" t="inlineStr">
        <is>
          <t>Arrangement Turnover Summary</t>
        </is>
      </c>
      <c r="F26" s="334" t="inlineStr">
        <is>
          <t>Number Of Debits In Month</t>
        </is>
      </c>
      <c r="G26" s="415" t="inlineStr">
        <is>
          <t>AR_TVR_SMY</t>
        </is>
      </c>
      <c r="H26" s="334" t="inlineStr">
        <is>
          <t>NBR_OF_DB_IN_MO</t>
        </is>
      </c>
      <c r="I26" s="334" t="inlineStr">
        <is>
          <t>NUMBER</t>
        </is>
      </c>
      <c r="J26" s="334" t="n">
        <v>32.5</v>
      </c>
      <c r="K26" s="334" t="inlineStr">
        <is>
          <t>Số giao dịch ghi nợ trong tháng</t>
        </is>
      </c>
      <c r="M26" s="334">
        <f>"COMMENT ON COLUMN PG_SILVER."&amp;G26&amp;"."&amp;H26&amp;" IS '"&amp;K26&amp;"';"</f>
        <v/>
      </c>
      <c r="N26" s="414" t="inlineStr">
        <is>
          <t>Lấy từ subquery `stmt` đã gom nhóm trước theo `AR_CODE`: `COUNT(CASE WHEN ACG_CR_DB_F = 'C' AND TRUNC(PST_DT, 'MM') = TRUNC(${ETL_DATE}, 'MM') AND PST_DT &lt;= ${ETL_DATE} THEN PST_ENTR_ID END)`.</t>
        </is>
      </c>
    </row>
    <row r="27" ht="57" customHeight="1" s="335">
      <c r="A27" s="334" t="inlineStr">
        <is>
          <t>PG_SILVER</t>
        </is>
      </c>
      <c r="B27" s="334" t="inlineStr">
        <is>
          <t>PST_ENTR</t>
        </is>
      </c>
      <c r="C27" s="453" t="inlineStr">
        <is>
          <t>PST_ENTR_AMT_FCY, ACG_CR_DB_F, PST_DT</t>
        </is>
      </c>
      <c r="D27" s="458" t="inlineStr">
        <is>
          <t>NVL(stmt.DB_AMT_IN_YR_FCY, 0)</t>
        </is>
      </c>
      <c r="E27" s="433" t="inlineStr">
        <is>
          <t>Arrangement Turnover Summary</t>
        </is>
      </c>
      <c r="F27" s="334" t="inlineStr">
        <is>
          <t>Credits Amount In Month FCY</t>
        </is>
      </c>
      <c r="G27" s="415" t="inlineStr">
        <is>
          <t>AR_TVR_SMY</t>
        </is>
      </c>
      <c r="H27" s="334" t="inlineStr">
        <is>
          <t>CR_AMT_IN_MO_FCY</t>
        </is>
      </c>
      <c r="I27" s="334" t="inlineStr">
        <is>
          <t>NUMBER</t>
        </is>
      </c>
      <c r="J27" s="334" t="n">
        <v>32.5</v>
      </c>
      <c r="K27" s="334" t="inlineStr">
        <is>
          <t>Số tiền ghi có trong tháng</t>
        </is>
      </c>
      <c r="M27" s="334">
        <f>"COMMENT ON COLUMN PG_SILVER."&amp;G27&amp;"."&amp;H27&amp;" IS '"&amp;K27&amp;"';"</f>
        <v/>
      </c>
      <c r="N27" s="414" t="inlineStr">
        <is>
          <t>Lấy từ subquery `stmt` đã gom nhóm trước theo `AR_CODE`: `SUM(CASE WHEN ACG_CR_DB_F = 'D' AND TRUNC(PST_DT, 'YYYY') = TRUNC(${ETL_DATE}, 'YYYY') AND PST_DT &lt;= ${ETL_DATE} THEN ABS(NVL(PST_ENTR_AMT_FCY, 0)) ELSE 0 END)`.</t>
        </is>
      </c>
    </row>
    <row r="28" ht="57" customHeight="1" s="335">
      <c r="A28" s="334" t="inlineStr">
        <is>
          <t>PG_SILVER</t>
        </is>
      </c>
      <c r="B28" s="334" t="inlineStr">
        <is>
          <t>PST_ENTR</t>
        </is>
      </c>
      <c r="C28" s="453" t="inlineStr">
        <is>
          <t>PST_ENTR_ID, ACG_CR_DB_F, PST_DT</t>
        </is>
      </c>
      <c r="D28" s="458" t="inlineStr">
        <is>
          <t>NVL(stmt.NBR_OF_DB_IN_YR, 0)</t>
        </is>
      </c>
      <c r="E28" s="433" t="inlineStr">
        <is>
          <t>Arrangement Turnover Summary</t>
        </is>
      </c>
      <c r="F28" s="334" t="inlineStr">
        <is>
          <t>Number Of Credits In Month</t>
        </is>
      </c>
      <c r="G28" s="415" t="inlineStr">
        <is>
          <t>AR_TVR_SMY</t>
        </is>
      </c>
      <c r="H28" s="334" t="inlineStr">
        <is>
          <t>NBR_OF_CR_IN_MO</t>
        </is>
      </c>
      <c r="I28" s="334" t="inlineStr">
        <is>
          <t>NUMBER</t>
        </is>
      </c>
      <c r="J28" s="334" t="n">
        <v>32.5</v>
      </c>
      <c r="K28" s="334" t="inlineStr">
        <is>
          <t>Số giao dịch ghi có trong tháng</t>
        </is>
      </c>
      <c r="M28" s="334">
        <f>"COMMENT ON COLUMN PG_SILVER."&amp;G28&amp;"."&amp;H28&amp;" IS '"&amp;K28&amp;"';"</f>
        <v/>
      </c>
      <c r="N28" s="414" t="inlineStr">
        <is>
          <t>Lấy từ subquery `stmt` đã gom nhóm trước theo `AR_CODE`: `COUNT(CASE WHEN ACG_CR_DB_F = 'D' AND TRUNC(PST_DT, 'YYYY') = TRUNC(${ETL_DATE}, 'YYYY') AND PST_DT &lt;= ${ETL_DATE} THEN PST_ENTR_ID END)`.</t>
        </is>
      </c>
    </row>
    <row r="29" ht="57" customHeight="1" s="335">
      <c r="A29" s="334" t="inlineStr">
        <is>
          <t>PG_SILVER</t>
        </is>
      </c>
      <c r="B29" s="334" t="inlineStr">
        <is>
          <t>PST_ENTR</t>
        </is>
      </c>
      <c r="C29" s="453" t="inlineStr">
        <is>
          <t>PST_ENTR_AMT_FCY, ACG_CR_DB_F, PST_DT</t>
        </is>
      </c>
      <c r="D29" s="458" t="inlineStr">
        <is>
          <t>NVL(stmt.CR_AMT_IN_YR_FCY, 0)</t>
        </is>
      </c>
      <c r="E29" s="433" t="inlineStr">
        <is>
          <t>Arrangement Turnover Summary</t>
        </is>
      </c>
      <c r="F29" s="334" t="inlineStr">
        <is>
          <t>Debits Amount In Year FCY</t>
        </is>
      </c>
      <c r="G29" s="415" t="inlineStr">
        <is>
          <t>AR_TVR_SMY</t>
        </is>
      </c>
      <c r="H29" s="334" t="inlineStr">
        <is>
          <t>DB_AMT_IN_YR_FCY</t>
        </is>
      </c>
      <c r="I29" s="334" t="inlineStr">
        <is>
          <t>NUMBER</t>
        </is>
      </c>
      <c r="J29" s="334" t="n">
        <v>32.5</v>
      </c>
      <c r="K29" s="334" t="inlineStr">
        <is>
          <t>Số tiền ghi nợ trong năm</t>
        </is>
      </c>
      <c r="M29" s="334">
        <f>"COMMENT ON COLUMN PG_SILVER."&amp;G29&amp;"."&amp;H29&amp;" IS '"&amp;K29&amp;"';"</f>
        <v/>
      </c>
      <c r="N29" s="414" t="inlineStr">
        <is>
          <t>Lấy từ subquery `stmt` đã gom nhóm trước theo `AR_CODE`: `SUM(CASE WHEN ACG_CR_DB_F = 'C' AND TRUNC(PST_DT, 'YYYY') = TRUNC(${ETL_DATE}, 'YYYY') AND PST_DT &lt;= ${ETL_DATE} THEN ABS(NVL(PST_ENTR_AMT_FCY, 0)) ELSE 0 END)`.</t>
        </is>
      </c>
    </row>
    <row r="30" ht="57" customHeight="1" s="335">
      <c r="A30" s="334" t="inlineStr">
        <is>
          <t>PG_SILVER</t>
        </is>
      </c>
      <c r="B30" s="334" t="inlineStr">
        <is>
          <t>PST_ENTR</t>
        </is>
      </c>
      <c r="C30" s="453" t="inlineStr">
        <is>
          <t>PST_ENTR_ID, ACG_CR_DB_F, PST_DT</t>
        </is>
      </c>
      <c r="D30" s="458" t="inlineStr">
        <is>
          <t>NVL(stmt.NBR_OF_CR_IN_YR, 0)</t>
        </is>
      </c>
      <c r="E30" s="433" t="inlineStr">
        <is>
          <t>Arrangement Turnover Summary</t>
        </is>
      </c>
      <c r="F30" s="334" t="inlineStr">
        <is>
          <t>Number Of Debits In Year</t>
        </is>
      </c>
      <c r="G30" s="415" t="inlineStr">
        <is>
          <t>AR_TVR_SMY</t>
        </is>
      </c>
      <c r="H30" s="334" t="inlineStr">
        <is>
          <t>NBR_OF_DB_IN_YR</t>
        </is>
      </c>
      <c r="I30" s="334" t="inlineStr">
        <is>
          <t>NUMBER</t>
        </is>
      </c>
      <c r="J30" s="334" t="n">
        <v>32.5</v>
      </c>
      <c r="K30" s="334" t="inlineStr">
        <is>
          <t>Số giao dịch ghi nợ trong năm</t>
        </is>
      </c>
      <c r="M30" s="334">
        <f>"COMMENT ON COLUMN PG_SILVER."&amp;G30&amp;"."&amp;H30&amp;" IS '"&amp;K30&amp;"';"</f>
        <v/>
      </c>
      <c r="N30" s="414" t="inlineStr">
        <is>
          <t>Lấy từ subquery `stmt` đã gom nhóm trước theo `AR_CODE`: `COUNT(CASE WHEN ACG_CR_DB_F = 'C' AND TRUNC(PST_DT, 'YYYY') = TRUNC(${ETL_DATE}, 'YYYY') AND PST_DT &lt;= ${ETL_DATE} THEN PST_ENTR_ID END)`.</t>
        </is>
      </c>
    </row>
    <row r="31" ht="14.25" customHeight="1" s="335">
      <c r="A31" s="334" t="inlineStr">
        <is>
          <t>PG_SILVER</t>
        </is>
      </c>
      <c r="B31" s="334" t="inlineStr">
        <is>
          <t>PST_ENTR</t>
        </is>
      </c>
      <c r="C31" s="453" t="inlineStr">
        <is>
          <t>PST_ENTR_AMT_FCY, ACG_CR_DB_F, PST_DT</t>
        </is>
      </c>
      <c r="D31" s="458" t="inlineStr">
        <is>
          <t>SUM(CASE WHEN stmt.ACG_CR_DB_F = 'C' AND TRUNC(stmt.PST_DT, 'YYYY') = TRUNC(${ETL_DATE}, 'YYYY') AND stmt.PST_DT &lt;= ${ETL_DATE} THEN ABS(NVL(stmt.PST_ENTR_AMT_FCY, 0)) ELSE 0 END)</t>
        </is>
      </c>
      <c r="E31" s="433" t="inlineStr">
        <is>
          <t>Arrangement Turnover Summary</t>
        </is>
      </c>
      <c r="F31" s="334" t="inlineStr">
        <is>
          <t>Credits Amount In Year FCY</t>
        </is>
      </c>
      <c r="G31" s="415" t="inlineStr">
        <is>
          <t>AR_TVR_SMY</t>
        </is>
      </c>
      <c r="H31" s="334" t="inlineStr">
        <is>
          <t>CR_AMT_IN_YR_FCY</t>
        </is>
      </c>
      <c r="I31" s="334" t="inlineStr">
        <is>
          <t>NUMBER</t>
        </is>
      </c>
      <c r="J31" s="334" t="n">
        <v>32.5</v>
      </c>
      <c r="K31" s="334" t="inlineStr">
        <is>
          <t>Số tiền ghi có trong năm</t>
        </is>
      </c>
      <c r="M31" s="334">
        <f>"COMMENT ON COLUMN PG_SILVER."&amp;G31&amp;"."&amp;H31&amp;" IS '"&amp;K31&amp;"';"</f>
        <v/>
      </c>
      <c r="N31" s="414" t="inlineStr">
        <is>
          <t>Tổng hợp phát sinh Có lũy kế năm từ PST_ENTR.</t>
        </is>
      </c>
    </row>
    <row r="32" ht="14.25" customHeight="1" s="335">
      <c r="A32" s="334" t="inlineStr">
        <is>
          <t>PG_SILVER</t>
        </is>
      </c>
      <c r="B32" s="334" t="inlineStr">
        <is>
          <t>PST_ENTR</t>
        </is>
      </c>
      <c r="C32" s="453" t="inlineStr">
        <is>
          <t>PST_ENTR_ID, ACG_CR_DB_F, PST_DT</t>
        </is>
      </c>
      <c r="D32" s="458" t="inlineStr">
        <is>
          <t>COUNT(CASE WHEN stmt.ACG_CR_DB_F = 'C' AND TRUNC(stmt.PST_DT, 'YYYY') = TRUNC(${ETL_DATE}, 'YYYY') AND stmt.PST_DT &lt;= ${ETL_DATE} THEN stmt.PST_ENTR_ID END)</t>
        </is>
      </c>
      <c r="E32" s="433" t="inlineStr">
        <is>
          <t>Arrangement Turnover Summary</t>
        </is>
      </c>
      <c r="F32" s="334" t="inlineStr">
        <is>
          <t>Number Of Credits In Year</t>
        </is>
      </c>
      <c r="G32" s="415" t="inlineStr">
        <is>
          <t>AR_TVR_SMY</t>
        </is>
      </c>
      <c r="H32" s="334" t="inlineStr">
        <is>
          <t>NBR_OF_CR_IN_YR</t>
        </is>
      </c>
      <c r="I32" s="334" t="inlineStr">
        <is>
          <t>NUMBER</t>
        </is>
      </c>
      <c r="J32" s="334" t="n">
        <v>32.5</v>
      </c>
      <c r="K32" s="334" t="inlineStr">
        <is>
          <t>Số giao dịch ghi có trong năm</t>
        </is>
      </c>
      <c r="M32" s="334">
        <f>"COMMENT ON COLUMN PG_SILVER."&amp;G32&amp;"."&amp;H32&amp;" IS '"&amp;K32&amp;"';"</f>
        <v/>
      </c>
      <c r="N32" s="414" t="inlineStr">
        <is>
          <t>Đếm số bút toán Có lũy kế năm từ PST_ENTR.</t>
        </is>
      </c>
    </row>
    <row r="33" ht="14.25" customHeight="1" s="335"/>
    <row r="34" ht="14.25" customHeight="1" s="335"/>
    <row r="35" ht="14.25" customHeight="1" s="335"/>
    <row r="36" ht="14.25" customHeight="1" s="335"/>
    <row r="37" ht="14.25" customHeight="1" s="335"/>
    <row r="38" ht="14.25" customHeight="1" s="335"/>
    <row r="39" ht="14.25" customHeight="1" s="335"/>
    <row r="40" ht="14.25" customHeight="1" s="335"/>
    <row r="41" ht="14.25" customHeight="1" s="335"/>
    <row r="42" ht="14.25" customHeight="1" s="335"/>
    <row r="43" ht="14.25" customHeight="1" s="335"/>
    <row r="44" ht="14.25" customHeight="1" s="335"/>
    <row r="45" ht="14.25" customHeight="1" s="335"/>
    <row r="46" ht="14.25" customHeight="1" s="335"/>
    <row r="47" ht="14.25" customHeight="1" s="335"/>
    <row r="48" ht="14.25" customHeight="1" s="335"/>
    <row r="49" ht="14.25" customHeight="1" s="335"/>
    <row r="50" ht="14.25" customHeight="1" s="335"/>
    <row r="51" ht="14.25" customHeight="1" s="335"/>
    <row r="52" ht="14.25" customHeight="1" s="335"/>
    <row r="53" ht="14.25" customHeight="1" s="335"/>
    <row r="54" ht="14.25" customHeight="1" s="335"/>
    <row r="55" ht="14.25" customHeight="1" s="335"/>
    <row r="56" ht="14.25" customHeight="1" s="335"/>
    <row r="57" ht="14.25" customHeight="1" s="335"/>
    <row r="58" ht="14.25" customHeight="1" s="335"/>
    <row r="59" ht="14.25" customHeight="1" s="335"/>
    <row r="60" ht="14.25" customHeight="1" s="335"/>
    <row r="61" ht="14.25" customHeight="1" s="335"/>
    <row r="62" ht="14.25" customHeight="1" s="335"/>
    <row r="63" ht="14.25" customHeight="1" s="335"/>
    <row r="64" ht="14.25" customHeight="1" s="335"/>
    <row r="65" ht="14.25" customHeight="1" s="335"/>
    <row r="66" ht="14.25" customHeight="1" s="335"/>
    <row r="67" ht="14.25" customHeight="1" s="335"/>
    <row r="68" ht="14.25" customHeight="1" s="335"/>
    <row r="69" ht="14.25" customHeight="1" s="335"/>
    <row r="70" ht="14.25" customHeight="1" s="335"/>
    <row r="71" ht="14.25" customHeight="1" s="335"/>
    <row r="72" ht="14.25" customHeight="1" s="335"/>
    <row r="73" ht="14.25" customHeight="1" s="335"/>
    <row r="74" ht="14.25" customHeight="1" s="335"/>
    <row r="75" ht="14.25" customHeight="1" s="335"/>
    <row r="76" ht="14.25" customHeight="1" s="335"/>
    <row r="77" ht="14.25" customHeight="1" s="335"/>
    <row r="78" ht="14.25" customHeight="1" s="335"/>
    <row r="79" ht="14.25" customHeight="1" s="335"/>
    <row r="80" ht="14.25" customHeight="1" s="335"/>
    <row r="81" ht="14.25" customHeight="1" s="335"/>
    <row r="82" ht="14.25" customHeight="1" s="335"/>
    <row r="83" ht="14.25" customHeight="1" s="335"/>
    <row r="84" ht="14.25" customHeight="1" s="335"/>
    <row r="85" ht="14.25" customHeight="1" s="335"/>
    <row r="86" ht="14.25" customHeight="1" s="335"/>
    <row r="87" ht="14.25" customHeight="1" s="335"/>
    <row r="88" ht="14.25" customHeight="1" s="335"/>
    <row r="89" ht="14.25" customHeight="1" s="335"/>
    <row r="90" ht="14.25" customHeight="1" s="335"/>
    <row r="91" ht="14.25" customHeight="1" s="335"/>
    <row r="92" ht="14.25" customHeight="1" s="335"/>
    <row r="93" ht="14.25" customHeight="1" s="335"/>
    <row r="94" ht="14.25" customHeight="1" s="335"/>
    <row r="95" ht="14.25" customHeight="1" s="335"/>
    <row r="96" ht="14.25" customHeight="1" s="335"/>
    <row r="97" ht="14.25" customHeight="1" s="335"/>
    <row r="98" ht="14.25" customHeight="1" s="335"/>
    <row r="99" ht="14.25" customHeight="1" s="335"/>
    <row r="100" ht="14.25" customHeight="1" s="335"/>
    <row r="101" ht="14.25" customHeight="1" s="335"/>
    <row r="102" ht="14.25" customHeight="1" s="335"/>
    <row r="103" ht="14.25" customHeight="1" s="335"/>
    <row r="104" ht="14.25" customHeight="1" s="335"/>
    <row r="105" ht="14.25" customHeight="1" s="335"/>
    <row r="106" ht="14.25" customHeight="1" s="335"/>
    <row r="107" ht="14.25" customHeight="1" s="335"/>
    <row r="108" ht="14.25" customHeight="1" s="335"/>
    <row r="109" ht="14.25" customHeight="1" s="335"/>
    <row r="110" ht="14.25" customHeight="1" s="335"/>
    <row r="111" ht="14.25" customHeight="1" s="335"/>
    <row r="112" ht="14.25" customHeight="1" s="335"/>
    <row r="113" ht="14.25" customHeight="1" s="335"/>
    <row r="114" ht="14.25" customHeight="1" s="335"/>
    <row r="115" ht="14.25" customHeight="1" s="335"/>
    <row r="116" ht="14.25" customHeight="1" s="335"/>
    <row r="117" ht="14.25" customHeight="1" s="335"/>
    <row r="118" ht="14.25" customHeight="1" s="335"/>
    <row r="119" ht="14.25" customHeight="1" s="335"/>
    <row r="120" ht="14.25" customHeight="1" s="335"/>
    <row r="121" ht="14.25" customHeight="1" s="335"/>
    <row r="122" ht="14.25" customHeight="1" s="335"/>
    <row r="123" ht="14.25" customHeight="1" s="335"/>
    <row r="124" ht="14.25" customHeight="1" s="335"/>
    <row r="125" ht="14.25" customHeight="1" s="335"/>
    <row r="126" ht="14.25" customHeight="1" s="335"/>
    <row r="127" ht="14.25" customHeight="1" s="335"/>
    <row r="128" ht="14.25" customHeight="1" s="335"/>
    <row r="129" ht="14.25" customHeight="1" s="335"/>
    <row r="130" ht="14.25" customHeight="1" s="335"/>
    <row r="131" ht="14.25" customHeight="1" s="335"/>
    <row r="132" ht="14.25" customHeight="1" s="335"/>
    <row r="133" ht="14.25" customHeight="1" s="335"/>
    <row r="134" ht="14.25" customHeight="1" s="335"/>
    <row r="135" ht="14.25" customHeight="1" s="335"/>
    <row r="136" ht="14.25" customHeight="1" s="335"/>
    <row r="137" ht="14.25" customHeight="1" s="335"/>
    <row r="138" ht="14.25" customHeight="1" s="335"/>
    <row r="139" ht="14.25" customHeight="1" s="335"/>
    <row r="140" ht="14.25" customHeight="1" s="335"/>
    <row r="141" ht="14.25" customHeight="1" s="335"/>
    <row r="142" ht="14.25" customHeight="1" s="335"/>
    <row r="143" ht="14.25" customHeight="1" s="335"/>
    <row r="144" ht="14.25" customHeight="1" s="335"/>
    <row r="145" ht="14.25" customHeight="1" s="335"/>
    <row r="146" ht="14.25" customHeight="1" s="335"/>
    <row r="147" ht="14.25" customHeight="1" s="335"/>
    <row r="148" ht="14.25" customHeight="1" s="335"/>
    <row r="149" ht="14.25" customHeight="1" s="335"/>
    <row r="150" ht="14.25" customHeight="1" s="335"/>
    <row r="151" ht="14.25" customHeight="1" s="335"/>
    <row r="152" ht="14.25" customHeight="1" s="335"/>
    <row r="153" ht="14.25" customHeight="1" s="335"/>
    <row r="154" ht="14.25" customHeight="1" s="335"/>
    <row r="155" ht="14.25" customHeight="1" s="335"/>
    <row r="156" ht="14.25" customHeight="1" s="335"/>
    <row r="157" ht="14.25" customHeight="1" s="335"/>
    <row r="158" ht="14.25" customHeight="1" s="335"/>
    <row r="159" ht="14.25" customHeight="1" s="335"/>
    <row r="160" ht="14.25" customHeight="1" s="335"/>
    <row r="161" ht="14.25" customHeight="1" s="335"/>
    <row r="162" ht="14.25" customHeight="1" s="335"/>
    <row r="163" ht="14.25" customHeight="1" s="335"/>
    <row r="164" ht="14.25" customHeight="1" s="335"/>
    <row r="165" ht="14.25" customHeight="1" s="335"/>
    <row r="166" ht="14.25" customHeight="1" s="335"/>
    <row r="167" ht="14.25" customHeight="1" s="335"/>
    <row r="168" ht="14.25" customHeight="1" s="335"/>
    <row r="169" ht="14.25" customHeight="1" s="335"/>
    <row r="170" ht="14.25" customHeight="1" s="335"/>
    <row r="171" ht="14.25" customHeight="1" s="335"/>
    <row r="172" ht="14.25" customHeight="1" s="335"/>
    <row r="173" ht="14.25" customHeight="1" s="335"/>
    <row r="174" ht="14.25" customHeight="1" s="335"/>
    <row r="175" ht="14.25" customHeight="1" s="335"/>
    <row r="176" ht="14.25" customHeight="1" s="335"/>
    <row r="177" ht="14.25" customHeight="1" s="335"/>
    <row r="178" ht="14.25" customHeight="1" s="335"/>
    <row r="179" ht="14.25" customHeight="1" s="335"/>
    <row r="180" ht="14.25" customHeight="1" s="335"/>
    <row r="181" ht="14.25" customHeight="1" s="335"/>
    <row r="182" ht="14.25" customHeight="1" s="335"/>
    <row r="183" ht="14.25" customHeight="1" s="335"/>
    <row r="184" ht="14.25" customHeight="1" s="335"/>
    <row r="185" ht="14.25" customHeight="1" s="335"/>
    <row r="186" ht="14.25" customHeight="1" s="335"/>
    <row r="187" ht="14.25" customHeight="1" s="335"/>
    <row r="188" ht="14.25" customHeight="1" s="335"/>
    <row r="189" ht="14.25" customHeight="1" s="335"/>
    <row r="190" ht="14.25" customHeight="1" s="335"/>
    <row r="191" ht="14.25" customHeight="1" s="335"/>
    <row r="192" ht="14.25" customHeight="1" s="335"/>
    <row r="193" ht="14.25" customHeight="1" s="335"/>
    <row r="194" ht="14.25" customHeight="1" s="335"/>
    <row r="195" ht="14.25" customHeight="1" s="335"/>
    <row r="196" ht="14.25" customHeight="1" s="335"/>
    <row r="197" ht="14.25" customHeight="1" s="335"/>
    <row r="198" ht="14.25" customHeight="1" s="335"/>
    <row r="199" ht="14.25" customHeight="1" s="335"/>
    <row r="200" ht="14.25" customHeight="1" s="335"/>
    <row r="201" ht="14.25" customHeight="1" s="335"/>
    <row r="202" ht="14.25" customHeight="1" s="335"/>
    <row r="203" ht="14.25" customHeight="1" s="335"/>
    <row r="204" ht="14.25" customHeight="1" s="335"/>
    <row r="205" ht="14.25" customHeight="1" s="335"/>
    <row r="206" ht="14.25" customHeight="1" s="335"/>
    <row r="207" ht="14.25" customHeight="1" s="335"/>
    <row r="208" ht="14.25" customHeight="1" s="335"/>
    <row r="209" ht="14.25" customHeight="1" s="335"/>
    <row r="210" ht="14.25" customHeight="1" s="335"/>
    <row r="211" ht="14.25" customHeight="1" s="335"/>
    <row r="212" ht="14.25" customHeight="1" s="335"/>
    <row r="213" ht="14.25" customHeight="1" s="335"/>
    <row r="214" ht="14.25" customHeight="1" s="335"/>
    <row r="215" ht="14.25" customHeight="1" s="335"/>
    <row r="216" ht="14.25" customHeight="1" s="335"/>
    <row r="217" ht="14.25" customHeight="1" s="335"/>
    <row r="218" ht="14.25" customHeight="1" s="335"/>
    <row r="219" ht="14.25" customHeight="1" s="335"/>
    <row r="220" ht="14.25" customHeight="1" s="335"/>
    <row r="221" ht="14.25" customHeight="1" s="335"/>
    <row r="222" ht="14.25" customHeight="1" s="335"/>
    <row r="223" ht="14.25" customHeight="1" s="335"/>
    <row r="224" ht="14.25" customHeight="1" s="335"/>
    <row r="225" ht="14.25" customHeight="1" s="335"/>
    <row r="226" ht="14.25" customHeight="1" s="335"/>
    <row r="227" ht="14.25" customHeight="1" s="335"/>
    <row r="228" ht="14.25" customHeight="1" s="335"/>
    <row r="229" ht="14.25" customHeight="1" s="335"/>
    <row r="230" ht="14.25" customHeight="1" s="335"/>
    <row r="231" ht="14.25" customHeight="1" s="335"/>
    <row r="232" ht="14.25" customHeight="1" s="335"/>
    <row r="233" ht="14.25" customHeight="1" s="335"/>
    <row r="234" ht="14.25" customHeight="1" s="335"/>
    <row r="235" ht="14.25" customHeight="1" s="335"/>
    <row r="236" ht="14.25" customHeight="1" s="335"/>
    <row r="237" ht="14.25" customHeight="1" s="335"/>
    <row r="238" ht="14.25" customHeight="1" s="335"/>
    <row r="239" ht="14.25" customHeight="1" s="335"/>
    <row r="240" ht="14.25" customHeight="1" s="335"/>
    <row r="241" ht="14.25" customHeight="1" s="335"/>
    <row r="242" ht="14.25" customHeight="1" s="335"/>
    <row r="243" ht="14.25" customHeight="1" s="335"/>
    <row r="244" ht="14.25" customHeight="1" s="335"/>
    <row r="245" ht="14.25" customHeight="1" s="335"/>
    <row r="246" ht="14.25" customHeight="1" s="335"/>
    <row r="247" ht="14.25" customHeight="1" s="335"/>
    <row r="248" ht="14.25" customHeight="1" s="335"/>
    <row r="249" ht="14.25" customHeight="1" s="335"/>
    <row r="250" ht="14.25" customHeight="1" s="335"/>
    <row r="251" ht="14.25" customHeight="1" s="335"/>
    <row r="252" ht="14.25" customHeight="1" s="335"/>
    <row r="253" ht="14.25" customHeight="1" s="335"/>
    <row r="254" ht="14.25" customHeight="1" s="335"/>
    <row r="255" ht="14.25" customHeight="1" s="335"/>
    <row r="256" ht="14.25" customHeight="1" s="335"/>
    <row r="257" ht="14.25" customHeight="1" s="335"/>
    <row r="258" ht="14.25" customHeight="1" s="335"/>
    <row r="259" ht="14.25" customHeight="1" s="335"/>
    <row r="260" ht="14.25" customHeight="1" s="335"/>
    <row r="261" ht="14.25" customHeight="1" s="335"/>
    <row r="262" ht="14.25" customHeight="1" s="335"/>
    <row r="263" ht="14.25" customHeight="1" s="335"/>
    <row r="264" ht="14.25" customHeight="1" s="335"/>
    <row r="265" ht="14.25" customHeight="1" s="335"/>
    <row r="266" ht="14.25" customHeight="1" s="335"/>
    <row r="267" ht="14.25" customHeight="1" s="335"/>
    <row r="268" ht="14.25" customHeight="1" s="335"/>
    <row r="269" ht="14.25" customHeight="1" s="335"/>
    <row r="270" ht="14.25" customHeight="1" s="335"/>
    <row r="271" ht="14.25" customHeight="1" s="335"/>
    <row r="272" ht="14.25" customHeight="1" s="335"/>
    <row r="273" ht="14.25" customHeight="1" s="335"/>
    <row r="274" ht="14.25" customHeight="1" s="335"/>
    <row r="275" ht="14.25" customHeight="1" s="335"/>
    <row r="276" ht="14.25" customHeight="1" s="335"/>
    <row r="277" ht="14.25" customHeight="1" s="335"/>
    <row r="278" ht="14.25" customHeight="1" s="335"/>
    <row r="279" ht="14.25" customHeight="1" s="335"/>
    <row r="280" ht="14.25" customHeight="1" s="335"/>
    <row r="281" ht="14.25" customHeight="1" s="335"/>
    <row r="282" ht="14.25" customHeight="1" s="335"/>
    <row r="283" ht="14.25" customHeight="1" s="335"/>
    <row r="284" ht="14.25" customHeight="1" s="335"/>
    <row r="285" ht="14.25" customHeight="1" s="335"/>
    <row r="286" ht="14.25" customHeight="1" s="335"/>
    <row r="287" ht="14.25" customHeight="1" s="335"/>
    <row r="288" ht="14.25" customHeight="1" s="335"/>
    <row r="289" ht="14.25" customHeight="1" s="335"/>
    <row r="290" ht="14.25" customHeight="1" s="335"/>
    <row r="291" ht="14.25" customHeight="1" s="335"/>
    <row r="292" ht="14.25" customHeight="1" s="335"/>
    <row r="293" ht="14.25" customHeight="1" s="335"/>
    <row r="294" ht="14.25" customHeight="1" s="335"/>
    <row r="295" ht="14.25" customHeight="1" s="335"/>
    <row r="296" ht="14.25" customHeight="1" s="335"/>
    <row r="297" ht="14.25" customHeight="1" s="335"/>
    <row r="298" ht="14.25" customHeight="1" s="335"/>
    <row r="299" ht="14.25" customHeight="1" s="335"/>
    <row r="300" ht="14.25" customHeight="1" s="335"/>
    <row r="301" ht="14.25" customHeight="1" s="335"/>
    <row r="302" ht="14.25" customHeight="1" s="335"/>
    <row r="303" ht="14.25" customHeight="1" s="335"/>
    <row r="304" ht="14.25" customHeight="1" s="335"/>
    <row r="305" ht="14.25" customHeight="1" s="335"/>
    <row r="306" ht="14.25" customHeight="1" s="335"/>
    <row r="307" ht="14.25" customHeight="1" s="335"/>
    <row r="308" ht="14.25" customHeight="1" s="335"/>
    <row r="309" ht="14.25" customHeight="1" s="335"/>
    <row r="310" ht="14.25" customHeight="1" s="335"/>
    <row r="311" ht="14.25" customHeight="1" s="335"/>
    <row r="312" ht="14.25" customHeight="1" s="335"/>
    <row r="313" ht="14.25" customHeight="1" s="335"/>
    <row r="314" ht="14.25" customHeight="1" s="335"/>
    <row r="315" ht="14.25" customHeight="1" s="335"/>
    <row r="316" ht="14.25" customHeight="1" s="335"/>
    <row r="317" ht="14.25" customHeight="1" s="335"/>
    <row r="318" ht="14.25" customHeight="1" s="335"/>
    <row r="319" ht="14.25" customHeight="1" s="335"/>
    <row r="320" ht="14.25" customHeight="1" s="335"/>
    <row r="321" ht="14.25" customHeight="1" s="335"/>
    <row r="322" ht="14.25" customHeight="1" s="335"/>
    <row r="323" ht="14.25" customHeight="1" s="335"/>
    <row r="324" ht="14.25" customHeight="1" s="335"/>
    <row r="325" ht="14.25" customHeight="1" s="335"/>
    <row r="326" ht="14.25" customHeight="1" s="335"/>
    <row r="327" ht="14.25" customHeight="1" s="335"/>
    <row r="328" ht="14.25" customHeight="1" s="335"/>
    <row r="329" ht="14.25" customHeight="1" s="335"/>
    <row r="330" ht="14.25" customHeight="1" s="335"/>
    <row r="331" ht="14.25" customHeight="1" s="335"/>
    <row r="332" ht="14.25" customHeight="1" s="335"/>
    <row r="333" ht="14.25" customHeight="1" s="335"/>
    <row r="334" ht="14.25" customHeight="1" s="335"/>
    <row r="335" ht="14.25" customHeight="1" s="335"/>
    <row r="336" ht="14.25" customHeight="1" s="335"/>
    <row r="337" ht="14.25" customHeight="1" s="335"/>
    <row r="338" ht="14.25" customHeight="1" s="335"/>
    <row r="339" ht="14.25" customHeight="1" s="335"/>
    <row r="340" ht="14.25" customHeight="1" s="335"/>
    <row r="341" ht="14.25" customHeight="1" s="335"/>
    <row r="342" ht="14.25" customHeight="1" s="335"/>
    <row r="343" ht="14.25" customHeight="1" s="335"/>
    <row r="344" ht="14.25" customHeight="1" s="335"/>
    <row r="345" ht="14.25" customHeight="1" s="335"/>
    <row r="346" ht="14.25" customHeight="1" s="335"/>
    <row r="347" ht="14.25" customHeight="1" s="335"/>
    <row r="348" ht="14.25" customHeight="1" s="335"/>
    <row r="349" ht="14.25" customHeight="1" s="335"/>
    <row r="350" ht="14.25" customHeight="1" s="335"/>
    <row r="351" ht="14.25" customHeight="1" s="335"/>
    <row r="352" ht="14.25" customHeight="1" s="335"/>
    <row r="353" ht="14.25" customHeight="1" s="335"/>
    <row r="354" ht="14.25" customHeight="1" s="335"/>
    <row r="355" ht="14.25" customHeight="1" s="335"/>
    <row r="356" ht="14.25" customHeight="1" s="335"/>
    <row r="357" ht="14.25" customHeight="1" s="335"/>
    <row r="358" ht="14.25" customHeight="1" s="335"/>
    <row r="359" ht="14.25" customHeight="1" s="335"/>
    <row r="360" ht="14.25" customHeight="1" s="335"/>
    <row r="361" ht="14.25" customHeight="1" s="335"/>
    <row r="362" ht="14.25" customHeight="1" s="335"/>
    <row r="363" ht="14.25" customHeight="1" s="335"/>
    <row r="364" ht="14.25" customHeight="1" s="335"/>
    <row r="365" ht="14.25" customHeight="1" s="335"/>
    <row r="366" ht="14.25" customHeight="1" s="335"/>
    <row r="367" ht="14.25" customHeight="1" s="335"/>
    <row r="368" ht="14.25" customHeight="1" s="335"/>
    <row r="369" ht="14.25" customHeight="1" s="335"/>
    <row r="370" ht="14.25" customHeight="1" s="335"/>
    <row r="371" ht="14.25" customHeight="1" s="335"/>
    <row r="372" ht="14.25" customHeight="1" s="335"/>
    <row r="373" ht="14.25" customHeight="1" s="335"/>
    <row r="374" ht="14.25" customHeight="1" s="335"/>
    <row r="375" ht="14.25" customHeight="1" s="335"/>
    <row r="376" ht="14.25" customHeight="1" s="335"/>
    <row r="377" ht="14.25" customHeight="1" s="335"/>
    <row r="378" ht="14.25" customHeight="1" s="335"/>
    <row r="379" ht="14.25" customHeight="1" s="335"/>
    <row r="380" ht="14.25" customHeight="1" s="335"/>
    <row r="381" ht="14.25" customHeight="1" s="335"/>
    <row r="382" ht="14.25" customHeight="1" s="335"/>
    <row r="383" ht="14.25" customHeight="1" s="335"/>
    <row r="384" ht="14.25" customHeight="1" s="335"/>
    <row r="385" ht="14.25" customHeight="1" s="335"/>
    <row r="386" ht="14.25" customHeight="1" s="335"/>
    <row r="387" ht="14.25" customHeight="1" s="335"/>
    <row r="388" ht="14.25" customHeight="1" s="335"/>
    <row r="389" ht="14.25" customHeight="1" s="335"/>
    <row r="390" ht="14.25" customHeight="1" s="335"/>
    <row r="391" ht="14.25" customHeight="1" s="335"/>
    <row r="392" ht="14.25" customHeight="1" s="335"/>
    <row r="393" ht="14.25" customHeight="1" s="335"/>
    <row r="394" ht="14.25" customHeight="1" s="335"/>
    <row r="395" ht="14.25" customHeight="1" s="335"/>
    <row r="396" ht="14.25" customHeight="1" s="335"/>
    <row r="397" ht="14.25" customHeight="1" s="335"/>
    <row r="398" ht="14.25" customHeight="1" s="335"/>
    <row r="399" ht="14.25" customHeight="1" s="335"/>
    <row r="400" ht="14.25" customHeight="1" s="335"/>
    <row r="401" ht="14.25" customHeight="1" s="335"/>
    <row r="402" ht="14.25" customHeight="1" s="335"/>
    <row r="403" ht="14.25" customHeight="1" s="335"/>
    <row r="404" ht="14.25" customHeight="1" s="335"/>
    <row r="405" ht="14.25" customHeight="1" s="335"/>
    <row r="406" ht="14.25" customHeight="1" s="335"/>
    <row r="407" ht="14.25" customHeight="1" s="335"/>
    <row r="408" ht="14.25" customHeight="1" s="335"/>
    <row r="409" ht="14.25" customHeight="1" s="335"/>
    <row r="410" ht="14.25" customHeight="1" s="335"/>
    <row r="411" ht="14.25" customHeight="1" s="335"/>
    <row r="412" ht="14.25" customHeight="1" s="335"/>
    <row r="413" ht="14.25" customHeight="1" s="335"/>
    <row r="414" ht="14.25" customHeight="1" s="335"/>
    <row r="415" ht="14.25" customHeight="1" s="335"/>
    <row r="416" ht="14.25" customHeight="1" s="335"/>
    <row r="417" ht="14.25" customHeight="1" s="335"/>
    <row r="418" ht="14.25" customHeight="1" s="335"/>
    <row r="419" ht="14.25" customHeight="1" s="335"/>
    <row r="420" ht="14.25" customHeight="1" s="335"/>
    <row r="421" ht="14.25" customHeight="1" s="335"/>
    <row r="422" ht="14.25" customHeight="1" s="335"/>
    <row r="423" ht="14.25" customHeight="1" s="335"/>
    <row r="424" ht="14.25" customHeight="1" s="335"/>
    <row r="425" ht="14.25" customHeight="1" s="335"/>
    <row r="426" ht="14.25" customHeight="1" s="335"/>
    <row r="427" ht="14.25" customHeight="1" s="335"/>
    <row r="428" ht="14.25" customHeight="1" s="335"/>
    <row r="429" ht="14.25" customHeight="1" s="335"/>
    <row r="430" ht="14.25" customHeight="1" s="335"/>
    <row r="431" ht="14.25" customHeight="1" s="335"/>
    <row r="432" ht="14.25" customHeight="1" s="335"/>
    <row r="433" ht="14.25" customHeight="1" s="335"/>
    <row r="434" ht="14.25" customHeight="1" s="335"/>
    <row r="435" ht="14.25" customHeight="1" s="335"/>
    <row r="436" ht="14.25" customHeight="1" s="335"/>
    <row r="437" ht="14.25" customHeight="1" s="335"/>
    <row r="438" ht="14.25" customHeight="1" s="335"/>
    <row r="439" ht="14.25" customHeight="1" s="335"/>
    <row r="440" ht="14.25" customHeight="1" s="335"/>
    <row r="441" ht="14.25" customHeight="1" s="335"/>
    <row r="442" ht="14.25" customHeight="1" s="335"/>
    <row r="443" ht="14.25" customHeight="1" s="335"/>
    <row r="444" ht="14.25" customHeight="1" s="335"/>
    <row r="445" ht="14.25" customHeight="1" s="335"/>
    <row r="446" ht="14.25" customHeight="1" s="335"/>
    <row r="447" ht="14.25" customHeight="1" s="335"/>
    <row r="448" ht="14.25" customHeight="1" s="335"/>
    <row r="449" ht="14.25" customHeight="1" s="335"/>
    <row r="450" ht="14.25" customHeight="1" s="335"/>
    <row r="451" ht="14.25" customHeight="1" s="335"/>
    <row r="452" ht="14.25" customHeight="1" s="335"/>
    <row r="453" ht="14.25" customHeight="1" s="335"/>
    <row r="454" ht="14.25" customHeight="1" s="335"/>
    <row r="455" ht="14.25" customHeight="1" s="335"/>
    <row r="456" ht="14.25" customHeight="1" s="335"/>
    <row r="457" ht="14.25" customHeight="1" s="335"/>
    <row r="458" ht="14.25" customHeight="1" s="335"/>
    <row r="459" ht="14.25" customHeight="1" s="335"/>
    <row r="460" ht="14.25" customHeight="1" s="335"/>
    <row r="461" ht="14.25" customHeight="1" s="335"/>
    <row r="462" ht="14.25" customHeight="1" s="335"/>
    <row r="463" ht="14.25" customHeight="1" s="335"/>
    <row r="464" ht="14.25" customHeight="1" s="335"/>
    <row r="465" ht="14.25" customHeight="1" s="335"/>
    <row r="466" ht="14.25" customHeight="1" s="335"/>
    <row r="467" ht="14.25" customHeight="1" s="335"/>
    <row r="468" ht="14.25" customHeight="1" s="335"/>
    <row r="469" ht="14.25" customHeight="1" s="335"/>
    <row r="470" ht="14.25" customHeight="1" s="335"/>
    <row r="471" ht="14.25" customHeight="1" s="335"/>
    <row r="472" ht="14.25" customHeight="1" s="335"/>
    <row r="473" ht="14.25" customHeight="1" s="335"/>
    <row r="474" ht="14.25" customHeight="1" s="335"/>
    <row r="475" ht="14.25" customHeight="1" s="335"/>
    <row r="476" ht="14.25" customHeight="1" s="335"/>
    <row r="477" ht="14.25" customHeight="1" s="335"/>
    <row r="478" ht="14.25" customHeight="1" s="335"/>
    <row r="479" ht="14.25" customHeight="1" s="335"/>
    <row r="480" ht="14.25" customHeight="1" s="335"/>
    <row r="481" ht="14.25" customHeight="1" s="335"/>
    <row r="482" ht="14.25" customHeight="1" s="335"/>
    <row r="483" ht="14.25" customHeight="1" s="335"/>
    <row r="484" ht="14.25" customHeight="1" s="335"/>
    <row r="485" ht="14.25" customHeight="1" s="335"/>
    <row r="486" ht="14.25" customHeight="1" s="335"/>
    <row r="487" ht="14.25" customHeight="1" s="335"/>
    <row r="488" ht="14.25" customHeight="1" s="335"/>
    <row r="489" ht="14.25" customHeight="1" s="335"/>
    <row r="490" ht="14.25" customHeight="1" s="335"/>
    <row r="491" ht="14.25" customHeight="1" s="335"/>
    <row r="492" ht="14.25" customHeight="1" s="335"/>
    <row r="493" ht="14.25" customHeight="1" s="335"/>
    <row r="494" ht="14.25" customHeight="1" s="335"/>
    <row r="495" ht="14.25" customHeight="1" s="335"/>
    <row r="496" ht="14.25" customHeight="1" s="335"/>
    <row r="497" ht="14.25" customHeight="1" s="335"/>
    <row r="498" ht="14.25" customHeight="1" s="335"/>
    <row r="499" ht="14.25" customHeight="1" s="335"/>
    <row r="500" ht="14.25" customHeight="1" s="335"/>
    <row r="501" ht="14.25" customHeight="1" s="335"/>
    <row r="502" ht="14.25" customHeight="1" s="335"/>
    <row r="503" ht="14.25" customHeight="1" s="335"/>
    <row r="504" ht="14.25" customHeight="1" s="335"/>
    <row r="505" ht="14.25" customHeight="1" s="335"/>
    <row r="506" ht="14.25" customHeight="1" s="335"/>
    <row r="507" ht="14.25" customHeight="1" s="335"/>
    <row r="508" ht="14.25" customHeight="1" s="335"/>
    <row r="509" ht="14.25" customHeight="1" s="335"/>
    <row r="510" ht="14.25" customHeight="1" s="335"/>
    <row r="511" ht="14.25" customHeight="1" s="335"/>
    <row r="512" ht="14.25" customHeight="1" s="335"/>
    <row r="513" ht="14.25" customHeight="1" s="335"/>
    <row r="514" ht="14.25" customHeight="1" s="335"/>
    <row r="515" ht="14.25" customHeight="1" s="335"/>
    <row r="516" ht="14.25" customHeight="1" s="335"/>
    <row r="517" ht="14.25" customHeight="1" s="335"/>
    <row r="518" ht="14.25" customHeight="1" s="335"/>
    <row r="519" ht="14.25" customHeight="1" s="335"/>
    <row r="520" ht="14.25" customHeight="1" s="335"/>
    <row r="521" ht="14.25" customHeight="1" s="335"/>
    <row r="522" ht="14.25" customHeight="1" s="335"/>
    <row r="523" ht="14.25" customHeight="1" s="335"/>
    <row r="524" ht="14.25" customHeight="1" s="335"/>
    <row r="525" ht="14.25" customHeight="1" s="335"/>
    <row r="526" ht="14.25" customHeight="1" s="335"/>
    <row r="527" ht="14.25" customHeight="1" s="335"/>
    <row r="528" ht="14.25" customHeight="1" s="335"/>
    <row r="529" ht="14.25" customHeight="1" s="335"/>
    <row r="530" ht="14.25" customHeight="1" s="335"/>
    <row r="531" ht="14.25" customHeight="1" s="335"/>
    <row r="532" ht="14.25" customHeight="1" s="335"/>
    <row r="533" ht="14.25" customHeight="1" s="335"/>
    <row r="534" ht="14.25" customHeight="1" s="335"/>
    <row r="535" ht="14.25" customHeight="1" s="335"/>
    <row r="536" ht="14.25" customHeight="1" s="335"/>
    <row r="537" ht="14.25" customHeight="1" s="335"/>
    <row r="538" ht="14.25" customHeight="1" s="335"/>
    <row r="539" ht="14.25" customHeight="1" s="335"/>
    <row r="540" ht="14.25" customHeight="1" s="335"/>
    <row r="541" ht="14.25" customHeight="1" s="335"/>
    <row r="542" ht="14.25" customHeight="1" s="335"/>
    <row r="543" ht="14.25" customHeight="1" s="335"/>
    <row r="544" ht="14.25" customHeight="1" s="335"/>
    <row r="545" ht="14.25" customHeight="1" s="335"/>
    <row r="546" ht="14.25" customHeight="1" s="335"/>
    <row r="547" ht="14.25" customHeight="1" s="335"/>
    <row r="548" ht="14.25" customHeight="1" s="335"/>
    <row r="549" ht="14.25" customHeight="1" s="335"/>
    <row r="550" ht="14.25" customHeight="1" s="335"/>
    <row r="551" ht="14.25" customHeight="1" s="335"/>
    <row r="552" ht="14.25" customHeight="1" s="335"/>
    <row r="553" ht="14.25" customHeight="1" s="335"/>
    <row r="554" ht="14.25" customHeight="1" s="335"/>
    <row r="555" ht="14.25" customHeight="1" s="335"/>
    <row r="556" ht="14.25" customHeight="1" s="335"/>
    <row r="557" ht="14.25" customHeight="1" s="335"/>
    <row r="558" ht="14.25" customHeight="1" s="335"/>
    <row r="559" ht="14.25" customHeight="1" s="335"/>
    <row r="560" ht="14.25" customHeight="1" s="335"/>
    <row r="561" ht="14.25" customHeight="1" s="335"/>
    <row r="562" ht="14.25" customHeight="1" s="335"/>
    <row r="563" ht="14.25" customHeight="1" s="335"/>
    <row r="564" ht="14.25" customHeight="1" s="335"/>
    <row r="565" ht="14.25" customHeight="1" s="335"/>
    <row r="566" ht="14.25" customHeight="1" s="335"/>
    <row r="567" ht="14.25" customHeight="1" s="335"/>
    <row r="568" ht="14.25" customHeight="1" s="335"/>
    <row r="569" ht="14.25" customHeight="1" s="335"/>
    <row r="570" ht="14.25" customHeight="1" s="335"/>
    <row r="571" ht="14.25" customHeight="1" s="335"/>
    <row r="572" ht="14.25" customHeight="1" s="335"/>
    <row r="573" ht="14.25" customHeight="1" s="335"/>
    <row r="574" ht="14.25" customHeight="1" s="335"/>
    <row r="575" ht="14.25" customHeight="1" s="335"/>
    <row r="576" ht="14.25" customHeight="1" s="335"/>
    <row r="577" ht="14.25" customHeight="1" s="335"/>
    <row r="578" ht="14.25" customHeight="1" s="335"/>
    <row r="579" ht="14.25" customHeight="1" s="335"/>
    <row r="580" ht="14.25" customHeight="1" s="335"/>
    <row r="581" ht="14.25" customHeight="1" s="335"/>
    <row r="582" ht="14.25" customHeight="1" s="335"/>
    <row r="583" ht="14.25" customHeight="1" s="335"/>
    <row r="584" ht="14.25" customHeight="1" s="335"/>
    <row r="585" ht="14.25" customHeight="1" s="335"/>
    <row r="586" ht="14.25" customHeight="1" s="335"/>
    <row r="587" ht="14.25" customHeight="1" s="335"/>
    <row r="588" ht="14.25" customHeight="1" s="335"/>
    <row r="589" ht="14.25" customHeight="1" s="335"/>
    <row r="590" ht="14.25" customHeight="1" s="335"/>
    <row r="591" ht="14.25" customHeight="1" s="335"/>
    <row r="592" ht="14.25" customHeight="1" s="335"/>
    <row r="593" ht="14.25" customHeight="1" s="335"/>
    <row r="594" ht="14.25" customHeight="1" s="335"/>
    <row r="595" ht="14.25" customHeight="1" s="335"/>
    <row r="596" ht="14.25" customHeight="1" s="335"/>
    <row r="597" ht="14.25" customHeight="1" s="335"/>
    <row r="598" ht="14.25" customHeight="1" s="335"/>
    <row r="599" ht="14.25" customHeight="1" s="335"/>
    <row r="600" ht="14.25" customHeight="1" s="335"/>
    <row r="601" ht="14.25" customHeight="1" s="335"/>
    <row r="602" ht="14.25" customHeight="1" s="335"/>
    <row r="603" ht="14.25" customHeight="1" s="335"/>
    <row r="604" ht="14.25" customHeight="1" s="335"/>
    <row r="605" ht="14.25" customHeight="1" s="335"/>
    <row r="606" ht="14.25" customHeight="1" s="335"/>
    <row r="607" ht="14.25" customHeight="1" s="335"/>
    <row r="608" ht="14.25" customHeight="1" s="335"/>
    <row r="609" ht="14.25" customHeight="1" s="335"/>
    <row r="610" ht="14.25" customHeight="1" s="335"/>
    <row r="611" ht="14.25" customHeight="1" s="335"/>
    <row r="612" ht="14.25" customHeight="1" s="335"/>
    <row r="613" ht="14.25" customHeight="1" s="335"/>
    <row r="614" ht="14.25" customHeight="1" s="335"/>
    <row r="615" ht="14.25" customHeight="1" s="335"/>
    <row r="616" ht="14.25" customHeight="1" s="335"/>
    <row r="617" ht="14.25" customHeight="1" s="335"/>
    <row r="618" ht="14.25" customHeight="1" s="335"/>
    <row r="619" ht="14.25" customHeight="1" s="335"/>
    <row r="620" ht="14.25" customHeight="1" s="335"/>
    <row r="621" ht="14.25" customHeight="1" s="335"/>
    <row r="622" ht="14.25" customHeight="1" s="335"/>
    <row r="623" ht="14.25" customHeight="1" s="335"/>
    <row r="624" ht="14.25" customHeight="1" s="335"/>
    <row r="625" ht="14.25" customHeight="1" s="335"/>
    <row r="626" ht="14.25" customHeight="1" s="335"/>
    <row r="627" ht="14.25" customHeight="1" s="335"/>
    <row r="628" ht="14.25" customHeight="1" s="335"/>
    <row r="629" ht="14.25" customHeight="1" s="335"/>
    <row r="630" ht="14.25" customHeight="1" s="335"/>
    <row r="631" ht="14.25" customHeight="1" s="335"/>
    <row r="632" ht="14.25" customHeight="1" s="335"/>
    <row r="633" ht="14.25" customHeight="1" s="335"/>
    <row r="634" ht="14.25" customHeight="1" s="335"/>
    <row r="635" ht="14.25" customHeight="1" s="335"/>
    <row r="636" ht="14.25" customHeight="1" s="335"/>
    <row r="637" ht="14.25" customHeight="1" s="335"/>
    <row r="638" ht="14.25" customHeight="1" s="335"/>
    <row r="639" ht="14.25" customHeight="1" s="335"/>
    <row r="640" ht="14.25" customHeight="1" s="335"/>
    <row r="641" ht="14.25" customHeight="1" s="335"/>
    <row r="642" ht="14.25" customHeight="1" s="335"/>
    <row r="643" ht="14.25" customHeight="1" s="335"/>
    <row r="644" ht="14.25" customHeight="1" s="335"/>
    <row r="645" ht="14.25" customHeight="1" s="335"/>
    <row r="646" ht="14.25" customHeight="1" s="335"/>
    <row r="647" ht="14.25" customHeight="1" s="335"/>
    <row r="648" ht="14.25" customHeight="1" s="335"/>
    <row r="649" ht="14.25" customHeight="1" s="335"/>
    <row r="650" ht="14.25" customHeight="1" s="335"/>
    <row r="651" ht="14.25" customHeight="1" s="335"/>
    <row r="652" ht="14.25" customHeight="1" s="335"/>
    <row r="653" ht="14.25" customHeight="1" s="335"/>
    <row r="654" ht="14.25" customHeight="1" s="335"/>
    <row r="655" ht="14.25" customHeight="1" s="335"/>
    <row r="656" ht="14.25" customHeight="1" s="335"/>
    <row r="657" ht="14.25" customHeight="1" s="335"/>
    <row r="658" ht="14.25" customHeight="1" s="335"/>
    <row r="659" ht="14.25" customHeight="1" s="335"/>
    <row r="660" ht="14.25" customHeight="1" s="335"/>
    <row r="661" ht="14.25" customHeight="1" s="335"/>
    <row r="662" ht="14.25" customHeight="1" s="335"/>
    <row r="663" ht="14.25" customHeight="1" s="335"/>
    <row r="664" ht="14.25" customHeight="1" s="335"/>
    <row r="665" ht="14.25" customHeight="1" s="335"/>
    <row r="666" ht="14.25" customHeight="1" s="335"/>
    <row r="667" ht="14.25" customHeight="1" s="335"/>
    <row r="668" ht="14.25" customHeight="1" s="335"/>
    <row r="669" ht="14.25" customHeight="1" s="335"/>
    <row r="670" ht="14.25" customHeight="1" s="335"/>
    <row r="671" ht="14.25" customHeight="1" s="335"/>
    <row r="672" ht="14.25" customHeight="1" s="335"/>
    <row r="673" ht="14.25" customHeight="1" s="335"/>
    <row r="674" ht="14.25" customHeight="1" s="335"/>
    <row r="675" ht="14.25" customHeight="1" s="335"/>
    <row r="676" ht="14.25" customHeight="1" s="335"/>
    <row r="677" ht="14.25" customHeight="1" s="335"/>
    <row r="678" ht="14.25" customHeight="1" s="335"/>
    <row r="679" ht="14.25" customHeight="1" s="335"/>
    <row r="680" ht="14.25" customHeight="1" s="335"/>
    <row r="681" ht="14.25" customHeight="1" s="335"/>
    <row r="682" ht="14.25" customHeight="1" s="335"/>
    <row r="683" ht="14.25" customHeight="1" s="335"/>
    <row r="684" ht="14.25" customHeight="1" s="335"/>
    <row r="685" ht="14.25" customHeight="1" s="335"/>
    <row r="686" ht="14.25" customHeight="1" s="335"/>
    <row r="687" ht="14.25" customHeight="1" s="335"/>
    <row r="688" ht="14.25" customHeight="1" s="335"/>
    <row r="689" ht="14.25" customHeight="1" s="335"/>
    <row r="690" ht="14.25" customHeight="1" s="335"/>
    <row r="691" ht="14.25" customHeight="1" s="335"/>
    <row r="692" ht="14.25" customHeight="1" s="335"/>
    <row r="693" ht="14.25" customHeight="1" s="335"/>
    <row r="694" ht="14.25" customHeight="1" s="335"/>
    <row r="695" ht="14.25" customHeight="1" s="335"/>
    <row r="696" ht="14.25" customHeight="1" s="335"/>
    <row r="697" ht="14.25" customHeight="1" s="335"/>
    <row r="698" ht="14.25" customHeight="1" s="335"/>
    <row r="699" ht="14.25" customHeight="1" s="335"/>
    <row r="700" ht="14.25" customHeight="1" s="335"/>
    <row r="701" ht="14.25" customHeight="1" s="335"/>
    <row r="702" ht="14.25" customHeight="1" s="335"/>
    <row r="703" ht="14.25" customHeight="1" s="335"/>
    <row r="704" ht="14.25" customHeight="1" s="335"/>
    <row r="705" ht="14.25" customHeight="1" s="335"/>
    <row r="706" ht="14.25" customHeight="1" s="335"/>
    <row r="707" ht="14.25" customHeight="1" s="335"/>
    <row r="708" ht="14.25" customHeight="1" s="335"/>
    <row r="709" ht="14.25" customHeight="1" s="335"/>
    <row r="710" ht="14.25" customHeight="1" s="335"/>
    <row r="711" ht="14.25" customHeight="1" s="335"/>
    <row r="712" ht="14.25" customHeight="1" s="335"/>
    <row r="713" ht="14.25" customHeight="1" s="335"/>
    <row r="714" ht="14.25" customHeight="1" s="335"/>
    <row r="715" ht="14.25" customHeight="1" s="335"/>
    <row r="716" ht="14.25" customHeight="1" s="335"/>
    <row r="717" ht="14.25" customHeight="1" s="335"/>
    <row r="718" ht="14.25" customHeight="1" s="335"/>
    <row r="719" ht="14.25" customHeight="1" s="335"/>
    <row r="720" ht="14.25" customHeight="1" s="335"/>
    <row r="721" ht="14.25" customHeight="1" s="335"/>
    <row r="722" ht="14.25" customHeight="1" s="335"/>
    <row r="723" ht="14.25" customHeight="1" s="335"/>
    <row r="724" ht="14.25" customHeight="1" s="335"/>
    <row r="725" ht="14.25" customHeight="1" s="335"/>
    <row r="726" ht="14.25" customHeight="1" s="335"/>
    <row r="727" ht="14.25" customHeight="1" s="335"/>
    <row r="728" ht="14.25" customHeight="1" s="335"/>
    <row r="729" ht="14.25" customHeight="1" s="335"/>
    <row r="730" ht="14.25" customHeight="1" s="335"/>
    <row r="731" ht="14.25" customHeight="1" s="335"/>
    <row r="732" ht="14.25" customHeight="1" s="335"/>
    <row r="733" ht="14.25" customHeight="1" s="335"/>
    <row r="734" ht="14.25" customHeight="1" s="335"/>
    <row r="735" ht="14.25" customHeight="1" s="335"/>
    <row r="736" ht="14.25" customHeight="1" s="335"/>
    <row r="737" ht="14.25" customHeight="1" s="335"/>
    <row r="738" ht="14.25" customHeight="1" s="335"/>
    <row r="739" ht="14.25" customHeight="1" s="335"/>
    <row r="740" ht="14.25" customHeight="1" s="335"/>
    <row r="741" ht="14.25" customHeight="1" s="335"/>
    <row r="742" ht="14.25" customHeight="1" s="335"/>
    <row r="743" ht="14.25" customHeight="1" s="335"/>
    <row r="744" ht="14.25" customHeight="1" s="335"/>
    <row r="745" ht="14.25" customHeight="1" s="335"/>
    <row r="746" ht="14.25" customHeight="1" s="335"/>
    <row r="747" ht="14.25" customHeight="1" s="335"/>
    <row r="748" ht="14.25" customHeight="1" s="335"/>
    <row r="749" ht="14.25" customHeight="1" s="335"/>
    <row r="750" ht="14.25" customHeight="1" s="335"/>
    <row r="751" ht="14.25" customHeight="1" s="335"/>
    <row r="752" ht="14.25" customHeight="1" s="335"/>
    <row r="753" ht="14.25" customHeight="1" s="335"/>
    <row r="754" ht="14.25" customHeight="1" s="335"/>
    <row r="755" ht="14.25" customHeight="1" s="335"/>
    <row r="756" ht="14.25" customHeight="1" s="335"/>
    <row r="757" ht="14.25" customHeight="1" s="335"/>
    <row r="758" ht="14.25" customHeight="1" s="335"/>
    <row r="759" ht="14.25" customHeight="1" s="335"/>
    <row r="760" ht="14.25" customHeight="1" s="335"/>
    <row r="761" ht="14.25" customHeight="1" s="335"/>
    <row r="762" ht="14.25" customHeight="1" s="335"/>
    <row r="763" ht="14.25" customHeight="1" s="335"/>
    <row r="764" ht="14.25" customHeight="1" s="335"/>
    <row r="765" ht="14.25" customHeight="1" s="335"/>
    <row r="766" ht="14.25" customHeight="1" s="335"/>
    <row r="767" ht="14.25" customHeight="1" s="335"/>
    <row r="768" ht="14.25" customHeight="1" s="335"/>
    <row r="769" ht="14.25" customHeight="1" s="335"/>
    <row r="770" ht="14.25" customHeight="1" s="335"/>
    <row r="771" ht="14.25" customHeight="1" s="335"/>
    <row r="772" ht="14.25" customHeight="1" s="335"/>
    <row r="773" ht="14.25" customHeight="1" s="335"/>
    <row r="774" ht="14.25" customHeight="1" s="335"/>
    <row r="775" ht="14.25" customHeight="1" s="335"/>
    <row r="776" ht="14.25" customHeight="1" s="335"/>
    <row r="777" ht="14.25" customHeight="1" s="335"/>
    <row r="778" ht="14.25" customHeight="1" s="335"/>
    <row r="779" ht="14.25" customHeight="1" s="335"/>
    <row r="780" ht="14.25" customHeight="1" s="335"/>
    <row r="781" ht="14.25" customHeight="1" s="335"/>
    <row r="782" ht="14.25" customHeight="1" s="335"/>
    <row r="783" ht="14.25" customHeight="1" s="335"/>
    <row r="784" ht="14.25" customHeight="1" s="335"/>
    <row r="785" ht="14.25" customHeight="1" s="335"/>
    <row r="786" ht="14.25" customHeight="1" s="335"/>
    <row r="787" ht="14.25" customHeight="1" s="335"/>
    <row r="788" ht="14.25" customHeight="1" s="335"/>
    <row r="789" ht="14.25" customHeight="1" s="335"/>
    <row r="790" ht="14.25" customHeight="1" s="335"/>
    <row r="791" ht="14.25" customHeight="1" s="335"/>
    <row r="792" ht="14.25" customHeight="1" s="335"/>
    <row r="793" ht="14.25" customHeight="1" s="335"/>
    <row r="794" ht="14.25" customHeight="1" s="335"/>
    <row r="795" ht="14.25" customHeight="1" s="335"/>
    <row r="796" ht="14.25" customHeight="1" s="335"/>
    <row r="797" ht="14.25" customHeight="1" s="335"/>
    <row r="798" ht="14.25" customHeight="1" s="335"/>
    <row r="799" ht="14.25" customHeight="1" s="335"/>
    <row r="800" ht="14.25" customHeight="1" s="335"/>
    <row r="801" ht="14.25" customHeight="1" s="335"/>
    <row r="802" ht="14.25" customHeight="1" s="335"/>
    <row r="803" ht="14.25" customHeight="1" s="335"/>
    <row r="804" ht="14.25" customHeight="1" s="335"/>
    <row r="805" ht="14.25" customHeight="1" s="335"/>
    <row r="806" ht="14.25" customHeight="1" s="335"/>
    <row r="807" ht="14.25" customHeight="1" s="335"/>
    <row r="808" ht="14.25" customHeight="1" s="335"/>
    <row r="809" ht="14.25" customHeight="1" s="335"/>
    <row r="810" ht="14.25" customHeight="1" s="335"/>
    <row r="811" ht="14.25" customHeight="1" s="335"/>
    <row r="812" ht="14.25" customHeight="1" s="335"/>
    <row r="813" ht="14.25" customHeight="1" s="335"/>
    <row r="814" ht="14.25" customHeight="1" s="335"/>
    <row r="815" ht="14.25" customHeight="1" s="335"/>
    <row r="816" ht="14.25" customHeight="1" s="335"/>
    <row r="817" ht="14.25" customHeight="1" s="335"/>
    <row r="818" ht="14.25" customHeight="1" s="335"/>
    <row r="819" ht="14.25" customHeight="1" s="335"/>
    <row r="820" ht="14.25" customHeight="1" s="335"/>
    <row r="821" ht="14.25" customHeight="1" s="335"/>
    <row r="822" ht="14.25" customHeight="1" s="335"/>
    <row r="823" ht="14.25" customHeight="1" s="335"/>
    <row r="824" ht="14.25" customHeight="1" s="335"/>
    <row r="825" ht="14.25" customHeight="1" s="335"/>
    <row r="826" ht="14.25" customHeight="1" s="335"/>
    <row r="827" ht="14.25" customHeight="1" s="335"/>
    <row r="828" ht="14.25" customHeight="1" s="335"/>
    <row r="829" ht="14.25" customHeight="1" s="335"/>
    <row r="830" ht="14.25" customHeight="1" s="335"/>
    <row r="831" ht="14.25" customHeight="1" s="335"/>
    <row r="832" ht="14.25" customHeight="1" s="335"/>
    <row r="833" ht="14.25" customHeight="1" s="335"/>
    <row r="834" ht="14.25" customHeight="1" s="335"/>
    <row r="835" ht="14.25" customHeight="1" s="335"/>
    <row r="836" ht="14.25" customHeight="1" s="335"/>
    <row r="837" ht="14.25" customHeight="1" s="335"/>
    <row r="838" ht="14.25" customHeight="1" s="335"/>
    <row r="839" ht="14.25" customHeight="1" s="335"/>
    <row r="840" ht="14.25" customHeight="1" s="335"/>
    <row r="841" ht="14.25" customHeight="1" s="335"/>
    <row r="842" ht="14.25" customHeight="1" s="335"/>
    <row r="843" ht="14.25" customHeight="1" s="335"/>
    <row r="844" ht="14.25" customHeight="1" s="335"/>
    <row r="845" ht="14.25" customHeight="1" s="335"/>
    <row r="846" ht="14.25" customHeight="1" s="335"/>
    <row r="847" ht="14.25" customHeight="1" s="335"/>
    <row r="848" ht="14.25" customHeight="1" s="335"/>
    <row r="849" ht="14.25" customHeight="1" s="335"/>
    <row r="850" ht="14.25" customHeight="1" s="335"/>
    <row r="851" ht="14.25" customHeight="1" s="335"/>
    <row r="852" ht="14.25" customHeight="1" s="335"/>
    <row r="853" ht="14.25" customHeight="1" s="335"/>
    <row r="854" ht="14.25" customHeight="1" s="335"/>
    <row r="855" ht="14.25" customHeight="1" s="335"/>
    <row r="856" ht="14.25" customHeight="1" s="335"/>
    <row r="857" ht="14.25" customHeight="1" s="335"/>
    <row r="858" ht="14.25" customHeight="1" s="335"/>
    <row r="859" ht="14.25" customHeight="1" s="335"/>
    <row r="860" ht="14.25" customHeight="1" s="335"/>
    <row r="861" ht="14.25" customHeight="1" s="335"/>
    <row r="862" ht="14.25" customHeight="1" s="335"/>
    <row r="863" ht="14.25" customHeight="1" s="335"/>
    <row r="864" ht="14.25" customHeight="1" s="335"/>
    <row r="865" ht="14.25" customHeight="1" s="335"/>
    <row r="866" ht="14.25" customHeight="1" s="335"/>
    <row r="867" ht="14.25" customHeight="1" s="335"/>
    <row r="868" ht="14.25" customHeight="1" s="335"/>
    <row r="869" ht="14.25" customHeight="1" s="335"/>
    <row r="870" ht="14.25" customHeight="1" s="335"/>
    <row r="871" ht="14.25" customHeight="1" s="335"/>
    <row r="872" ht="14.25" customHeight="1" s="335"/>
    <row r="873" ht="14.25" customHeight="1" s="335"/>
    <row r="874" ht="14.25" customHeight="1" s="335"/>
    <row r="875" ht="14.25" customHeight="1" s="335"/>
    <row r="876" ht="14.25" customHeight="1" s="335"/>
    <row r="877" ht="14.25" customHeight="1" s="335"/>
    <row r="878" ht="14.25" customHeight="1" s="335"/>
    <row r="879" ht="14.25" customHeight="1" s="335"/>
    <row r="880" ht="14.25" customHeight="1" s="335"/>
    <row r="881" ht="14.25" customHeight="1" s="335"/>
    <row r="882" ht="14.25" customHeight="1" s="335"/>
    <row r="883" ht="14.25" customHeight="1" s="335"/>
    <row r="884" ht="14.25" customHeight="1" s="335"/>
    <row r="885" ht="14.25" customHeight="1" s="335"/>
    <row r="886" ht="14.25" customHeight="1" s="335"/>
    <row r="887" ht="14.25" customHeight="1" s="335"/>
    <row r="888" ht="14.25" customHeight="1" s="335"/>
    <row r="889" ht="14.25" customHeight="1" s="335"/>
    <row r="890" ht="14.25" customHeight="1" s="335"/>
    <row r="891" ht="14.25" customHeight="1" s="335"/>
    <row r="892" ht="14.25" customHeight="1" s="335"/>
    <row r="893" ht="14.25" customHeight="1" s="335"/>
    <row r="894" ht="14.25" customHeight="1" s="335"/>
    <row r="895" ht="14.25" customHeight="1" s="335"/>
    <row r="896" ht="14.25" customHeight="1" s="335"/>
    <row r="897" ht="14.25" customHeight="1" s="335"/>
    <row r="898" ht="14.25" customHeight="1" s="335"/>
    <row r="899" ht="14.25" customHeight="1" s="335"/>
    <row r="900" ht="14.25" customHeight="1" s="335"/>
    <row r="901" ht="14.25" customHeight="1" s="335"/>
    <row r="902" ht="14.25" customHeight="1" s="335"/>
    <row r="903" ht="14.25" customHeight="1" s="335"/>
    <row r="904" ht="14.25" customHeight="1" s="335"/>
    <row r="905" ht="14.25" customHeight="1" s="335"/>
    <row r="906" ht="14.25" customHeight="1" s="335"/>
    <row r="907" ht="14.25" customHeight="1" s="335"/>
    <row r="908" ht="14.25" customHeight="1" s="335"/>
    <row r="909" ht="14.25" customHeight="1" s="335"/>
    <row r="910" ht="14.25" customHeight="1" s="335"/>
    <row r="911" ht="14.25" customHeight="1" s="335"/>
    <row r="912" ht="14.25" customHeight="1" s="335"/>
    <row r="913" ht="14.25" customHeight="1" s="335"/>
    <row r="914" ht="14.25" customHeight="1" s="335"/>
    <row r="915" ht="14.25" customHeight="1" s="335"/>
    <row r="916" ht="14.25" customHeight="1" s="335"/>
    <row r="917" ht="14.25" customHeight="1" s="335"/>
    <row r="918" ht="14.25" customHeight="1" s="335"/>
    <row r="919" ht="14.25" customHeight="1" s="335"/>
    <row r="920" ht="14.25" customHeight="1" s="335"/>
    <row r="921" ht="14.25" customHeight="1" s="335"/>
    <row r="922" ht="14.25" customHeight="1" s="335"/>
    <row r="923" ht="14.25" customHeight="1" s="335"/>
    <row r="924" ht="14.25" customHeight="1" s="335"/>
    <row r="925" ht="14.25" customHeight="1" s="335"/>
    <row r="926" ht="14.25" customHeight="1" s="335"/>
    <row r="927" ht="14.25" customHeight="1" s="335"/>
    <row r="928" ht="14.25" customHeight="1" s="335"/>
    <row r="929" ht="14.25" customHeight="1" s="335"/>
    <row r="930" ht="14.25" customHeight="1" s="335"/>
    <row r="931" ht="14.25" customHeight="1" s="335"/>
    <row r="932" ht="14.25" customHeight="1" s="335"/>
    <row r="933" ht="14.25" customHeight="1" s="335"/>
    <row r="934" ht="14.25" customHeight="1" s="335"/>
    <row r="935" ht="14.25" customHeight="1" s="335"/>
    <row r="936" ht="14.25" customHeight="1" s="335"/>
    <row r="937" ht="14.25" customHeight="1" s="335"/>
    <row r="938" ht="14.25" customHeight="1" s="335"/>
    <row r="939" ht="14.25" customHeight="1" s="335"/>
    <row r="940" ht="14.25" customHeight="1" s="335"/>
    <row r="941" ht="14.25" customHeight="1" s="335"/>
    <row r="942" ht="14.25" customHeight="1" s="335"/>
    <row r="943" ht="14.25" customHeight="1" s="335"/>
    <row r="944" ht="14.25" customHeight="1" s="335"/>
    <row r="945" ht="14.25" customHeight="1" s="335"/>
    <row r="946" ht="14.25" customHeight="1" s="335"/>
    <row r="947" ht="14.25" customHeight="1" s="335"/>
    <row r="948" ht="14.25" customHeight="1" s="335"/>
    <row r="949" ht="14.25" customHeight="1" s="335"/>
    <row r="950" ht="14.25" customHeight="1" s="335"/>
    <row r="951" ht="14.25" customHeight="1" s="335"/>
    <row r="952" ht="14.25" customHeight="1" s="335"/>
    <row r="953" ht="14.25" customHeight="1" s="335"/>
    <row r="954" ht="14.25" customHeight="1" s="335"/>
    <row r="955" ht="14.25" customHeight="1" s="335"/>
    <row r="956" ht="14.25" customHeight="1" s="335"/>
    <row r="957" ht="14.25" customHeight="1" s="335"/>
    <row r="958" ht="14.25" customHeight="1" s="335"/>
    <row r="959" ht="14.25" customHeight="1" s="335"/>
    <row r="960" ht="14.25" customHeight="1" s="335"/>
    <row r="961" ht="14.25" customHeight="1" s="335"/>
    <row r="962" ht="14.25" customHeight="1" s="335"/>
    <row r="963" ht="14.25" customHeight="1" s="335"/>
    <row r="964" ht="14.25" customHeight="1" s="335"/>
    <row r="965" ht="14.25" customHeight="1" s="335"/>
    <row r="966" ht="14.25" customHeight="1" s="335"/>
    <row r="967" ht="14.25" customHeight="1" s="335"/>
    <row r="968" ht="14.25" customHeight="1" s="335"/>
    <row r="969" ht="14.25" customHeight="1" s="335"/>
    <row r="970" ht="14.25" customHeight="1" s="335"/>
    <row r="971" ht="14.25" customHeight="1" s="335"/>
    <row r="972" ht="14.25" customHeight="1" s="335"/>
    <row r="973" ht="14.25" customHeight="1" s="335"/>
    <row r="974" ht="14.25" customHeight="1" s="335"/>
    <row r="975" ht="14.25" customHeight="1" s="335"/>
    <row r="976" ht="14.25" customHeight="1" s="335"/>
    <row r="977" ht="14.25" customHeight="1" s="335"/>
    <row r="978" ht="14.25" customHeight="1" s="335"/>
    <row r="979" ht="14.25" customHeight="1" s="335"/>
    <row r="980" ht="14.25" customHeight="1" s="335"/>
    <row r="981" ht="14.25" customHeight="1" s="335"/>
    <row r="982" ht="14.25" customHeight="1" s="335"/>
    <row r="983" ht="14.25" customHeight="1" s="335"/>
    <row r="984" ht="14.25" customHeight="1" s="335"/>
    <row r="985" ht="14.25" customHeight="1" s="335"/>
    <row r="986" ht="14.25" customHeight="1" s="335"/>
    <row r="987" ht="14.25" customHeight="1" s="335"/>
    <row r="988" ht="14.25" customHeight="1" s="335"/>
    <row r="989" ht="14.25" customHeight="1" s="335"/>
    <row r="990" ht="14.25" customHeight="1" s="335"/>
    <row r="991" ht="14.25" customHeight="1" s="335"/>
    <row r="992" ht="14.25" customHeight="1" s="335"/>
    <row r="993" ht="14.25" customHeight="1" s="335"/>
    <row r="994" ht="14.25" customHeight="1" s="335"/>
    <row r="995" ht="14.25" customHeight="1" s="335"/>
    <row r="996" ht="14.25" customHeight="1" s="335"/>
    <row r="997" ht="14.25" customHeight="1" s="335"/>
    <row r="998" ht="14.25" customHeight="1" s="335"/>
    <row r="999" ht="14.25" customHeight="1" s="335"/>
    <row r="1000" ht="14.25" customHeight="1" s="3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N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1.67" customWidth="1" style="334" min="1" max="1"/>
    <col width="17.88" customWidth="1" style="334" min="2" max="2"/>
    <col width="19.33" customWidth="1" style="334" min="3" max="3"/>
    <col width="47" customWidth="1" style="334" min="4" max="4"/>
    <col width="33" customWidth="1" style="334" min="5" max="5"/>
    <col width="34.88" customWidth="1" style="334" min="6" max="6"/>
    <col width="26.56" customWidth="1" style="334" min="7" max="7"/>
    <col width="75.67" customWidth="1" style="334" min="8" max="8"/>
    <col width="29.44" customWidth="1" style="334" min="11" max="11"/>
  </cols>
  <sheetData>
    <row r="1" ht="14.25" customHeight="1" s="335">
      <c r="A1" s="432" t="inlineStr">
        <is>
          <t>TYPE : SNAPSHOT</t>
        </is>
      </c>
      <c r="B1" s="432" t="n"/>
      <c r="C1" s="432" t="n"/>
      <c r="D1" s="432" t="n"/>
      <c r="E1" s="432" t="n"/>
      <c r="F1" s="432" t="n"/>
      <c r="G1" s="432" t="n"/>
      <c r="H1" s="446" t="n"/>
      <c r="I1" s="432" t="n"/>
      <c r="J1" s="432" t="n"/>
      <c r="K1" s="432" t="n"/>
    </row>
    <row r="2" ht="14.25" customHeight="1" s="335">
      <c r="A2" s="447" t="inlineStr">
        <is>
          <t>No</t>
        </is>
      </c>
      <c r="B2" s="448" t="inlineStr">
        <is>
          <t>System</t>
        </is>
      </c>
      <c r="C2" s="450" t="inlineStr">
        <is>
          <t>TABLE</t>
        </is>
      </c>
      <c r="D2" s="450" t="inlineStr">
        <is>
          <t>Short table</t>
        </is>
      </c>
      <c r="E2" s="450" t="inlineStr">
        <is>
          <t>Main Table</t>
        </is>
      </c>
      <c r="F2" s="450" t="inlineStr">
        <is>
          <t>Type join</t>
        </is>
      </c>
      <c r="G2" s="450" t="inlineStr">
        <is>
          <t>Condition JOIN</t>
        </is>
      </c>
      <c r="H2" s="449" t="inlineStr">
        <is>
          <t>Condition where</t>
        </is>
      </c>
      <c r="I2" s="432" t="n"/>
      <c r="J2" s="432" t="n"/>
      <c r="K2" s="432" t="n"/>
    </row>
    <row r="3" ht="126.75" customHeight="1" s="335">
      <c r="A3" s="459" t="n">
        <v>1</v>
      </c>
      <c r="B3" s="433" t="inlineStr">
        <is>
          <t>PG_BRONZE</t>
        </is>
      </c>
      <c r="C3" s="415" t="inlineStr">
        <is>
          <t>SOURCE_SAOKE_CRB</t>
        </is>
      </c>
      <c r="D3" s="415" t="inlineStr">
        <is>
          <t>a</t>
        </is>
      </c>
      <c r="E3" s="415" t="n"/>
      <c r="F3" s="460" t="n"/>
      <c r="G3" s="460" t="n"/>
      <c r="H3" s="461" t="inlineStr">
        <is>
          <t>WHERE a.APP_CODE IN ('LD', 'PD') AND a.TXN_DATE = ${ETL_DATE} GROUP BY a.TXN_DATE, a.APP_ID, b.SUM_REPAID_AMT</t>
        </is>
      </c>
      <c r="I3" s="432" t="n"/>
      <c r="J3" s="432" t="n"/>
      <c r="K3" s="432" t="n"/>
    </row>
    <row r="4" ht="221.25" customHeight="1" s="335">
      <c r="A4" s="459" t="n">
        <v>2</v>
      </c>
      <c r="B4" s="433" t="inlineStr">
        <is>
          <t>PG_BRONZE</t>
        </is>
      </c>
      <c r="C4" s="415" t="inlineStr">
        <is>
          <t>T24CORE_STMT_ENTRY</t>
        </is>
      </c>
      <c r="D4" s="415" t="inlineStr">
        <is>
          <t>b</t>
        </is>
      </c>
      <c r="E4" s="415" t="n"/>
      <c r="F4" s="460" t="inlineStr">
        <is>
          <t>left join</t>
        </is>
      </c>
      <c r="G4" s="460" t="inlineStr">
        <is>
          <t>ON a.APP_ID = b.RECID</t>
        </is>
      </c>
      <c r="H4" s="461" t="inlineStr">
        <is>
          <t>(SELECT SUM(CASE WHEN b.OUR_REFERENCE LIKE 'PDPD%' AND b.TRANSACTION_CODE IN ('751','434') THEN DECODE(b.CURRENCY,'VND',ABS(b.AMOUNT_LCY),ABS(b.AMOUNT_FCY)) ELSE 0 END) + SUM(CASE WHEN (b.OUR_REFERENCE LIKE 'PDLD%' OR b.OUR_REFERENCE LIKE 'LD%') AND b.CRF_PROD_CAT = '21069' AND b.TRANSACTION_CODE IN ('750','420') THEN DECODE(b.CURRENCY,'VND',ABS(b.AMOUNT_LCY),ABS(b.AMOUNT_FCY)) ELSE 0 END) AS SUM_REPAID_AMT, (CASE WHEN b.OUR_REFERENCE LIKE 'LD%' OR b.OUR_REFERENCE LIKE 'PD%' THEN b.OUR_REFERENCE END) AS RECID FROM PG_BRONZE.T24CORE_STMT_ENTRY b WHERE b.RECID NOT LIKE 'F%' AND b.COMMIT_ACTION &lt;&gt; 'D' AND b.BOOKING_DATE &lt;= ${ETL_DATE} GROUP BY (CASE WHEN b.OUR_REFERENCE LIKE 'LD%' OR b.OUR_REFERENCE LIKE 'PD%' THEN b.OUR_REFERENCE END)) b</t>
        </is>
      </c>
      <c r="I4" s="432" t="n"/>
      <c r="J4" s="432" t="n"/>
      <c r="K4" s="432" t="n"/>
    </row>
    <row r="5" ht="14.25" customHeight="1" s="335">
      <c r="A5" s="437" t="n"/>
      <c r="B5" s="437" t="n"/>
      <c r="C5" s="437" t="n"/>
      <c r="D5" s="437" t="n"/>
      <c r="E5" s="437" t="n"/>
      <c r="F5" s="437" t="n"/>
      <c r="G5" s="437" t="n"/>
      <c r="H5" s="451" t="n"/>
      <c r="I5" s="437" t="n"/>
      <c r="J5" s="437" t="n"/>
      <c r="K5" s="437" t="n"/>
    </row>
    <row r="6" ht="14.25" customHeight="1" s="335">
      <c r="A6" s="437" t="n"/>
      <c r="B6" s="437" t="n"/>
      <c r="C6" s="437" t="n"/>
      <c r="D6" s="437" t="n"/>
      <c r="E6" s="437" t="n"/>
      <c r="F6" s="437" t="n"/>
      <c r="G6" s="437" t="n"/>
      <c r="H6" s="451" t="n"/>
      <c r="I6" s="437" t="n"/>
      <c r="J6" s="437" t="n"/>
      <c r="K6" s="437" t="n"/>
    </row>
    <row r="7" ht="14.25" customHeight="1" s="335">
      <c r="A7" s="432" t="inlineStr">
        <is>
          <t>Nguồn</t>
        </is>
      </c>
      <c r="B7" s="432" t="inlineStr">
        <is>
          <t>Bảng nguồn</t>
        </is>
      </c>
      <c r="C7" s="432" t="inlineStr">
        <is>
          <t>Cột nguồn</t>
        </is>
      </c>
      <c r="D7" s="432" t="inlineStr">
        <is>
          <t>Transform</t>
        </is>
      </c>
      <c r="E7" s="432" t="inlineStr">
        <is>
          <t>Entity</t>
        </is>
      </c>
      <c r="F7" s="432" t="inlineStr">
        <is>
          <t>Attribute</t>
        </is>
      </c>
      <c r="G7" s="432" t="inlineStr">
        <is>
          <t>Bảng đích</t>
        </is>
      </c>
      <c r="H7" s="446" t="inlineStr">
        <is>
          <t>Cột đích</t>
        </is>
      </c>
      <c r="I7" s="432" t="inlineStr">
        <is>
          <t>Kiểu dữ liệu</t>
        </is>
      </c>
      <c r="J7" s="432" t="inlineStr">
        <is>
          <t>Độ dài</t>
        </is>
      </c>
      <c r="K7" s="432" t="inlineStr">
        <is>
          <t>Diễn giải</t>
        </is>
      </c>
      <c r="L7" s="432" t="inlineStr">
        <is>
          <t>Glossary</t>
        </is>
      </c>
      <c r="M7" s="432" t="inlineStr">
        <is>
          <t>DDL Comment</t>
        </is>
      </c>
      <c r="N7" s="432" t="inlineStr">
        <is>
          <t>Ghi chú kỹ thuật &amp; Business Rule</t>
        </is>
      </c>
    </row>
    <row r="8" ht="14.25" customHeight="1" s="335">
      <c r="A8" s="433" t="inlineStr">
        <is>
          <t>PG_BRONZE</t>
        </is>
      </c>
      <c r="B8" s="433" t="inlineStr">
        <is>
          <t>SOURCE_SAOKE_CRB</t>
        </is>
      </c>
      <c r="C8" s="433" t="inlineStr">
        <is>
          <t>TXN_DATE</t>
        </is>
      </c>
      <c r="D8" s="433" t="inlineStr">
        <is>
          <t>${ETL_DATE}</t>
        </is>
      </c>
      <c r="E8" s="433" t="inlineStr">
        <is>
          <t>Asset Arrangement Interest Summary</t>
        </is>
      </c>
      <c r="F8" s="433" t="inlineStr">
        <is>
          <t>Carlendar Date</t>
        </is>
      </c>
      <c r="G8" s="433" t="inlineStr">
        <is>
          <t>AST_AR_INT_SMY</t>
        </is>
      </c>
      <c r="H8" s="461" t="inlineStr">
        <is>
          <t>CDR_DT</t>
        </is>
      </c>
      <c r="I8" s="415" t="inlineStr">
        <is>
          <t>DATE</t>
        </is>
      </c>
      <c r="J8" s="415" t="n"/>
      <c r="K8" s="415" t="inlineStr">
        <is>
          <t>Ngày dữ liệu</t>
        </is>
      </c>
      <c r="M8" s="334">
        <f>"COMMENT ON COLUMN PG_SILVER."&amp;G8&amp;"."&amp;H8&amp;" IS '"&amp;K8&amp;"';"</f>
        <v/>
      </c>
    </row>
    <row r="9" ht="14.25" customHeight="1" s="335">
      <c r="A9" s="433" t="inlineStr">
        <is>
          <t>PG_BRONZE</t>
        </is>
      </c>
      <c r="B9" s="433" t="inlineStr">
        <is>
          <t>SOURCE_SAOKE_CRB</t>
        </is>
      </c>
      <c r="C9" s="433" t="inlineStr">
        <is>
          <t>APP_ID</t>
        </is>
      </c>
      <c r="D9" s="433" t="inlineStr">
        <is>
          <t>'SAOKE_CRB'</t>
        </is>
      </c>
      <c r="E9" s="433" t="inlineStr">
        <is>
          <t>Asset Arrangement Interest Summary</t>
        </is>
      </c>
      <c r="F9" s="442" t="inlineStr">
        <is>
          <t>Source System Code</t>
        </is>
      </c>
      <c r="G9" s="433" t="inlineStr">
        <is>
          <t>AST_AR_INT_SMY</t>
        </is>
      </c>
      <c r="H9" s="461" t="inlineStr">
        <is>
          <t>SRC_STM_CODE</t>
        </is>
      </c>
      <c r="I9" s="415" t="inlineStr">
        <is>
          <t>VARCHAR2</t>
        </is>
      </c>
      <c r="J9" s="415" t="n">
        <v>32</v>
      </c>
      <c r="K9" s="415" t="inlineStr">
        <is>
          <t>Mã nguồn dữ liệu</t>
        </is>
      </c>
      <c r="M9" s="415">
        <f>"COMMENT ON COLUMN PG_SILVER."&amp;G9&amp;"."&amp;H9&amp;" IS '"&amp;K9&amp;"';"</f>
        <v/>
      </c>
      <c r="N9" s="415" t="inlineStr">
        <is>
          <t>Bổ sung hằng số 'SAOKE_CRB' cho cột SRC_STM_CODE (trước đó bị bỏ trống).</t>
        </is>
      </c>
    </row>
    <row r="10" ht="14.25" customHeight="1" s="335">
      <c r="A10" s="433" t="inlineStr">
        <is>
          <t>PG_BRONZE</t>
        </is>
      </c>
      <c r="B10" s="415" t="inlineStr">
        <is>
          <t>SOURCE_SAOKE_CRB</t>
        </is>
      </c>
      <c r="C10" s="433" t="inlineStr">
        <is>
          <t>APP_ID</t>
        </is>
      </c>
      <c r="D10" s="433" t="inlineStr">
        <is>
          <t>fn_hash("T24_LD_LOANS_AND_DEPOSITS", a.APP_ID)</t>
        </is>
      </c>
      <c r="E10" s="433" t="inlineStr">
        <is>
          <t>Asset Arrangement Interest Summary</t>
        </is>
      </c>
      <c r="F10" s="415" t="inlineStr">
        <is>
          <t>Arrangement ID</t>
        </is>
      </c>
      <c r="G10" s="433" t="inlineStr">
        <is>
          <t>AST_AR_INT_SMY</t>
        </is>
      </c>
      <c r="H10" s="443" t="inlineStr">
        <is>
          <t>AR_ID</t>
        </is>
      </c>
      <c r="I10" s="415" t="inlineStr">
        <is>
          <t>CHAR</t>
        </is>
      </c>
      <c r="J10" s="433" t="n">
        <v>32</v>
      </c>
      <c r="K10" s="433" t="inlineStr">
        <is>
          <t>ID hợp đồng</t>
        </is>
      </c>
      <c r="M10" s="334">
        <f>"COMMENT ON COLUMN PG_SILVER."&amp;G10&amp;"."&amp;H10&amp;" IS '"&amp;K10&amp;"';"</f>
        <v/>
      </c>
    </row>
    <row r="11" ht="14.25" customHeight="1" s="335">
      <c r="A11" s="433" t="inlineStr">
        <is>
          <t>PG_BRONZE</t>
        </is>
      </c>
      <c r="B11" s="415" t="inlineStr">
        <is>
          <t>SOURCE_SAOKE_CRB</t>
        </is>
      </c>
      <c r="C11" s="433" t="inlineStr">
        <is>
          <t>APP_ID</t>
        </is>
      </c>
      <c r="D11" s="433" t="inlineStr">
        <is>
          <t>1:1</t>
        </is>
      </c>
      <c r="E11" s="433" t="inlineStr">
        <is>
          <t>Asset Arrangement Interest Summary</t>
        </is>
      </c>
      <c r="F11" s="415" t="inlineStr">
        <is>
          <t>Arrangement Code</t>
        </is>
      </c>
      <c r="G11" s="433" t="inlineStr">
        <is>
          <t>AST_AR_INT_SMY</t>
        </is>
      </c>
      <c r="H11" s="443" t="inlineStr">
        <is>
          <t>AR_CODE</t>
        </is>
      </c>
      <c r="I11" s="415" t="inlineStr">
        <is>
          <t>VARCHAR2</t>
        </is>
      </c>
      <c r="J11" s="415" t="n">
        <v>40</v>
      </c>
      <c r="K11" s="433" t="inlineStr">
        <is>
          <t>Mã hợp đồng</t>
        </is>
      </c>
      <c r="M11" s="334">
        <f>"COMMENT ON COLUMN PG_SILVER."&amp;G11&amp;"."&amp;H11&amp;" IS '"&amp;K11&amp;"';"</f>
        <v/>
      </c>
    </row>
    <row r="12" ht="42.75" customHeight="1" s="335">
      <c r="A12" s="433" t="inlineStr">
        <is>
          <t>PG_BRONZE</t>
        </is>
      </c>
      <c r="B12" s="415" t="inlineStr">
        <is>
          <t>SOURCE_SAOKE_CRB</t>
        </is>
      </c>
      <c r="C12" s="433" t="inlineStr">
        <is>
          <t>APP_ID</t>
        </is>
      </c>
      <c r="D12" s="443" t="inlineStr">
        <is>
          <t>fn_hash("T24_LD_LOANS_AND_DEPOSITS", CASE WHEN a.APP_ID LIKE 'PDLD%' THEN SUBSTR(a.APP_ID, 3, 12) ELSE a.APP_ID END)</t>
        </is>
      </c>
      <c r="E12" s="433" t="inlineStr">
        <is>
          <t>Asset Arrangement Interest Summary</t>
        </is>
      </c>
      <c r="F12" s="433" t="inlineStr">
        <is>
          <t>Original Arrangement Id</t>
        </is>
      </c>
      <c r="G12" s="433" t="inlineStr">
        <is>
          <t>AST_AR_INT_SMY</t>
        </is>
      </c>
      <c r="H12" s="443" t="inlineStr">
        <is>
          <t>ORIG_AR_ID</t>
        </is>
      </c>
      <c r="I12" s="433" t="inlineStr">
        <is>
          <t>CHAR</t>
        </is>
      </c>
      <c r="J12" s="433" t="n">
        <v>32</v>
      </c>
      <c r="K12" s="433" t="inlineStr">
        <is>
          <t>ID hợp đồng gốc</t>
        </is>
      </c>
      <c r="M12" s="334">
        <f>"COMMENT ON COLUMN PG_SILVER."&amp;G12&amp;"."&amp;H12&amp;" IS '"&amp;K12&amp;"';"</f>
        <v/>
      </c>
    </row>
    <row r="13" ht="28.5" customHeight="1" s="335">
      <c r="A13" s="433" t="inlineStr">
        <is>
          <t>PG_BRONZE</t>
        </is>
      </c>
      <c r="B13" s="415" t="inlineStr">
        <is>
          <t>SOURCE_SAOKE_CRB</t>
        </is>
      </c>
      <c r="C13" s="433" t="inlineStr">
        <is>
          <t>APP_ID</t>
        </is>
      </c>
      <c r="D13" s="443" t="inlineStr">
        <is>
          <t>CASE WHEN a.APP_ID LIKE 'PDLD%' THEN SUBSTR(a.APP_ID, 3, 12) ELSE a.APP_ID END</t>
        </is>
      </c>
      <c r="E13" s="433" t="inlineStr">
        <is>
          <t>Asset Arrangement Interest Summary</t>
        </is>
      </c>
      <c r="F13" s="433" t="inlineStr">
        <is>
          <t>Original Arrangement Code</t>
        </is>
      </c>
      <c r="G13" s="433" t="inlineStr">
        <is>
          <t>AST_AR_INT_SMY</t>
        </is>
      </c>
      <c r="H13" s="443" t="inlineStr">
        <is>
          <t>ORIG_AR_CODE</t>
        </is>
      </c>
      <c r="I13" s="433" t="inlineStr">
        <is>
          <t>VARCHAR2</t>
        </is>
      </c>
      <c r="J13" s="433" t="n">
        <v>40</v>
      </c>
      <c r="K13" s="433" t="inlineStr">
        <is>
          <t>Mã hợp đồng gốc</t>
        </is>
      </c>
      <c r="M13" s="334">
        <f>"COMMENT ON COLUMN PG_SILVER."&amp;G13&amp;"."&amp;H13&amp;" IS '"&amp;K13&amp;"';"</f>
        <v/>
      </c>
    </row>
    <row r="14" ht="14.25" customHeight="1" s="335">
      <c r="A14" s="433" t="inlineStr">
        <is>
          <t>PG_BRONZE</t>
        </is>
      </c>
      <c r="B14" s="415" t="inlineStr">
        <is>
          <t>SOURCE_SAOKE_CRB</t>
        </is>
      </c>
      <c r="C14" s="433" t="inlineStr">
        <is>
          <t>SBV_CODE, AMOUNT_CUR</t>
        </is>
      </c>
      <c r="D14" s="433" t="inlineStr">
        <is>
          <t>SUM(CASE WHEN a.SBV_CODE LIKE '394%' OR a.SBV_CODE LIKE '94%' THEN ABS(NVL(a.AMOUNT_CUR, 0)) ELSE 0 END)</t>
        </is>
      </c>
      <c r="E14" s="433" t="inlineStr">
        <is>
          <t>Asset Arrangement Interest Summary</t>
        </is>
      </c>
      <c r="F14" s="433" t="inlineStr">
        <is>
          <t>Total Accrued Interest Amount FCY</t>
        </is>
      </c>
      <c r="G14" s="433" t="inlineStr">
        <is>
          <t>AST_AR_INT_SMY</t>
        </is>
      </c>
      <c r="H14" s="443" t="inlineStr">
        <is>
          <t>TOT_ACR_INT_AMT_FCY</t>
        </is>
      </c>
      <c r="I14" s="433" t="inlineStr">
        <is>
          <t>NUMBER</t>
        </is>
      </c>
      <c r="J14" s="433" t="n">
        <v>32.5</v>
      </c>
      <c r="K14" s="433" t="inlineStr">
        <is>
          <t>Lãi dự thu</t>
        </is>
      </c>
      <c r="M14" s="433">
        <f>"COMMENT ON COLUMN PG_SILVER."&amp;G14&amp;"."&amp;H14&amp;" IS '"&amp;K14&amp;"';"</f>
        <v/>
      </c>
      <c r="N14" s="433" t="inlineStr">
        <is>
          <t>Bọc SUM(...) và lọc SBV_CODE LIKE '394%' OR '94%' để không cộng nhầm dòng dư nợ gốc (SBV_CODE LIKE '2%') vào tổng lãi dự thu, đồng thời GROUP BY APP_ID tránh nhân bản TOT_INT_PAID_AMT_FCY.</t>
        </is>
      </c>
    </row>
    <row r="15" ht="14.25" customHeight="1" s="335">
      <c r="A15" s="433" t="inlineStr">
        <is>
          <t>PG_BRONZE</t>
        </is>
      </c>
      <c r="B15" s="415" t="inlineStr">
        <is>
          <t>T24CORE_STMT_ENTRY</t>
        </is>
      </c>
      <c r="C15" s="433" t="inlineStr">
        <is>
          <t>AMOUNT_LCY, AMOUNT_FCY</t>
        </is>
      </c>
      <c r="D15" s="433" t="inlineStr">
        <is>
          <t>NVL(b.SUM_REPAID_AMT, 0)</t>
        </is>
      </c>
      <c r="E15" s="433" t="inlineStr">
        <is>
          <t>Asset Arrangement Interest Summary</t>
        </is>
      </c>
      <c r="F15" s="433" t="inlineStr">
        <is>
          <t>Total Interest Paid Amount FCY</t>
        </is>
      </c>
      <c r="G15" s="433" t="inlineStr">
        <is>
          <t>AST_AR_INT_SMY</t>
        </is>
      </c>
      <c r="H15" s="443" t="inlineStr">
        <is>
          <t>TOT_INT_PAID_AMT_FCY</t>
        </is>
      </c>
      <c r="I15" s="433" t="inlineStr">
        <is>
          <t>NUMBER</t>
        </is>
      </c>
      <c r="J15" s="433" t="n">
        <v>32.5</v>
      </c>
      <c r="K15" s="433" t="inlineStr">
        <is>
          <t>Lãi đã trả</t>
        </is>
      </c>
      <c r="M15" s="334">
        <f>"COMMENT ON COLUMN PG_SILVER."&amp;G15&amp;"."&amp;H15&amp;" IS '"&amp;K15&amp;"';"</f>
        <v/>
      </c>
    </row>
    <row r="16" ht="28.5" customHeight="1" s="335">
      <c r="A16" s="433" t="inlineStr">
        <is>
          <t>PG_BRONZE</t>
        </is>
      </c>
      <c r="B16" s="415" t="inlineStr">
        <is>
          <t>SOURCE_SAOKE_CRB</t>
        </is>
      </c>
      <c r="C16" s="433" t="inlineStr">
        <is>
          <t>SBV_CODE, AMOUNT_CUR</t>
        </is>
      </c>
      <c r="D16" s="443" t="inlineStr">
        <is>
          <t>SUM(CASE WHEN a.SBV_CODE LIKE '394%' THEN ABS(NVL(a.AMOUNT_CUR, 0)) ELSE 0 END)</t>
        </is>
      </c>
      <c r="E16" s="433" t="inlineStr">
        <is>
          <t>Asset Arrangement Interest Summary</t>
        </is>
      </c>
      <c r="F16" s="433" t="inlineStr">
        <is>
          <t>Total Interest Due Amount FCY</t>
        </is>
      </c>
      <c r="G16" s="433" t="inlineStr">
        <is>
          <t>AST_AR_INT_SMY</t>
        </is>
      </c>
      <c r="H16" s="443" t="inlineStr">
        <is>
          <t>TOT_INT_DUE_AMT_FCY</t>
        </is>
      </c>
      <c r="I16" s="433" t="inlineStr">
        <is>
          <t>NUMBER</t>
        </is>
      </c>
      <c r="J16" s="433" t="n">
        <v>32.5</v>
      </c>
      <c r="K16" s="433" t="inlineStr">
        <is>
          <t>Lãi phải trả đến hạn</t>
        </is>
      </c>
      <c r="M16" s="334">
        <f>"COMMENT ON COLUMN PG_SILVER."&amp;G16&amp;"."&amp;H16&amp;" IS '"&amp;K16&amp;"';"</f>
        <v/>
      </c>
    </row>
    <row r="17" ht="28.5" customHeight="1" s="335">
      <c r="A17" s="433" t="inlineStr">
        <is>
          <t>PG_BRONZE</t>
        </is>
      </c>
      <c r="B17" s="415" t="inlineStr">
        <is>
          <t>SOURCE_SAOKE_CRB</t>
        </is>
      </c>
      <c r="C17" s="433" t="inlineStr">
        <is>
          <t>SBV_CODE, AMOUNT_CUR</t>
        </is>
      </c>
      <c r="D17" s="443" t="inlineStr">
        <is>
          <t>SUM(CASE WHEN a.SBV_CODE LIKE '94%' THEN ABS(NVL(a.AMOUNT_CUR, 0)) ELSE 0 END)</t>
        </is>
      </c>
      <c r="E17" s="433" t="inlineStr">
        <is>
          <t>Asset Arrangement Interest Summary</t>
        </is>
      </c>
      <c r="F17" s="433" t="inlineStr">
        <is>
          <t>Total Interest Overdue Amount FCY</t>
        </is>
      </c>
      <c r="G17" s="433" t="inlineStr">
        <is>
          <t>AST_AR_INT_SMY</t>
        </is>
      </c>
      <c r="H17" s="443" t="inlineStr">
        <is>
          <t>TOT_INT_ODUE_AMT_FCY</t>
        </is>
      </c>
      <c r="I17" s="433" t="inlineStr">
        <is>
          <t>NUMBER</t>
        </is>
      </c>
      <c r="J17" s="433" t="n">
        <v>32.5</v>
      </c>
      <c r="K17" s="433" t="inlineStr">
        <is>
          <t>Lãi phải trả quá hạn</t>
        </is>
      </c>
      <c r="M17" s="334">
        <f>"COMMENT ON COLUMN PG_SILVER."&amp;G17&amp;"."&amp;H17&amp;" IS '"&amp;K17&amp;"';"</f>
        <v/>
      </c>
    </row>
    <row r="18" ht="14.25" customHeight="1" s="335"/>
    <row r="19" ht="14.25" customHeight="1" s="335"/>
    <row r="20" ht="14.25" customHeight="1" s="335"/>
    <row r="21" ht="14.25" customHeight="1" s="335"/>
    <row r="22" ht="14.25" customHeight="1" s="335"/>
    <row r="23" ht="14.25" customHeight="1" s="335"/>
    <row r="24" ht="14.25" customHeight="1" s="335"/>
    <row r="25" ht="14.25" customHeight="1" s="335"/>
    <row r="26" ht="14.25" customHeight="1" s="335"/>
    <row r="27" ht="14.25" customHeight="1" s="335"/>
    <row r="28" ht="14.25" customHeight="1" s="335"/>
    <row r="29" ht="14.25" customHeight="1" s="335"/>
    <row r="30" ht="14.25" customHeight="1" s="335"/>
    <row r="31" ht="14.25" customHeight="1" s="335"/>
    <row r="32" ht="14.25" customHeight="1" s="335"/>
    <row r="33" ht="14.25" customHeight="1" s="335"/>
    <row r="34" ht="14.25" customHeight="1" s="335"/>
    <row r="35" ht="14.25" customHeight="1" s="335"/>
    <row r="36" ht="14.25" customHeight="1" s="335"/>
    <row r="37" ht="14.25" customHeight="1" s="335"/>
    <row r="38" ht="14.25" customHeight="1" s="335"/>
    <row r="39" ht="14.25" customHeight="1" s="335"/>
    <row r="40" ht="14.25" customHeight="1" s="335"/>
    <row r="41" ht="14.25" customHeight="1" s="335"/>
    <row r="42" ht="14.25" customHeight="1" s="335"/>
    <row r="43" ht="14.25" customHeight="1" s="335"/>
    <row r="44" ht="14.25" customHeight="1" s="335"/>
    <row r="45" ht="14.25" customHeight="1" s="335"/>
    <row r="46" ht="14.25" customHeight="1" s="335"/>
    <row r="47" ht="14.25" customHeight="1" s="335"/>
    <row r="48" ht="14.25" customHeight="1" s="335"/>
    <row r="49" ht="14.25" customHeight="1" s="335"/>
    <row r="50" ht="14.25" customHeight="1" s="335"/>
    <row r="51" ht="14.25" customHeight="1" s="335"/>
    <row r="52" ht="14.25" customHeight="1" s="335"/>
    <row r="53" ht="14.25" customHeight="1" s="335"/>
    <row r="54" ht="14.25" customHeight="1" s="335"/>
    <row r="55" ht="14.25" customHeight="1" s="335"/>
    <row r="56" ht="14.25" customHeight="1" s="335"/>
    <row r="57" ht="14.25" customHeight="1" s="335"/>
    <row r="58" ht="14.25" customHeight="1" s="335"/>
    <row r="59" ht="14.25" customHeight="1" s="335"/>
    <row r="60" ht="14.25" customHeight="1" s="335"/>
    <row r="61" ht="14.25" customHeight="1" s="335"/>
    <row r="62" ht="14.25" customHeight="1" s="335"/>
    <row r="63" ht="14.25" customHeight="1" s="335"/>
    <row r="64" ht="14.25" customHeight="1" s="335"/>
    <row r="65" ht="14.25" customHeight="1" s="335"/>
    <row r="66" ht="14.25" customHeight="1" s="335"/>
    <row r="67" ht="14.25" customHeight="1" s="335"/>
    <row r="68" ht="14.25" customHeight="1" s="335"/>
    <row r="69" ht="14.25" customHeight="1" s="335"/>
    <row r="70" ht="14.25" customHeight="1" s="335"/>
    <row r="71" ht="14.25" customHeight="1" s="335"/>
    <row r="72" ht="14.25" customHeight="1" s="335"/>
    <row r="73" ht="14.25" customHeight="1" s="335"/>
    <row r="74" ht="14.25" customHeight="1" s="335"/>
    <row r="75" ht="14.25" customHeight="1" s="335"/>
    <row r="76" ht="14.25" customHeight="1" s="335"/>
    <row r="77" ht="14.25" customHeight="1" s="335"/>
    <row r="78" ht="14.25" customHeight="1" s="335"/>
    <row r="79" ht="14.25" customHeight="1" s="335"/>
    <row r="80" ht="14.25" customHeight="1" s="335"/>
    <row r="81" ht="14.25" customHeight="1" s="335"/>
    <row r="82" ht="14.25" customHeight="1" s="335"/>
    <row r="83" ht="14.25" customHeight="1" s="335"/>
    <row r="84" ht="14.25" customHeight="1" s="335"/>
    <row r="85" ht="14.25" customHeight="1" s="335"/>
    <row r="86" ht="14.25" customHeight="1" s="335"/>
    <row r="87" ht="14.25" customHeight="1" s="335"/>
    <row r="88" ht="14.25" customHeight="1" s="335"/>
    <row r="89" ht="14.25" customHeight="1" s="335"/>
    <row r="90" ht="14.25" customHeight="1" s="335"/>
    <row r="91" ht="14.25" customHeight="1" s="335"/>
    <row r="92" ht="14.25" customHeight="1" s="335"/>
    <row r="93" ht="14.25" customHeight="1" s="335"/>
    <row r="94" ht="14.25" customHeight="1" s="335"/>
    <row r="95" ht="14.25" customHeight="1" s="335"/>
    <row r="96" ht="14.25" customHeight="1" s="335"/>
    <row r="97" ht="14.25" customHeight="1" s="335"/>
    <row r="98" ht="14.25" customHeight="1" s="335"/>
    <row r="99" ht="14.25" customHeight="1" s="335"/>
    <row r="100" ht="14.25" customHeight="1" s="335"/>
    <row r="101" ht="14.25" customHeight="1" s="335"/>
    <row r="102" ht="14.25" customHeight="1" s="335"/>
    <row r="103" ht="14.25" customHeight="1" s="335"/>
    <row r="104" ht="14.25" customHeight="1" s="335"/>
    <row r="105" ht="14.25" customHeight="1" s="335"/>
    <row r="106" ht="14.25" customHeight="1" s="335"/>
    <row r="107" ht="14.25" customHeight="1" s="335"/>
    <row r="108" ht="14.25" customHeight="1" s="335"/>
    <row r="109" ht="14.25" customHeight="1" s="335"/>
    <row r="110" ht="14.25" customHeight="1" s="335"/>
    <row r="111" ht="14.25" customHeight="1" s="335"/>
    <row r="112" ht="14.25" customHeight="1" s="335"/>
    <row r="113" ht="14.25" customHeight="1" s="335"/>
    <row r="114" ht="14.25" customHeight="1" s="335"/>
    <row r="115" ht="14.25" customHeight="1" s="335"/>
    <row r="116" ht="14.25" customHeight="1" s="335"/>
    <row r="117" ht="14.25" customHeight="1" s="335"/>
    <row r="118" ht="14.25" customHeight="1" s="335"/>
    <row r="119" ht="14.25" customHeight="1" s="335"/>
    <row r="120" ht="14.25" customHeight="1" s="335"/>
    <row r="121" ht="14.25" customHeight="1" s="335"/>
    <row r="122" ht="14.25" customHeight="1" s="335"/>
    <row r="123" ht="14.25" customHeight="1" s="335"/>
    <row r="124" ht="14.25" customHeight="1" s="335"/>
    <row r="125" ht="14.25" customHeight="1" s="335"/>
    <row r="126" ht="14.25" customHeight="1" s="335"/>
    <row r="127" ht="14.25" customHeight="1" s="335"/>
    <row r="128" ht="14.25" customHeight="1" s="335"/>
    <row r="129" ht="14.25" customHeight="1" s="335"/>
    <row r="130" ht="14.25" customHeight="1" s="335"/>
    <row r="131" ht="14.25" customHeight="1" s="335"/>
    <row r="132" ht="14.25" customHeight="1" s="335"/>
    <row r="133" ht="14.25" customHeight="1" s="335"/>
    <row r="134" ht="14.25" customHeight="1" s="335"/>
    <row r="135" ht="14.25" customHeight="1" s="335"/>
    <row r="136" ht="14.25" customHeight="1" s="335"/>
    <row r="137" ht="14.25" customHeight="1" s="335"/>
    <row r="138" ht="14.25" customHeight="1" s="335"/>
    <row r="139" ht="14.25" customHeight="1" s="335"/>
    <row r="140" ht="14.25" customHeight="1" s="335"/>
    <row r="141" ht="14.25" customHeight="1" s="335"/>
    <row r="142" ht="14.25" customHeight="1" s="335"/>
    <row r="143" ht="14.25" customHeight="1" s="335"/>
    <row r="144" ht="14.25" customHeight="1" s="335"/>
    <row r="145" ht="14.25" customHeight="1" s="335"/>
    <row r="146" ht="14.25" customHeight="1" s="335"/>
    <row r="147" ht="14.25" customHeight="1" s="335"/>
    <row r="148" ht="14.25" customHeight="1" s="335"/>
    <row r="149" ht="14.25" customHeight="1" s="335"/>
    <row r="150" ht="14.25" customHeight="1" s="335"/>
    <row r="151" ht="14.25" customHeight="1" s="335"/>
    <row r="152" ht="14.25" customHeight="1" s="335"/>
    <row r="153" ht="14.25" customHeight="1" s="335"/>
    <row r="154" ht="14.25" customHeight="1" s="335"/>
    <row r="155" ht="14.25" customHeight="1" s="335"/>
    <row r="156" ht="14.25" customHeight="1" s="335"/>
    <row r="157" ht="14.25" customHeight="1" s="335"/>
    <row r="158" ht="14.25" customHeight="1" s="335"/>
    <row r="159" ht="14.25" customHeight="1" s="335"/>
    <row r="160" ht="14.25" customHeight="1" s="335"/>
    <row r="161" ht="14.25" customHeight="1" s="335"/>
    <row r="162" ht="14.25" customHeight="1" s="335"/>
    <row r="163" ht="14.25" customHeight="1" s="335"/>
    <row r="164" ht="14.25" customHeight="1" s="335"/>
    <row r="165" ht="14.25" customHeight="1" s="335"/>
    <row r="166" ht="14.25" customHeight="1" s="335"/>
    <row r="167" ht="14.25" customHeight="1" s="335"/>
    <row r="168" ht="14.25" customHeight="1" s="335"/>
    <row r="169" ht="14.25" customHeight="1" s="335"/>
    <row r="170" ht="14.25" customHeight="1" s="335"/>
    <row r="171" ht="14.25" customHeight="1" s="335"/>
    <row r="172" ht="14.25" customHeight="1" s="335"/>
    <row r="173" ht="14.25" customHeight="1" s="335"/>
    <row r="174" ht="14.25" customHeight="1" s="335"/>
    <row r="175" ht="14.25" customHeight="1" s="335"/>
    <row r="176" ht="14.25" customHeight="1" s="335"/>
    <row r="177" ht="14.25" customHeight="1" s="335"/>
    <row r="178" ht="14.25" customHeight="1" s="335"/>
    <row r="179" ht="14.25" customHeight="1" s="335"/>
    <row r="180" ht="14.25" customHeight="1" s="335"/>
    <row r="181" ht="14.25" customHeight="1" s="335"/>
    <row r="182" ht="14.25" customHeight="1" s="335"/>
    <row r="183" ht="14.25" customHeight="1" s="335"/>
    <row r="184" ht="14.25" customHeight="1" s="335"/>
    <row r="185" ht="14.25" customHeight="1" s="335"/>
    <row r="186" ht="14.25" customHeight="1" s="335"/>
    <row r="187" ht="14.25" customHeight="1" s="335"/>
    <row r="188" ht="14.25" customHeight="1" s="335"/>
    <row r="189" ht="14.25" customHeight="1" s="335"/>
    <row r="190" ht="14.25" customHeight="1" s="335"/>
    <row r="191" ht="14.25" customHeight="1" s="335"/>
    <row r="192" ht="14.25" customHeight="1" s="335"/>
    <row r="193" ht="14.25" customHeight="1" s="335"/>
    <row r="194" ht="14.25" customHeight="1" s="335"/>
    <row r="195" ht="14.25" customHeight="1" s="335"/>
    <row r="196" ht="14.25" customHeight="1" s="335"/>
    <row r="197" ht="14.25" customHeight="1" s="335"/>
    <row r="198" ht="14.25" customHeight="1" s="335"/>
    <row r="199" ht="14.25" customHeight="1" s="335"/>
    <row r="200" ht="14.25" customHeight="1" s="335"/>
    <row r="201" ht="14.25" customHeight="1" s="335"/>
    <row r="202" ht="14.25" customHeight="1" s="335"/>
    <row r="203" ht="14.25" customHeight="1" s="335"/>
    <row r="204" ht="14.25" customHeight="1" s="335"/>
    <row r="205" ht="14.25" customHeight="1" s="335"/>
    <row r="206" ht="14.25" customHeight="1" s="335"/>
    <row r="207" ht="14.25" customHeight="1" s="335"/>
    <row r="208" ht="14.25" customHeight="1" s="335"/>
    <row r="209" ht="14.25" customHeight="1" s="335"/>
    <row r="210" ht="14.25" customHeight="1" s="335"/>
    <row r="211" ht="14.25" customHeight="1" s="335"/>
    <row r="212" ht="14.25" customHeight="1" s="335"/>
    <row r="213" ht="14.25" customHeight="1" s="335"/>
    <row r="214" ht="14.25" customHeight="1" s="335"/>
    <row r="215" ht="14.25" customHeight="1" s="335"/>
    <row r="216" ht="14.25" customHeight="1" s="335"/>
    <row r="217" ht="14.25" customHeight="1" s="335"/>
    <row r="218" ht="14.25" customHeight="1" s="335"/>
    <row r="219" ht="14.25" customHeight="1" s="335"/>
    <row r="220" ht="14.25" customHeight="1" s="335"/>
    <row r="221" ht="14.25" customHeight="1" s="335"/>
    <row r="222" ht="14.25" customHeight="1" s="335"/>
    <row r="223" ht="14.25" customHeight="1" s="335"/>
    <row r="224" ht="14.25" customHeight="1" s="335"/>
    <row r="225" ht="14.25" customHeight="1" s="335"/>
    <row r="226" ht="14.25" customHeight="1" s="335"/>
    <row r="227" ht="14.25" customHeight="1" s="335"/>
    <row r="228" ht="14.25" customHeight="1" s="335"/>
    <row r="229" ht="14.25" customHeight="1" s="335"/>
    <row r="230" ht="14.25" customHeight="1" s="335"/>
    <row r="231" ht="14.25" customHeight="1" s="335"/>
    <row r="232" ht="14.25" customHeight="1" s="335"/>
    <row r="233" ht="14.25" customHeight="1" s="335"/>
    <row r="234" ht="14.25" customHeight="1" s="335"/>
    <row r="235" ht="14.25" customHeight="1" s="335"/>
    <row r="236" ht="14.25" customHeight="1" s="335"/>
    <row r="237" ht="14.25" customHeight="1" s="335"/>
    <row r="238" ht="14.25" customHeight="1" s="335"/>
    <row r="239" ht="14.25" customHeight="1" s="335"/>
    <row r="240" ht="14.25" customHeight="1" s="335"/>
    <row r="241" ht="14.25" customHeight="1" s="335"/>
    <row r="242" ht="14.25" customHeight="1" s="335"/>
    <row r="243" ht="14.25" customHeight="1" s="335"/>
    <row r="244" ht="14.25" customHeight="1" s="335"/>
    <row r="245" ht="14.25" customHeight="1" s="335"/>
    <row r="246" ht="14.25" customHeight="1" s="335"/>
    <row r="247" ht="14.25" customHeight="1" s="335"/>
    <row r="248" ht="14.25" customHeight="1" s="335"/>
    <row r="249" ht="14.25" customHeight="1" s="335"/>
    <row r="250" ht="14.25" customHeight="1" s="335"/>
    <row r="251" ht="14.25" customHeight="1" s="335"/>
    <row r="252" ht="14.25" customHeight="1" s="335"/>
    <row r="253" ht="14.25" customHeight="1" s="335"/>
    <row r="254" ht="14.25" customHeight="1" s="335"/>
    <row r="255" ht="14.25" customHeight="1" s="335"/>
    <row r="256" ht="14.25" customHeight="1" s="335"/>
    <row r="257" ht="14.25" customHeight="1" s="335"/>
    <row r="258" ht="14.25" customHeight="1" s="335"/>
    <row r="259" ht="14.25" customHeight="1" s="335"/>
    <row r="260" ht="14.25" customHeight="1" s="335"/>
    <row r="261" ht="14.25" customHeight="1" s="335"/>
    <row r="262" ht="14.25" customHeight="1" s="335"/>
    <row r="263" ht="14.25" customHeight="1" s="335"/>
    <row r="264" ht="14.25" customHeight="1" s="335"/>
    <row r="265" ht="14.25" customHeight="1" s="335"/>
    <row r="266" ht="14.25" customHeight="1" s="335"/>
    <row r="267" ht="14.25" customHeight="1" s="335"/>
    <row r="268" ht="14.25" customHeight="1" s="335"/>
    <row r="269" ht="14.25" customHeight="1" s="335"/>
    <row r="270" ht="14.25" customHeight="1" s="335"/>
    <row r="271" ht="14.25" customHeight="1" s="335"/>
    <row r="272" ht="14.25" customHeight="1" s="335"/>
    <row r="273" ht="14.25" customHeight="1" s="335"/>
    <row r="274" ht="14.25" customHeight="1" s="335"/>
    <row r="275" ht="14.25" customHeight="1" s="335"/>
    <row r="276" ht="14.25" customHeight="1" s="335"/>
    <row r="277" ht="14.25" customHeight="1" s="335"/>
    <row r="278" ht="14.25" customHeight="1" s="335"/>
    <row r="279" ht="14.25" customHeight="1" s="335"/>
    <row r="280" ht="14.25" customHeight="1" s="335"/>
    <row r="281" ht="14.25" customHeight="1" s="335"/>
    <row r="282" ht="14.25" customHeight="1" s="335"/>
    <row r="283" ht="14.25" customHeight="1" s="335"/>
    <row r="284" ht="14.25" customHeight="1" s="335"/>
    <row r="285" ht="14.25" customHeight="1" s="335"/>
    <row r="286" ht="14.25" customHeight="1" s="335"/>
    <row r="287" ht="14.25" customHeight="1" s="335"/>
    <row r="288" ht="14.25" customHeight="1" s="335"/>
    <row r="289" ht="14.25" customHeight="1" s="335"/>
    <row r="290" ht="14.25" customHeight="1" s="335"/>
    <row r="291" ht="14.25" customHeight="1" s="335"/>
    <row r="292" ht="14.25" customHeight="1" s="335"/>
    <row r="293" ht="14.25" customHeight="1" s="335"/>
    <row r="294" ht="14.25" customHeight="1" s="335"/>
    <row r="295" ht="14.25" customHeight="1" s="335"/>
    <row r="296" ht="14.25" customHeight="1" s="335"/>
    <row r="297" ht="14.25" customHeight="1" s="335"/>
    <row r="298" ht="14.25" customHeight="1" s="335"/>
    <row r="299" ht="14.25" customHeight="1" s="335"/>
    <row r="300" ht="14.25" customHeight="1" s="335"/>
    <row r="301" ht="14.25" customHeight="1" s="335"/>
    <row r="302" ht="14.25" customHeight="1" s="335"/>
    <row r="303" ht="14.25" customHeight="1" s="335"/>
    <row r="304" ht="14.25" customHeight="1" s="335"/>
    <row r="305" ht="14.25" customHeight="1" s="335"/>
    <row r="306" ht="14.25" customHeight="1" s="335"/>
    <row r="307" ht="14.25" customHeight="1" s="335"/>
    <row r="308" ht="14.25" customHeight="1" s="335"/>
    <row r="309" ht="14.25" customHeight="1" s="335"/>
    <row r="310" ht="14.25" customHeight="1" s="335"/>
    <row r="311" ht="14.25" customHeight="1" s="335"/>
    <row r="312" ht="14.25" customHeight="1" s="335"/>
    <row r="313" ht="14.25" customHeight="1" s="335"/>
    <row r="314" ht="14.25" customHeight="1" s="335"/>
    <row r="315" ht="14.25" customHeight="1" s="335"/>
    <row r="316" ht="14.25" customHeight="1" s="335"/>
    <row r="317" ht="14.25" customHeight="1" s="335"/>
    <row r="318" ht="14.25" customHeight="1" s="335"/>
    <row r="319" ht="14.25" customHeight="1" s="335"/>
    <row r="320" ht="14.25" customHeight="1" s="335"/>
    <row r="321" ht="14.25" customHeight="1" s="335"/>
    <row r="322" ht="14.25" customHeight="1" s="335"/>
    <row r="323" ht="14.25" customHeight="1" s="335"/>
    <row r="324" ht="14.25" customHeight="1" s="335"/>
    <row r="325" ht="14.25" customHeight="1" s="335"/>
    <row r="326" ht="14.25" customHeight="1" s="335"/>
    <row r="327" ht="14.25" customHeight="1" s="335"/>
    <row r="328" ht="14.25" customHeight="1" s="335"/>
    <row r="329" ht="14.25" customHeight="1" s="335"/>
    <row r="330" ht="14.25" customHeight="1" s="335"/>
    <row r="331" ht="14.25" customHeight="1" s="335"/>
    <row r="332" ht="14.25" customHeight="1" s="335"/>
    <row r="333" ht="14.25" customHeight="1" s="335"/>
    <row r="334" ht="14.25" customHeight="1" s="335"/>
    <row r="335" ht="14.25" customHeight="1" s="335"/>
    <row r="336" ht="14.25" customHeight="1" s="335"/>
    <row r="337" ht="14.25" customHeight="1" s="335"/>
    <row r="338" ht="14.25" customHeight="1" s="335"/>
    <row r="339" ht="14.25" customHeight="1" s="335"/>
    <row r="340" ht="14.25" customHeight="1" s="335"/>
    <row r="341" ht="14.25" customHeight="1" s="335"/>
    <row r="342" ht="14.25" customHeight="1" s="335"/>
    <row r="343" ht="14.25" customHeight="1" s="335"/>
    <row r="344" ht="14.25" customHeight="1" s="335"/>
    <row r="345" ht="14.25" customHeight="1" s="335"/>
    <row r="346" ht="14.25" customHeight="1" s="335"/>
    <row r="347" ht="14.25" customHeight="1" s="335"/>
    <row r="348" ht="14.25" customHeight="1" s="335"/>
    <row r="349" ht="14.25" customHeight="1" s="335"/>
    <row r="350" ht="14.25" customHeight="1" s="335"/>
    <row r="351" ht="14.25" customHeight="1" s="335"/>
    <row r="352" ht="14.25" customHeight="1" s="335"/>
    <row r="353" ht="14.25" customHeight="1" s="335"/>
    <row r="354" ht="14.25" customHeight="1" s="335"/>
    <row r="355" ht="14.25" customHeight="1" s="335"/>
    <row r="356" ht="14.25" customHeight="1" s="335"/>
    <row r="357" ht="14.25" customHeight="1" s="335"/>
    <row r="358" ht="14.25" customHeight="1" s="335"/>
    <row r="359" ht="14.25" customHeight="1" s="335"/>
    <row r="360" ht="14.25" customHeight="1" s="335"/>
    <row r="361" ht="14.25" customHeight="1" s="335"/>
    <row r="362" ht="14.25" customHeight="1" s="335"/>
    <row r="363" ht="14.25" customHeight="1" s="335"/>
    <row r="364" ht="14.25" customHeight="1" s="335"/>
    <row r="365" ht="14.25" customHeight="1" s="335"/>
    <row r="366" ht="14.25" customHeight="1" s="335"/>
    <row r="367" ht="14.25" customHeight="1" s="335"/>
    <row r="368" ht="14.25" customHeight="1" s="335"/>
    <row r="369" ht="14.25" customHeight="1" s="335"/>
    <row r="370" ht="14.25" customHeight="1" s="335"/>
    <row r="371" ht="14.25" customHeight="1" s="335"/>
    <row r="372" ht="14.25" customHeight="1" s="335"/>
    <row r="373" ht="14.25" customHeight="1" s="335"/>
    <row r="374" ht="14.25" customHeight="1" s="335"/>
    <row r="375" ht="14.25" customHeight="1" s="335"/>
    <row r="376" ht="14.25" customHeight="1" s="335"/>
    <row r="377" ht="14.25" customHeight="1" s="335"/>
    <row r="378" ht="14.25" customHeight="1" s="335"/>
    <row r="379" ht="14.25" customHeight="1" s="335"/>
    <row r="380" ht="14.25" customHeight="1" s="335"/>
    <row r="381" ht="14.25" customHeight="1" s="335"/>
    <row r="382" ht="14.25" customHeight="1" s="335"/>
    <row r="383" ht="14.25" customHeight="1" s="335"/>
    <row r="384" ht="14.25" customHeight="1" s="335"/>
    <row r="385" ht="14.25" customHeight="1" s="335"/>
    <row r="386" ht="14.25" customHeight="1" s="335"/>
    <row r="387" ht="14.25" customHeight="1" s="335"/>
    <row r="388" ht="14.25" customHeight="1" s="335"/>
    <row r="389" ht="14.25" customHeight="1" s="335"/>
    <row r="390" ht="14.25" customHeight="1" s="335"/>
    <row r="391" ht="14.25" customHeight="1" s="335"/>
    <row r="392" ht="14.25" customHeight="1" s="335"/>
    <row r="393" ht="14.25" customHeight="1" s="335"/>
    <row r="394" ht="14.25" customHeight="1" s="335"/>
    <row r="395" ht="14.25" customHeight="1" s="335"/>
    <row r="396" ht="14.25" customHeight="1" s="335"/>
    <row r="397" ht="14.25" customHeight="1" s="335"/>
    <row r="398" ht="14.25" customHeight="1" s="335"/>
    <row r="399" ht="14.25" customHeight="1" s="335"/>
    <row r="400" ht="14.25" customHeight="1" s="335"/>
    <row r="401" ht="14.25" customHeight="1" s="335"/>
    <row r="402" ht="14.25" customHeight="1" s="335"/>
    <row r="403" ht="14.25" customHeight="1" s="335"/>
    <row r="404" ht="14.25" customHeight="1" s="335"/>
    <row r="405" ht="14.25" customHeight="1" s="335"/>
    <row r="406" ht="14.25" customHeight="1" s="335"/>
    <row r="407" ht="14.25" customHeight="1" s="335"/>
    <row r="408" ht="14.25" customHeight="1" s="335"/>
    <row r="409" ht="14.25" customHeight="1" s="335"/>
    <row r="410" ht="14.25" customHeight="1" s="335"/>
    <row r="411" ht="14.25" customHeight="1" s="335"/>
    <row r="412" ht="14.25" customHeight="1" s="335"/>
    <row r="413" ht="14.25" customHeight="1" s="335"/>
    <row r="414" ht="14.25" customHeight="1" s="335"/>
    <row r="415" ht="14.25" customHeight="1" s="335"/>
    <row r="416" ht="14.25" customHeight="1" s="335"/>
    <row r="417" ht="14.25" customHeight="1" s="335"/>
    <row r="418" ht="14.25" customHeight="1" s="335"/>
    <row r="419" ht="14.25" customHeight="1" s="335"/>
    <row r="420" ht="14.25" customHeight="1" s="335"/>
    <row r="421" ht="14.25" customHeight="1" s="335"/>
    <row r="422" ht="14.25" customHeight="1" s="335"/>
    <row r="423" ht="14.25" customHeight="1" s="335"/>
    <row r="424" ht="14.25" customHeight="1" s="335"/>
    <row r="425" ht="14.25" customHeight="1" s="335"/>
    <row r="426" ht="14.25" customHeight="1" s="335"/>
    <row r="427" ht="14.25" customHeight="1" s="335"/>
    <row r="428" ht="14.25" customHeight="1" s="335"/>
    <row r="429" ht="14.25" customHeight="1" s="335"/>
    <row r="430" ht="14.25" customHeight="1" s="335"/>
    <row r="431" ht="14.25" customHeight="1" s="335"/>
    <row r="432" ht="14.25" customHeight="1" s="335"/>
    <row r="433" ht="14.25" customHeight="1" s="335"/>
    <row r="434" ht="14.25" customHeight="1" s="335"/>
    <row r="435" ht="14.25" customHeight="1" s="335"/>
    <row r="436" ht="14.25" customHeight="1" s="335"/>
    <row r="437" ht="14.25" customHeight="1" s="335"/>
    <row r="438" ht="14.25" customHeight="1" s="335"/>
    <row r="439" ht="14.25" customHeight="1" s="335"/>
    <row r="440" ht="14.25" customHeight="1" s="335"/>
    <row r="441" ht="14.25" customHeight="1" s="335"/>
    <row r="442" ht="14.25" customHeight="1" s="335"/>
    <row r="443" ht="14.25" customHeight="1" s="335"/>
    <row r="444" ht="14.25" customHeight="1" s="335"/>
    <row r="445" ht="14.25" customHeight="1" s="335"/>
    <row r="446" ht="14.25" customHeight="1" s="335"/>
    <row r="447" ht="14.25" customHeight="1" s="335"/>
    <row r="448" ht="14.25" customHeight="1" s="335"/>
    <row r="449" ht="14.25" customHeight="1" s="335"/>
    <row r="450" ht="14.25" customHeight="1" s="335"/>
    <row r="451" ht="14.25" customHeight="1" s="335"/>
    <row r="452" ht="14.25" customHeight="1" s="335"/>
    <row r="453" ht="14.25" customHeight="1" s="335"/>
    <row r="454" ht="14.25" customHeight="1" s="335"/>
    <row r="455" ht="14.25" customHeight="1" s="335"/>
    <row r="456" ht="14.25" customHeight="1" s="335"/>
    <row r="457" ht="14.25" customHeight="1" s="335"/>
    <row r="458" ht="14.25" customHeight="1" s="335"/>
    <row r="459" ht="14.25" customHeight="1" s="335"/>
    <row r="460" ht="14.25" customHeight="1" s="335"/>
    <row r="461" ht="14.25" customHeight="1" s="335"/>
    <row r="462" ht="14.25" customHeight="1" s="335"/>
    <row r="463" ht="14.25" customHeight="1" s="335"/>
    <row r="464" ht="14.25" customHeight="1" s="335"/>
    <row r="465" ht="14.25" customHeight="1" s="335"/>
    <row r="466" ht="14.25" customHeight="1" s="335"/>
    <row r="467" ht="14.25" customHeight="1" s="335"/>
    <row r="468" ht="14.25" customHeight="1" s="335"/>
    <row r="469" ht="14.25" customHeight="1" s="335"/>
    <row r="470" ht="14.25" customHeight="1" s="335"/>
    <row r="471" ht="14.25" customHeight="1" s="335"/>
    <row r="472" ht="14.25" customHeight="1" s="335"/>
    <row r="473" ht="14.25" customHeight="1" s="335"/>
    <row r="474" ht="14.25" customHeight="1" s="335"/>
    <row r="475" ht="14.25" customHeight="1" s="335"/>
    <row r="476" ht="14.25" customHeight="1" s="335"/>
    <row r="477" ht="14.25" customHeight="1" s="335"/>
    <row r="478" ht="14.25" customHeight="1" s="335"/>
    <row r="479" ht="14.25" customHeight="1" s="335"/>
    <row r="480" ht="14.25" customHeight="1" s="335"/>
    <row r="481" ht="14.25" customHeight="1" s="335"/>
    <row r="482" ht="14.25" customHeight="1" s="335"/>
    <row r="483" ht="14.25" customHeight="1" s="335"/>
    <row r="484" ht="14.25" customHeight="1" s="335"/>
    <row r="485" ht="14.25" customHeight="1" s="335"/>
    <row r="486" ht="14.25" customHeight="1" s="335"/>
    <row r="487" ht="14.25" customHeight="1" s="335"/>
    <row r="488" ht="14.25" customHeight="1" s="335"/>
    <row r="489" ht="14.25" customHeight="1" s="335"/>
    <row r="490" ht="14.25" customHeight="1" s="335"/>
    <row r="491" ht="14.25" customHeight="1" s="335"/>
    <row r="492" ht="14.25" customHeight="1" s="335"/>
    <row r="493" ht="14.25" customHeight="1" s="335"/>
    <row r="494" ht="14.25" customHeight="1" s="335"/>
    <row r="495" ht="14.25" customHeight="1" s="335"/>
    <row r="496" ht="14.25" customHeight="1" s="335"/>
    <row r="497" ht="14.25" customHeight="1" s="335"/>
    <row r="498" ht="14.25" customHeight="1" s="335"/>
    <row r="499" ht="14.25" customHeight="1" s="335"/>
    <row r="500" ht="14.25" customHeight="1" s="335"/>
    <row r="501" ht="14.25" customHeight="1" s="335"/>
    <row r="502" ht="14.25" customHeight="1" s="335"/>
    <row r="503" ht="14.25" customHeight="1" s="335"/>
    <row r="504" ht="14.25" customHeight="1" s="335"/>
    <row r="505" ht="14.25" customHeight="1" s="335"/>
    <row r="506" ht="14.25" customHeight="1" s="335"/>
    <row r="507" ht="14.25" customHeight="1" s="335"/>
    <row r="508" ht="14.25" customHeight="1" s="335"/>
    <row r="509" ht="14.25" customHeight="1" s="335"/>
    <row r="510" ht="14.25" customHeight="1" s="335"/>
    <row r="511" ht="14.25" customHeight="1" s="335"/>
    <row r="512" ht="14.25" customHeight="1" s="335"/>
    <row r="513" ht="14.25" customHeight="1" s="335"/>
    <row r="514" ht="14.25" customHeight="1" s="335"/>
    <row r="515" ht="14.25" customHeight="1" s="335"/>
    <row r="516" ht="14.25" customHeight="1" s="335"/>
    <row r="517" ht="14.25" customHeight="1" s="335"/>
    <row r="518" ht="14.25" customHeight="1" s="335"/>
    <row r="519" ht="14.25" customHeight="1" s="335"/>
    <row r="520" ht="14.25" customHeight="1" s="335"/>
    <row r="521" ht="14.25" customHeight="1" s="335"/>
    <row r="522" ht="14.25" customHeight="1" s="335"/>
    <row r="523" ht="14.25" customHeight="1" s="335"/>
    <row r="524" ht="14.25" customHeight="1" s="335"/>
    <row r="525" ht="14.25" customHeight="1" s="335"/>
    <row r="526" ht="14.25" customHeight="1" s="335"/>
    <row r="527" ht="14.25" customHeight="1" s="335"/>
    <row r="528" ht="14.25" customHeight="1" s="335"/>
    <row r="529" ht="14.25" customHeight="1" s="335"/>
    <row r="530" ht="14.25" customHeight="1" s="335"/>
    <row r="531" ht="14.25" customHeight="1" s="335"/>
    <row r="532" ht="14.25" customHeight="1" s="335"/>
    <row r="533" ht="14.25" customHeight="1" s="335"/>
    <row r="534" ht="14.25" customHeight="1" s="335"/>
    <row r="535" ht="14.25" customHeight="1" s="335"/>
    <row r="536" ht="14.25" customHeight="1" s="335"/>
    <row r="537" ht="14.25" customHeight="1" s="335"/>
    <row r="538" ht="14.25" customHeight="1" s="335"/>
    <row r="539" ht="14.25" customHeight="1" s="335"/>
    <row r="540" ht="14.25" customHeight="1" s="335"/>
    <row r="541" ht="14.25" customHeight="1" s="335"/>
    <row r="542" ht="14.25" customHeight="1" s="335"/>
    <row r="543" ht="14.25" customHeight="1" s="335"/>
    <row r="544" ht="14.25" customHeight="1" s="335"/>
    <row r="545" ht="14.25" customHeight="1" s="335"/>
    <row r="546" ht="14.25" customHeight="1" s="335"/>
    <row r="547" ht="14.25" customHeight="1" s="335"/>
    <row r="548" ht="14.25" customHeight="1" s="335"/>
    <row r="549" ht="14.25" customHeight="1" s="335"/>
    <row r="550" ht="14.25" customHeight="1" s="335"/>
    <row r="551" ht="14.25" customHeight="1" s="335"/>
    <row r="552" ht="14.25" customHeight="1" s="335"/>
    <row r="553" ht="14.25" customHeight="1" s="335"/>
    <row r="554" ht="14.25" customHeight="1" s="335"/>
    <row r="555" ht="14.25" customHeight="1" s="335"/>
    <row r="556" ht="14.25" customHeight="1" s="335"/>
    <row r="557" ht="14.25" customHeight="1" s="335"/>
    <row r="558" ht="14.25" customHeight="1" s="335"/>
    <row r="559" ht="14.25" customHeight="1" s="335"/>
    <row r="560" ht="14.25" customHeight="1" s="335"/>
    <row r="561" ht="14.25" customHeight="1" s="335"/>
    <row r="562" ht="14.25" customHeight="1" s="335"/>
    <row r="563" ht="14.25" customHeight="1" s="335"/>
    <row r="564" ht="14.25" customHeight="1" s="335"/>
    <row r="565" ht="14.25" customHeight="1" s="335"/>
    <row r="566" ht="14.25" customHeight="1" s="335"/>
    <row r="567" ht="14.25" customHeight="1" s="335"/>
    <row r="568" ht="14.25" customHeight="1" s="335"/>
    <row r="569" ht="14.25" customHeight="1" s="335"/>
    <row r="570" ht="14.25" customHeight="1" s="335"/>
    <row r="571" ht="14.25" customHeight="1" s="335"/>
    <row r="572" ht="14.25" customHeight="1" s="335"/>
    <row r="573" ht="14.25" customHeight="1" s="335"/>
    <row r="574" ht="14.25" customHeight="1" s="335"/>
    <row r="575" ht="14.25" customHeight="1" s="335"/>
    <row r="576" ht="14.25" customHeight="1" s="335"/>
    <row r="577" ht="14.25" customHeight="1" s="335"/>
    <row r="578" ht="14.25" customHeight="1" s="335"/>
    <row r="579" ht="14.25" customHeight="1" s="335"/>
    <row r="580" ht="14.25" customHeight="1" s="335"/>
    <row r="581" ht="14.25" customHeight="1" s="335"/>
    <row r="582" ht="14.25" customHeight="1" s="335"/>
    <row r="583" ht="14.25" customHeight="1" s="335"/>
    <row r="584" ht="14.25" customHeight="1" s="335"/>
    <row r="585" ht="14.25" customHeight="1" s="335"/>
    <row r="586" ht="14.25" customHeight="1" s="335"/>
    <row r="587" ht="14.25" customHeight="1" s="335"/>
    <row r="588" ht="14.25" customHeight="1" s="335"/>
    <row r="589" ht="14.25" customHeight="1" s="335"/>
    <row r="590" ht="14.25" customHeight="1" s="335"/>
    <row r="591" ht="14.25" customHeight="1" s="335"/>
    <row r="592" ht="14.25" customHeight="1" s="335"/>
    <row r="593" ht="14.25" customHeight="1" s="335"/>
    <row r="594" ht="14.25" customHeight="1" s="335"/>
    <row r="595" ht="14.25" customHeight="1" s="335"/>
    <row r="596" ht="14.25" customHeight="1" s="335"/>
    <row r="597" ht="14.25" customHeight="1" s="335"/>
    <row r="598" ht="14.25" customHeight="1" s="335"/>
    <row r="599" ht="14.25" customHeight="1" s="335"/>
    <row r="600" ht="14.25" customHeight="1" s="335"/>
    <row r="601" ht="14.25" customHeight="1" s="335"/>
    <row r="602" ht="14.25" customHeight="1" s="335"/>
    <row r="603" ht="14.25" customHeight="1" s="335"/>
    <row r="604" ht="14.25" customHeight="1" s="335"/>
    <row r="605" ht="14.25" customHeight="1" s="335"/>
    <row r="606" ht="14.25" customHeight="1" s="335"/>
    <row r="607" ht="14.25" customHeight="1" s="335"/>
    <row r="608" ht="14.25" customHeight="1" s="335"/>
    <row r="609" ht="14.25" customHeight="1" s="335"/>
    <row r="610" ht="14.25" customHeight="1" s="335"/>
    <row r="611" ht="14.25" customHeight="1" s="335"/>
    <row r="612" ht="14.25" customHeight="1" s="335"/>
    <row r="613" ht="14.25" customHeight="1" s="335"/>
    <row r="614" ht="14.25" customHeight="1" s="335"/>
    <row r="615" ht="14.25" customHeight="1" s="335"/>
    <row r="616" ht="14.25" customHeight="1" s="335"/>
    <row r="617" ht="14.25" customHeight="1" s="335"/>
    <row r="618" ht="14.25" customHeight="1" s="335"/>
    <row r="619" ht="14.25" customHeight="1" s="335"/>
    <row r="620" ht="14.25" customHeight="1" s="335"/>
    <row r="621" ht="14.25" customHeight="1" s="335"/>
    <row r="622" ht="14.25" customHeight="1" s="335"/>
    <row r="623" ht="14.25" customHeight="1" s="335"/>
    <row r="624" ht="14.25" customHeight="1" s="335"/>
    <row r="625" ht="14.25" customHeight="1" s="335"/>
    <row r="626" ht="14.25" customHeight="1" s="335"/>
    <row r="627" ht="14.25" customHeight="1" s="335"/>
    <row r="628" ht="14.25" customHeight="1" s="335"/>
    <row r="629" ht="14.25" customHeight="1" s="335"/>
    <row r="630" ht="14.25" customHeight="1" s="335"/>
    <row r="631" ht="14.25" customHeight="1" s="335"/>
    <row r="632" ht="14.25" customHeight="1" s="335"/>
    <row r="633" ht="14.25" customHeight="1" s="335"/>
    <row r="634" ht="14.25" customHeight="1" s="335"/>
    <row r="635" ht="14.25" customHeight="1" s="335"/>
    <row r="636" ht="14.25" customHeight="1" s="335"/>
    <row r="637" ht="14.25" customHeight="1" s="335"/>
    <row r="638" ht="14.25" customHeight="1" s="335"/>
    <row r="639" ht="14.25" customHeight="1" s="335"/>
    <row r="640" ht="14.25" customHeight="1" s="335"/>
    <row r="641" ht="14.25" customHeight="1" s="335"/>
    <row r="642" ht="14.25" customHeight="1" s="335"/>
    <row r="643" ht="14.25" customHeight="1" s="335"/>
    <row r="644" ht="14.25" customHeight="1" s="335"/>
    <row r="645" ht="14.25" customHeight="1" s="335"/>
    <row r="646" ht="14.25" customHeight="1" s="335"/>
    <row r="647" ht="14.25" customHeight="1" s="335"/>
    <row r="648" ht="14.25" customHeight="1" s="335"/>
    <row r="649" ht="14.25" customHeight="1" s="335"/>
    <row r="650" ht="14.25" customHeight="1" s="335"/>
    <row r="651" ht="14.25" customHeight="1" s="335"/>
    <row r="652" ht="14.25" customHeight="1" s="335"/>
    <row r="653" ht="14.25" customHeight="1" s="335"/>
    <row r="654" ht="14.25" customHeight="1" s="335"/>
    <row r="655" ht="14.25" customHeight="1" s="335"/>
    <row r="656" ht="14.25" customHeight="1" s="335"/>
    <row r="657" ht="14.25" customHeight="1" s="335"/>
    <row r="658" ht="14.25" customHeight="1" s="335"/>
    <row r="659" ht="14.25" customHeight="1" s="335"/>
    <row r="660" ht="14.25" customHeight="1" s="335"/>
    <row r="661" ht="14.25" customHeight="1" s="335"/>
    <row r="662" ht="14.25" customHeight="1" s="335"/>
    <row r="663" ht="14.25" customHeight="1" s="335"/>
    <row r="664" ht="14.25" customHeight="1" s="335"/>
    <row r="665" ht="14.25" customHeight="1" s="335"/>
    <row r="666" ht="14.25" customHeight="1" s="335"/>
    <row r="667" ht="14.25" customHeight="1" s="335"/>
    <row r="668" ht="14.25" customHeight="1" s="335"/>
    <row r="669" ht="14.25" customHeight="1" s="335"/>
    <row r="670" ht="14.25" customHeight="1" s="335"/>
    <row r="671" ht="14.25" customHeight="1" s="335"/>
    <row r="672" ht="14.25" customHeight="1" s="335"/>
    <row r="673" ht="14.25" customHeight="1" s="335"/>
    <row r="674" ht="14.25" customHeight="1" s="335"/>
    <row r="675" ht="14.25" customHeight="1" s="335"/>
    <row r="676" ht="14.25" customHeight="1" s="335"/>
    <row r="677" ht="14.25" customHeight="1" s="335"/>
    <row r="678" ht="14.25" customHeight="1" s="335"/>
    <row r="679" ht="14.25" customHeight="1" s="335"/>
    <row r="680" ht="14.25" customHeight="1" s="335"/>
    <row r="681" ht="14.25" customHeight="1" s="335"/>
    <row r="682" ht="14.25" customHeight="1" s="335"/>
    <row r="683" ht="14.25" customHeight="1" s="335"/>
    <row r="684" ht="14.25" customHeight="1" s="335"/>
    <row r="685" ht="14.25" customHeight="1" s="335"/>
    <row r="686" ht="14.25" customHeight="1" s="335"/>
    <row r="687" ht="14.25" customHeight="1" s="335"/>
    <row r="688" ht="14.25" customHeight="1" s="335"/>
    <row r="689" ht="14.25" customHeight="1" s="335"/>
    <row r="690" ht="14.25" customHeight="1" s="335"/>
    <row r="691" ht="14.25" customHeight="1" s="335"/>
    <row r="692" ht="14.25" customHeight="1" s="335"/>
    <row r="693" ht="14.25" customHeight="1" s="335"/>
    <row r="694" ht="14.25" customHeight="1" s="335"/>
    <row r="695" ht="14.25" customHeight="1" s="335"/>
    <row r="696" ht="14.25" customHeight="1" s="335"/>
    <row r="697" ht="14.25" customHeight="1" s="335"/>
    <row r="698" ht="14.25" customHeight="1" s="335"/>
    <row r="699" ht="14.25" customHeight="1" s="335"/>
    <row r="700" ht="14.25" customHeight="1" s="335"/>
    <row r="701" ht="14.25" customHeight="1" s="335"/>
    <row r="702" ht="14.25" customHeight="1" s="335"/>
    <row r="703" ht="14.25" customHeight="1" s="335"/>
    <row r="704" ht="14.25" customHeight="1" s="335"/>
    <row r="705" ht="14.25" customHeight="1" s="335"/>
    <row r="706" ht="14.25" customHeight="1" s="335"/>
    <row r="707" ht="14.25" customHeight="1" s="335"/>
    <row r="708" ht="14.25" customHeight="1" s="335"/>
    <row r="709" ht="14.25" customHeight="1" s="335"/>
    <row r="710" ht="14.25" customHeight="1" s="335"/>
    <row r="711" ht="14.25" customHeight="1" s="335"/>
    <row r="712" ht="14.25" customHeight="1" s="335"/>
    <row r="713" ht="14.25" customHeight="1" s="335"/>
    <row r="714" ht="14.25" customHeight="1" s="335"/>
    <row r="715" ht="14.25" customHeight="1" s="335"/>
    <row r="716" ht="14.25" customHeight="1" s="335"/>
    <row r="717" ht="14.25" customHeight="1" s="335"/>
    <row r="718" ht="14.25" customHeight="1" s="335"/>
    <row r="719" ht="14.25" customHeight="1" s="335"/>
    <row r="720" ht="14.25" customHeight="1" s="335"/>
    <row r="721" ht="14.25" customHeight="1" s="335"/>
    <row r="722" ht="14.25" customHeight="1" s="335"/>
    <row r="723" ht="14.25" customHeight="1" s="335"/>
    <row r="724" ht="14.25" customHeight="1" s="335"/>
    <row r="725" ht="14.25" customHeight="1" s="335"/>
    <row r="726" ht="14.25" customHeight="1" s="335"/>
    <row r="727" ht="14.25" customHeight="1" s="335"/>
    <row r="728" ht="14.25" customHeight="1" s="335"/>
    <row r="729" ht="14.25" customHeight="1" s="335"/>
    <row r="730" ht="14.25" customHeight="1" s="335"/>
    <row r="731" ht="14.25" customHeight="1" s="335"/>
    <row r="732" ht="14.25" customHeight="1" s="335"/>
    <row r="733" ht="14.25" customHeight="1" s="335"/>
    <row r="734" ht="14.25" customHeight="1" s="335"/>
    <row r="735" ht="14.25" customHeight="1" s="335"/>
    <row r="736" ht="14.25" customHeight="1" s="335"/>
    <row r="737" ht="14.25" customHeight="1" s="335"/>
    <row r="738" ht="14.25" customHeight="1" s="335"/>
    <row r="739" ht="14.25" customHeight="1" s="335"/>
    <row r="740" ht="14.25" customHeight="1" s="335"/>
    <row r="741" ht="14.25" customHeight="1" s="335"/>
    <row r="742" ht="14.25" customHeight="1" s="335"/>
    <row r="743" ht="14.25" customHeight="1" s="335"/>
    <row r="744" ht="14.25" customHeight="1" s="335"/>
    <row r="745" ht="14.25" customHeight="1" s="335"/>
    <row r="746" ht="14.25" customHeight="1" s="335"/>
    <row r="747" ht="14.25" customHeight="1" s="335"/>
    <row r="748" ht="14.25" customHeight="1" s="335"/>
    <row r="749" ht="14.25" customHeight="1" s="335"/>
    <row r="750" ht="14.25" customHeight="1" s="335"/>
    <row r="751" ht="14.25" customHeight="1" s="335"/>
    <row r="752" ht="14.25" customHeight="1" s="335"/>
    <row r="753" ht="14.25" customHeight="1" s="335"/>
    <row r="754" ht="14.25" customHeight="1" s="335"/>
    <row r="755" ht="14.25" customHeight="1" s="335"/>
    <row r="756" ht="14.25" customHeight="1" s="335"/>
    <row r="757" ht="14.25" customHeight="1" s="335"/>
    <row r="758" ht="14.25" customHeight="1" s="335"/>
    <row r="759" ht="14.25" customHeight="1" s="335"/>
    <row r="760" ht="14.25" customHeight="1" s="335"/>
    <row r="761" ht="14.25" customHeight="1" s="335"/>
    <row r="762" ht="14.25" customHeight="1" s="335"/>
    <row r="763" ht="14.25" customHeight="1" s="335"/>
    <row r="764" ht="14.25" customHeight="1" s="335"/>
    <row r="765" ht="14.25" customHeight="1" s="335"/>
    <row r="766" ht="14.25" customHeight="1" s="335"/>
    <row r="767" ht="14.25" customHeight="1" s="335"/>
    <row r="768" ht="14.25" customHeight="1" s="335"/>
    <row r="769" ht="14.25" customHeight="1" s="335"/>
    <row r="770" ht="14.25" customHeight="1" s="335"/>
    <row r="771" ht="14.25" customHeight="1" s="335"/>
    <row r="772" ht="14.25" customHeight="1" s="335"/>
    <row r="773" ht="14.25" customHeight="1" s="335"/>
    <row r="774" ht="14.25" customHeight="1" s="335"/>
    <row r="775" ht="14.25" customHeight="1" s="335"/>
    <row r="776" ht="14.25" customHeight="1" s="335"/>
    <row r="777" ht="14.25" customHeight="1" s="335"/>
    <row r="778" ht="14.25" customHeight="1" s="335"/>
    <row r="779" ht="14.25" customHeight="1" s="335"/>
    <row r="780" ht="14.25" customHeight="1" s="335"/>
    <row r="781" ht="14.25" customHeight="1" s="335"/>
    <row r="782" ht="14.25" customHeight="1" s="335"/>
    <row r="783" ht="14.25" customHeight="1" s="335"/>
    <row r="784" ht="14.25" customHeight="1" s="335"/>
    <row r="785" ht="14.25" customHeight="1" s="335"/>
    <row r="786" ht="14.25" customHeight="1" s="335"/>
    <row r="787" ht="14.25" customHeight="1" s="335"/>
    <row r="788" ht="14.25" customHeight="1" s="335"/>
    <row r="789" ht="14.25" customHeight="1" s="335"/>
    <row r="790" ht="14.25" customHeight="1" s="335"/>
    <row r="791" ht="14.25" customHeight="1" s="335"/>
    <row r="792" ht="14.25" customHeight="1" s="335"/>
    <row r="793" ht="14.25" customHeight="1" s="335"/>
    <row r="794" ht="14.25" customHeight="1" s="335"/>
    <row r="795" ht="14.25" customHeight="1" s="335"/>
    <row r="796" ht="14.25" customHeight="1" s="335"/>
    <row r="797" ht="14.25" customHeight="1" s="335"/>
    <row r="798" ht="14.25" customHeight="1" s="335"/>
    <row r="799" ht="14.25" customHeight="1" s="335"/>
    <row r="800" ht="14.25" customHeight="1" s="335"/>
    <row r="801" ht="14.25" customHeight="1" s="335"/>
    <row r="802" ht="14.25" customHeight="1" s="335"/>
    <row r="803" ht="14.25" customHeight="1" s="335"/>
    <row r="804" ht="14.25" customHeight="1" s="335"/>
    <row r="805" ht="14.25" customHeight="1" s="335"/>
    <row r="806" ht="14.25" customHeight="1" s="335"/>
    <row r="807" ht="14.25" customHeight="1" s="335"/>
    <row r="808" ht="14.25" customHeight="1" s="335"/>
    <row r="809" ht="14.25" customHeight="1" s="335"/>
    <row r="810" ht="14.25" customHeight="1" s="335"/>
    <row r="811" ht="14.25" customHeight="1" s="335"/>
    <row r="812" ht="14.25" customHeight="1" s="335"/>
    <row r="813" ht="14.25" customHeight="1" s="335"/>
    <row r="814" ht="14.25" customHeight="1" s="335"/>
    <row r="815" ht="14.25" customHeight="1" s="335"/>
    <row r="816" ht="14.25" customHeight="1" s="335"/>
    <row r="817" ht="14.25" customHeight="1" s="335"/>
    <row r="818" ht="14.25" customHeight="1" s="335"/>
    <row r="819" ht="14.25" customHeight="1" s="335"/>
    <row r="820" ht="14.25" customHeight="1" s="335"/>
    <row r="821" ht="14.25" customHeight="1" s="335"/>
    <row r="822" ht="14.25" customHeight="1" s="335"/>
    <row r="823" ht="14.25" customHeight="1" s="335"/>
    <row r="824" ht="14.25" customHeight="1" s="335"/>
    <row r="825" ht="14.25" customHeight="1" s="335"/>
    <row r="826" ht="14.25" customHeight="1" s="335"/>
    <row r="827" ht="14.25" customHeight="1" s="335"/>
    <row r="828" ht="14.25" customHeight="1" s="335"/>
    <row r="829" ht="14.25" customHeight="1" s="335"/>
    <row r="830" ht="14.25" customHeight="1" s="335"/>
    <row r="831" ht="14.25" customHeight="1" s="335"/>
    <row r="832" ht="14.25" customHeight="1" s="335"/>
    <row r="833" ht="14.25" customHeight="1" s="335"/>
    <row r="834" ht="14.25" customHeight="1" s="335"/>
    <row r="835" ht="14.25" customHeight="1" s="335"/>
    <row r="836" ht="14.25" customHeight="1" s="335"/>
    <row r="837" ht="14.25" customHeight="1" s="335"/>
    <row r="838" ht="14.25" customHeight="1" s="335"/>
    <row r="839" ht="14.25" customHeight="1" s="335"/>
    <row r="840" ht="14.25" customHeight="1" s="335"/>
    <row r="841" ht="14.25" customHeight="1" s="335"/>
    <row r="842" ht="14.25" customHeight="1" s="335"/>
    <row r="843" ht="14.25" customHeight="1" s="335"/>
    <row r="844" ht="14.25" customHeight="1" s="335"/>
    <row r="845" ht="14.25" customHeight="1" s="335"/>
    <row r="846" ht="14.25" customHeight="1" s="335"/>
    <row r="847" ht="14.25" customHeight="1" s="335"/>
    <row r="848" ht="14.25" customHeight="1" s="335"/>
    <row r="849" ht="14.25" customHeight="1" s="335"/>
    <row r="850" ht="14.25" customHeight="1" s="335"/>
    <row r="851" ht="14.25" customHeight="1" s="335"/>
    <row r="852" ht="14.25" customHeight="1" s="335"/>
    <row r="853" ht="14.25" customHeight="1" s="335"/>
    <row r="854" ht="14.25" customHeight="1" s="335"/>
    <row r="855" ht="14.25" customHeight="1" s="335"/>
    <row r="856" ht="14.25" customHeight="1" s="335"/>
    <row r="857" ht="14.25" customHeight="1" s="335"/>
    <row r="858" ht="14.25" customHeight="1" s="335"/>
    <row r="859" ht="14.25" customHeight="1" s="335"/>
    <row r="860" ht="14.25" customHeight="1" s="335"/>
    <row r="861" ht="14.25" customHeight="1" s="335"/>
    <row r="862" ht="14.25" customHeight="1" s="335"/>
    <row r="863" ht="14.25" customHeight="1" s="335"/>
    <row r="864" ht="14.25" customHeight="1" s="335"/>
    <row r="865" ht="14.25" customHeight="1" s="335"/>
    <row r="866" ht="14.25" customHeight="1" s="335"/>
    <row r="867" ht="14.25" customHeight="1" s="335"/>
    <row r="868" ht="14.25" customHeight="1" s="335"/>
    <row r="869" ht="14.25" customHeight="1" s="335"/>
    <row r="870" ht="14.25" customHeight="1" s="335"/>
    <row r="871" ht="14.25" customHeight="1" s="335"/>
    <row r="872" ht="14.25" customHeight="1" s="335"/>
    <row r="873" ht="14.25" customHeight="1" s="335"/>
    <row r="874" ht="14.25" customHeight="1" s="335"/>
    <row r="875" ht="14.25" customHeight="1" s="335"/>
    <row r="876" ht="14.25" customHeight="1" s="335"/>
    <row r="877" ht="14.25" customHeight="1" s="335"/>
    <row r="878" ht="14.25" customHeight="1" s="335"/>
    <row r="879" ht="14.25" customHeight="1" s="335"/>
    <row r="880" ht="14.25" customHeight="1" s="335"/>
    <row r="881" ht="14.25" customHeight="1" s="335"/>
    <row r="882" ht="14.25" customHeight="1" s="335"/>
    <row r="883" ht="14.25" customHeight="1" s="335"/>
    <row r="884" ht="14.25" customHeight="1" s="335"/>
    <row r="885" ht="14.25" customHeight="1" s="335"/>
    <row r="886" ht="14.25" customHeight="1" s="335"/>
    <row r="887" ht="14.25" customHeight="1" s="335"/>
    <row r="888" ht="14.25" customHeight="1" s="335"/>
    <row r="889" ht="14.25" customHeight="1" s="335"/>
    <row r="890" ht="14.25" customHeight="1" s="335"/>
    <row r="891" ht="14.25" customHeight="1" s="335"/>
    <row r="892" ht="14.25" customHeight="1" s="335"/>
    <row r="893" ht="14.25" customHeight="1" s="335"/>
    <row r="894" ht="14.25" customHeight="1" s="335"/>
    <row r="895" ht="14.25" customHeight="1" s="335"/>
    <row r="896" ht="14.25" customHeight="1" s="335"/>
    <row r="897" ht="14.25" customHeight="1" s="335"/>
    <row r="898" ht="14.25" customHeight="1" s="335"/>
    <row r="899" ht="14.25" customHeight="1" s="335"/>
    <row r="900" ht="14.25" customHeight="1" s="335"/>
    <row r="901" ht="14.25" customHeight="1" s="335"/>
    <row r="902" ht="14.25" customHeight="1" s="335"/>
    <row r="903" ht="14.25" customHeight="1" s="335"/>
    <row r="904" ht="14.25" customHeight="1" s="335"/>
    <row r="905" ht="14.25" customHeight="1" s="335"/>
    <row r="906" ht="14.25" customHeight="1" s="335"/>
    <row r="907" ht="14.25" customHeight="1" s="335"/>
    <row r="908" ht="14.25" customHeight="1" s="335"/>
    <row r="909" ht="14.25" customHeight="1" s="335"/>
    <row r="910" ht="14.25" customHeight="1" s="335"/>
    <row r="911" ht="14.25" customHeight="1" s="335"/>
    <row r="912" ht="14.25" customHeight="1" s="335"/>
    <row r="913" ht="14.25" customHeight="1" s="335"/>
    <row r="914" ht="14.25" customHeight="1" s="335"/>
    <row r="915" ht="14.25" customHeight="1" s="335"/>
    <row r="916" ht="14.25" customHeight="1" s="335"/>
    <row r="917" ht="14.25" customHeight="1" s="335"/>
    <row r="918" ht="14.25" customHeight="1" s="335"/>
    <row r="919" ht="14.25" customHeight="1" s="335"/>
    <row r="920" ht="14.25" customHeight="1" s="335"/>
    <row r="921" ht="14.25" customHeight="1" s="335"/>
    <row r="922" ht="14.25" customHeight="1" s="335"/>
    <row r="923" ht="14.25" customHeight="1" s="335"/>
    <row r="924" ht="14.25" customHeight="1" s="335"/>
    <row r="925" ht="14.25" customHeight="1" s="335"/>
    <row r="926" ht="14.25" customHeight="1" s="335"/>
    <row r="927" ht="14.25" customHeight="1" s="335"/>
    <row r="928" ht="14.25" customHeight="1" s="335"/>
    <row r="929" ht="14.25" customHeight="1" s="335"/>
    <row r="930" ht="14.25" customHeight="1" s="335"/>
    <row r="931" ht="14.25" customHeight="1" s="335"/>
    <row r="932" ht="14.25" customHeight="1" s="335"/>
    <row r="933" ht="14.25" customHeight="1" s="335"/>
    <row r="934" ht="14.25" customHeight="1" s="335"/>
    <row r="935" ht="14.25" customHeight="1" s="335"/>
    <row r="936" ht="14.25" customHeight="1" s="335"/>
    <row r="937" ht="14.25" customHeight="1" s="335"/>
    <row r="938" ht="14.25" customHeight="1" s="335"/>
    <row r="939" ht="14.25" customHeight="1" s="335"/>
    <row r="940" ht="14.25" customHeight="1" s="335"/>
    <row r="941" ht="14.25" customHeight="1" s="335"/>
    <row r="942" ht="14.25" customHeight="1" s="335"/>
    <row r="943" ht="14.25" customHeight="1" s="335"/>
    <row r="944" ht="14.25" customHeight="1" s="335"/>
    <row r="945" ht="14.25" customHeight="1" s="335"/>
    <row r="946" ht="14.25" customHeight="1" s="335"/>
    <row r="947" ht="14.25" customHeight="1" s="335"/>
    <row r="948" ht="14.25" customHeight="1" s="335"/>
    <row r="949" ht="14.25" customHeight="1" s="335"/>
    <row r="950" ht="14.25" customHeight="1" s="335"/>
    <row r="951" ht="14.25" customHeight="1" s="335"/>
    <row r="952" ht="14.25" customHeight="1" s="335"/>
    <row r="953" ht="14.25" customHeight="1" s="335"/>
    <row r="954" ht="14.25" customHeight="1" s="335"/>
    <row r="955" ht="14.25" customHeight="1" s="335"/>
    <row r="956" ht="14.25" customHeight="1" s="335"/>
    <row r="957" ht="14.25" customHeight="1" s="335"/>
    <row r="958" ht="14.25" customHeight="1" s="335"/>
    <row r="959" ht="14.25" customHeight="1" s="335"/>
    <row r="960" ht="14.25" customHeight="1" s="335"/>
    <row r="961" ht="14.25" customHeight="1" s="335"/>
    <row r="962" ht="14.25" customHeight="1" s="335"/>
    <row r="963" ht="14.25" customHeight="1" s="335"/>
    <row r="964" ht="14.25" customHeight="1" s="335"/>
    <row r="965" ht="14.25" customHeight="1" s="335"/>
    <row r="966" ht="14.25" customHeight="1" s="335"/>
    <row r="967" ht="14.25" customHeight="1" s="335"/>
    <row r="968" ht="14.25" customHeight="1" s="335"/>
    <row r="969" ht="14.25" customHeight="1" s="335"/>
    <row r="970" ht="14.25" customHeight="1" s="335"/>
    <row r="971" ht="14.25" customHeight="1" s="335"/>
    <row r="972" ht="14.25" customHeight="1" s="335"/>
    <row r="973" ht="14.25" customHeight="1" s="335"/>
    <row r="974" ht="14.25" customHeight="1" s="335"/>
    <row r="975" ht="14.25" customHeight="1" s="335"/>
    <row r="976" ht="14.25" customHeight="1" s="335"/>
    <row r="977" ht="14.25" customHeight="1" s="335"/>
    <row r="978" ht="14.25" customHeight="1" s="335"/>
    <row r="979" ht="14.25" customHeight="1" s="335"/>
    <row r="980" ht="14.25" customHeight="1" s="335"/>
    <row r="981" ht="14.25" customHeight="1" s="335"/>
    <row r="982" ht="14.25" customHeight="1" s="335"/>
    <row r="983" ht="14.25" customHeight="1" s="335"/>
    <row r="984" ht="14.25" customHeight="1" s="335"/>
    <row r="985" ht="14.25" customHeight="1" s="335"/>
    <row r="986" ht="14.25" customHeight="1" s="3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N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3.67" customWidth="1" style="334" min="1" max="1"/>
    <col width="28.44" customWidth="1" style="334" min="2" max="2"/>
    <col width="44.66" customWidth="1" style="334" min="3" max="3"/>
    <col width="54.33" customWidth="1" style="334" min="4" max="4"/>
    <col width="33.67" customWidth="1" style="334" min="5" max="5"/>
    <col width="11.11" customWidth="1" style="334" min="6" max="6"/>
    <col width="24.88" customWidth="1" style="334" min="7" max="7"/>
    <col width="22.56" customWidth="1" style="334" min="8" max="8"/>
    <col width="20.66" customWidth="1" style="334" min="9" max="9"/>
    <col width="6.44" customWidth="1" style="334" min="10" max="10"/>
    <col width="23.11" customWidth="1" style="334" min="11" max="11"/>
    <col width="7.56" customWidth="1" style="334" min="12" max="12"/>
    <col width="55" customWidth="1" style="334" min="13" max="13"/>
  </cols>
  <sheetData>
    <row r="1" ht="14.25" customHeight="1" s="335">
      <c r="A1" s="432" t="inlineStr">
        <is>
          <t>TYPE : SCD TYPE 2</t>
        </is>
      </c>
      <c r="B1" s="432" t="n"/>
      <c r="C1" s="432" t="n"/>
      <c r="D1" s="446" t="n"/>
      <c r="E1" s="432" t="n"/>
      <c r="F1" s="432" t="n"/>
      <c r="G1" s="432" t="n"/>
      <c r="H1" s="432" t="n"/>
      <c r="I1" s="446" t="n"/>
      <c r="J1" s="437" t="n"/>
      <c r="K1" s="437" t="n"/>
    </row>
    <row r="2" ht="14.25" customHeight="1" s="335">
      <c r="A2" s="447" t="inlineStr">
        <is>
          <t>No</t>
        </is>
      </c>
      <c r="B2" s="448" t="inlineStr">
        <is>
          <t>System</t>
        </is>
      </c>
      <c r="C2" s="450" t="inlineStr">
        <is>
          <t>TABLE</t>
        </is>
      </c>
      <c r="D2" s="449" t="inlineStr">
        <is>
          <t>Short table</t>
        </is>
      </c>
      <c r="E2" s="450" t="inlineStr">
        <is>
          <t>Main Table</t>
        </is>
      </c>
      <c r="F2" s="450" t="inlineStr">
        <is>
          <t>Type join</t>
        </is>
      </c>
      <c r="G2" s="450" t="inlineStr">
        <is>
          <t>Condition JOIN</t>
        </is>
      </c>
      <c r="H2" s="450" t="inlineStr">
        <is>
          <t>Condition where</t>
        </is>
      </c>
      <c r="I2" s="449" t="inlineStr">
        <is>
          <t>Fields</t>
        </is>
      </c>
      <c r="J2" s="437" t="n"/>
      <c r="K2" s="437" t="n"/>
    </row>
    <row r="3" ht="114" customHeight="1" s="335">
      <c r="A3" s="459" t="n">
        <v>1</v>
      </c>
      <c r="B3" s="462" t="inlineStr">
        <is>
          <t>PG_BRONZE</t>
        </is>
      </c>
      <c r="C3" s="462" t="inlineStr">
        <is>
          <t>T24CORE_STMT_ENTRY</t>
        </is>
      </c>
      <c r="D3" s="461" t="inlineStr">
        <is>
          <t>stmt</t>
        </is>
      </c>
      <c r="E3" s="415" t="inlineStr">
        <is>
          <t>main</t>
        </is>
      </c>
      <c r="F3" s="460" t="inlineStr">
        <is>
          <t>c</t>
        </is>
      </c>
      <c r="G3" s="460" t="n"/>
      <c r="H3" s="461" t="inlineStr">
        <is>
          <t>stmt.RECID LIKE 'F%'
AND stmt.COMMIT_ACTION &lt;&gt; 'D'
AND stmt.BOOKING_DATE = ${ETL_DATE}</t>
        </is>
      </c>
      <c r="I3" s="463" t="inlineStr">
        <is>
          <t>CASE
        WHEN stmt.OUR_REFERENCE LIKE 'LD%' THEN stmt.OUR_REFERENCE
        WHEN stmt.OUR_REFERENCE LIKE 'PD%' THEN SUBSTR(stmt.OUR_REFERENCE, 3)
END as contract_id,
ABS(COALESCE(stmt.AMOUNT_LCY, 0)) as amount_lcy, *</t>
        </is>
      </c>
      <c r="J3" s="437" t="n"/>
      <c r="K3" s="437" t="n"/>
    </row>
    <row r="4" ht="38.25" customHeight="1" s="335">
      <c r="A4" s="459" t="n">
        <v>3</v>
      </c>
      <c r="B4" s="462" t="inlineStr">
        <is>
          <t>PG_BRONZE</t>
        </is>
      </c>
      <c r="C4" s="462" t="inlineStr">
        <is>
          <t>T24CORE_LD_LOANS_AND_DEPOSITS</t>
        </is>
      </c>
      <c r="D4" s="461" t="inlineStr">
        <is>
          <t>ld</t>
        </is>
      </c>
      <c r="E4" s="415" t="inlineStr">
        <is>
          <t>sub</t>
        </is>
      </c>
      <c r="F4" s="460" t="inlineStr">
        <is>
          <t>left</t>
        </is>
      </c>
      <c r="G4" s="460" t="inlineStr">
        <is>
          <t>ld.recid=stmt.contract_id</t>
        </is>
      </c>
      <c r="H4" s="461" t="inlineStr">
        <is>
          <t>TRUNC(TO_DATE(ld.DATE_TIME, 'YYMMDDHH24MI')) &lt;= TO_DATE(${ETL_DATE}, 'YYYYMMDD')</t>
        </is>
      </c>
      <c r="I4" s="461" t="inlineStr">
        <is>
          <t>CATEGORY,
co_code</t>
        </is>
      </c>
      <c r="J4" s="437" t="n"/>
      <c r="K4" s="437" t="n"/>
    </row>
    <row r="5" ht="61.5" customHeight="1" s="335">
      <c r="A5" s="459" t="n">
        <v>4</v>
      </c>
      <c r="B5" s="462" t="inlineStr">
        <is>
          <t>PG_BRONZE</t>
        </is>
      </c>
      <c r="C5" s="464" t="inlineStr">
        <is>
          <t>T24CORE_PD_PAYMENT_DUE_MV</t>
        </is>
      </c>
      <c r="D5" s="463" t="inlineStr">
        <is>
          <t>pdp</t>
        </is>
      </c>
      <c r="E5" s="415" t="inlineStr">
        <is>
          <t>sub</t>
        </is>
      </c>
      <c r="F5" s="460" t="inlineStr">
        <is>
          <t>left</t>
        </is>
      </c>
      <c r="G5" s="463" t="inlineStr">
        <is>
          <t>stmt.CONTRACT_ID = pdp.CONTRACT_ID</t>
        </is>
      </c>
      <c r="H5" s="460" t="n"/>
      <c r="I5" s="461" t="inlineStr">
        <is>
          <t>SELECT
        SUBSTR(pdmv.RECID, 3) AS CONTRACT_ID,
        pdmv.PAYMENT_DTE_DUE,
        pdmv.CATEGORY,
        pdmv.CO_CODE
FROM PG_BRONZE.T24CORE_PD_PAYMENT_DUE_MV pdmv
WHERE pdmv.FLAG_STATUS &lt;&gt; 'DELETE' AND 
      pdmv.PAYMENT_DTE_DUE = (SELECT MAX(PREV_SCHED_DATE)
        FROM PG_BRONZE.T24CORE_LD_SCHEDULE_DEFINE_MV WHERE CONTRACT_ID = SUBSTR(pdmv.RECID, 3)
        AND TO_DATE(PREV_SCHED_DATE, 'YYYYMMDD') &lt;= TO_DATE(${ETL_DATE}, 'YYYYMMDD'))</t>
        </is>
      </c>
      <c r="J5" s="437" t="n"/>
      <c r="K5" s="437" t="n"/>
    </row>
    <row r="6" ht="78" customHeight="1" s="335">
      <c r="A6" s="459" t="n">
        <v>5</v>
      </c>
      <c r="B6" s="462" t="inlineStr">
        <is>
          <t>PG_BRONZE</t>
        </is>
      </c>
      <c r="C6" s="464" t="inlineStr">
        <is>
          <t>T24CORE_LD_SCHEDULE_DEFINE_MV</t>
        </is>
      </c>
      <c r="D6" s="465" t="n"/>
      <c r="E6" s="465" t="n"/>
      <c r="F6" s="465" t="n"/>
      <c r="G6" s="465" t="n"/>
      <c r="H6" s="465" t="n"/>
      <c r="I6" s="465" t="n"/>
      <c r="J6" s="437" t="n"/>
      <c r="K6" s="437" t="n"/>
    </row>
    <row r="7" ht="14.25" customHeight="1" s="335">
      <c r="A7" s="437" t="n"/>
      <c r="B7" s="437" t="n"/>
      <c r="C7" s="437" t="n"/>
      <c r="D7" s="451" t="n"/>
      <c r="E7" s="437" t="n"/>
      <c r="F7" s="437" t="n"/>
      <c r="G7" s="437" t="n"/>
      <c r="H7" s="437" t="n"/>
      <c r="I7" s="451" t="n"/>
      <c r="J7" s="437" t="n"/>
      <c r="K7" s="437" t="n"/>
    </row>
    <row r="8" ht="14.25" customHeight="1" s="335">
      <c r="A8" s="437" t="n"/>
      <c r="B8" s="437" t="n"/>
      <c r="C8" s="437" t="n"/>
      <c r="D8" s="451" t="n"/>
      <c r="E8" s="415" t="n"/>
      <c r="F8" s="415" t="n"/>
      <c r="G8" s="437" t="n"/>
      <c r="H8" s="437" t="n"/>
      <c r="I8" s="451" t="n"/>
      <c r="J8" s="437" t="n"/>
      <c r="K8" s="437" t="n"/>
    </row>
    <row r="9" ht="14.25" customHeight="1" s="335">
      <c r="A9" s="432" t="inlineStr">
        <is>
          <t>Nguồn</t>
        </is>
      </c>
      <c r="B9" s="432" t="inlineStr">
        <is>
          <t>Bảng nguồn</t>
        </is>
      </c>
      <c r="C9" s="432" t="inlineStr">
        <is>
          <t>Cột nguồn</t>
        </is>
      </c>
      <c r="D9" s="446" t="inlineStr">
        <is>
          <t>Transform</t>
        </is>
      </c>
      <c r="E9" s="432" t="inlineStr">
        <is>
          <t>Entity</t>
        </is>
      </c>
      <c r="F9" s="432" t="inlineStr">
        <is>
          <t>Attribute</t>
        </is>
      </c>
      <c r="G9" s="432" t="inlineStr">
        <is>
          <t>Bảng đích</t>
        </is>
      </c>
      <c r="H9" s="432" t="inlineStr">
        <is>
          <t>Cột đích</t>
        </is>
      </c>
      <c r="I9" s="446" t="inlineStr">
        <is>
          <t>Kiểu dữ liệu</t>
        </is>
      </c>
      <c r="J9" s="432" t="inlineStr">
        <is>
          <t>Độ dài</t>
        </is>
      </c>
      <c r="K9" s="432" t="inlineStr">
        <is>
          <t>Diễn giải</t>
        </is>
      </c>
      <c r="L9" s="432" t="inlineStr">
        <is>
          <t>Glossary</t>
        </is>
      </c>
      <c r="M9" s="432" t="inlineStr">
        <is>
          <t>DDL Comment</t>
        </is>
      </c>
      <c r="N9" s="432" t="inlineStr">
        <is>
          <t>Ghi chú kỹ thuật &amp; Business Rule</t>
        </is>
      </c>
    </row>
    <row r="10" ht="41.25" customHeight="1" s="335">
      <c r="A10" s="462" t="inlineStr">
        <is>
          <t>PG_BRONZE</t>
        </is>
      </c>
      <c r="B10" s="462" t="inlineStr">
        <is>
          <t>T24CORE_STMT_ENTRY</t>
        </is>
      </c>
      <c r="C10" s="433" t="inlineStr">
        <is>
          <t>RECID</t>
        </is>
      </c>
      <c r="D10" s="445" t="inlineStr">
        <is>
          <t>fn_hash("T24_LD_LOANS_AND_DEPOSITS", stmt.RECID)</t>
        </is>
      </c>
      <c r="E10" s="442" t="inlineStr">
        <is>
          <t>Arrangement Activity Schedule Item</t>
        </is>
      </c>
      <c r="F10" s="415" t="inlineStr">
        <is>
          <t>Arrangement Activity Schedule Id</t>
        </is>
      </c>
      <c r="G10" s="415" t="inlineStr">
        <is>
          <t>AR_AVY_SHD_ITM</t>
        </is>
      </c>
      <c r="H10" s="415" t="inlineStr">
        <is>
          <t>AR_AVY_SHD_ID</t>
        </is>
      </c>
      <c r="I10" s="461" t="inlineStr">
        <is>
          <t>CHAR</t>
        </is>
      </c>
      <c r="J10" s="415" t="n">
        <v>32</v>
      </c>
      <c r="K10" s="442" t="inlineStr">
        <is>
          <t>ID duy nhất của mã số dòng lịch  trên DWH</t>
        </is>
      </c>
      <c r="L10" s="442" t="inlineStr">
        <is>
          <t>AR_AVY_SHD_ID</t>
        </is>
      </c>
      <c r="M10" s="442">
        <f>"COMMENT ON COLUMN PG_SILVER."&amp;G10&amp;"."&amp;H10&amp;" IS '"&amp;K10&amp;"';"</f>
        <v/>
      </c>
      <c r="N10" s="442" t="inlineStr">
        <is>
          <t>Bỏ dấu `|` để đồng nhất quy tắc băm khóa.</t>
        </is>
      </c>
    </row>
    <row r="11" ht="14.25" customHeight="1" s="335">
      <c r="A11" s="462" t="inlineStr">
        <is>
          <t>PG_BRONZE</t>
        </is>
      </c>
      <c r="B11" s="462" t="inlineStr">
        <is>
          <t>T24CORE_STMT_ENTRY</t>
        </is>
      </c>
      <c r="C11" s="433" t="inlineStr">
        <is>
          <t>RECID</t>
        </is>
      </c>
      <c r="D11" s="443" t="inlineStr">
        <is>
          <t>1:1</t>
        </is>
      </c>
      <c r="E11" s="442" t="inlineStr">
        <is>
          <t>Arrangement Activity Schedule Item</t>
        </is>
      </c>
      <c r="F11" s="415" t="inlineStr">
        <is>
          <t>Arrangement Activity Schedule Code</t>
        </is>
      </c>
      <c r="G11" s="415" t="inlineStr">
        <is>
          <t>AR_AVY_SHD_ITM</t>
        </is>
      </c>
      <c r="H11" s="415" t="inlineStr">
        <is>
          <t>AR_AVY_SHD_CODE</t>
        </is>
      </c>
      <c r="I11" s="461" t="inlineStr">
        <is>
          <t>VARCHAR2</t>
        </is>
      </c>
      <c r="J11" s="415" t="n">
        <v>32</v>
      </c>
      <c r="K11" s="442" t="inlineStr">
        <is>
          <t>Mã số dòng lịch trên hệ thống nguồn</t>
        </is>
      </c>
      <c r="L11" s="442" t="inlineStr">
        <is>
          <t>AR_AVY_SHD_CODE</t>
        </is>
      </c>
      <c r="M11" s="442">
        <f>"COMMENT ON COLUMN PG_SILVER."&amp;G11&amp;"."&amp;H11&amp;" IS '"&amp;K11&amp;"';"</f>
        <v/>
      </c>
      <c r="N11" s="442" t="n"/>
    </row>
    <row r="12" ht="27" customHeight="1" s="335">
      <c r="A12" s="462" t="inlineStr">
        <is>
          <t>PG_BRONZE</t>
        </is>
      </c>
      <c r="B12" s="462" t="inlineStr">
        <is>
          <t>T24CORE_STMT_ENTRY</t>
        </is>
      </c>
      <c r="C12" s="433" t="inlineStr">
        <is>
          <t>OUR_REFERENCE</t>
        </is>
      </c>
      <c r="D12" s="445" t="inlineStr">
        <is>
          <t>'LOAN_PD_SHD'</t>
        </is>
      </c>
      <c r="E12" s="442" t="inlineStr">
        <is>
          <t>Arrangement Activity Schedule Item</t>
        </is>
      </c>
      <c r="F12" s="415" t="inlineStr">
        <is>
          <t>Arrangement Activity Schedule Type</t>
        </is>
      </c>
      <c r="G12" s="415" t="inlineStr">
        <is>
          <t>AR_AVY_SHD_ITM</t>
        </is>
      </c>
      <c r="H12" s="415" t="inlineStr">
        <is>
          <t>AR_AVY_SHD_TP</t>
        </is>
      </c>
      <c r="I12" s="461" t="inlineStr">
        <is>
          <t>VARCHAR2</t>
        </is>
      </c>
      <c r="J12" s="415" t="n">
        <v>32</v>
      </c>
      <c r="K12" s="442" t="inlineStr">
        <is>
          <t>Phân loại của dòng lịch hợp đồng</t>
        </is>
      </c>
      <c r="L12" s="442" t="inlineStr">
        <is>
          <t>AR_AVY_SHD_TP</t>
        </is>
      </c>
      <c r="M12" s="442">
        <f>"COMMENT ON COLUMN PG_SILVER."&amp;G12&amp;"."&amp;H12&amp;" IS '"&amp;K12&amp;"';"</f>
        <v/>
      </c>
      <c r="N12" s="442" t="inlineStr">
        <is>
          <t>Thêm dấu nháy đơn mở đầu `'LOAN_PD_SHD'`.</t>
        </is>
      </c>
    </row>
    <row r="13" ht="69" customHeight="1" s="335">
      <c r="A13" s="462" t="inlineStr">
        <is>
          <t>PG_BRONZE</t>
        </is>
      </c>
      <c r="B13" s="462" t="inlineStr">
        <is>
          <t>T24CORE_STMT_ENTRY</t>
        </is>
      </c>
      <c r="C13" s="466" t="inlineStr">
        <is>
          <t>OUR_REFERENCE</t>
        </is>
      </c>
      <c r="D13" s="445" t="inlineStr">
        <is>
          <t>fn_hash("T24_LD_LOANS_AND_DEPOSITS", stmt.contract_id)</t>
        </is>
      </c>
      <c r="E13" s="442" t="inlineStr">
        <is>
          <t>Arrangement Activity Schedule Item</t>
        </is>
      </c>
      <c r="F13" s="415" t="inlineStr">
        <is>
          <t>Arrangement Id</t>
        </is>
      </c>
      <c r="G13" s="415" t="inlineStr">
        <is>
          <t>AR_AVY_SHD_ITM</t>
        </is>
      </c>
      <c r="H13" s="415" t="inlineStr">
        <is>
          <t>AR_ID</t>
        </is>
      </c>
      <c r="I13" s="461" t="inlineStr">
        <is>
          <t>CHAR</t>
        </is>
      </c>
      <c r="J13" s="415" t="n">
        <v>32</v>
      </c>
      <c r="K13" s="442" t="inlineStr">
        <is>
          <t>ID duy nhất của hợp đồng trên DWH</t>
        </is>
      </c>
      <c r="L13" s="442" t="inlineStr">
        <is>
          <t>AR_ID</t>
        </is>
      </c>
      <c r="M13" s="442">
        <f>"COMMENT ON COLUMN PG_SILVER."&amp;G13&amp;"."&amp;H13&amp;" IS '"&amp;K13&amp;"';"</f>
        <v/>
      </c>
      <c r="N13" s="442" t="inlineStr">
        <is>
          <t>Đổi thành `fn_hash("T24_LD_LOANS_AND_DEPOSITS", stmt.contract_id)`.</t>
        </is>
      </c>
    </row>
    <row r="14" ht="14.25" customHeight="1" s="335">
      <c r="A14" s="462" t="inlineStr">
        <is>
          <t>PG_BRONZE</t>
        </is>
      </c>
      <c r="B14" s="462" t="inlineStr">
        <is>
          <t>T24CORE_STMT_ENTRY</t>
        </is>
      </c>
      <c r="C14" s="466" t="inlineStr">
        <is>
          <t>OUR_REFERENCE</t>
        </is>
      </c>
      <c r="D14" s="443" t="inlineStr">
        <is>
          <t>stmt.contract_id</t>
        </is>
      </c>
      <c r="E14" s="442" t="inlineStr">
        <is>
          <t>Arrangement Activity Schedule Item</t>
        </is>
      </c>
      <c r="F14" s="415" t="inlineStr">
        <is>
          <t>Arrangement  Code</t>
        </is>
      </c>
      <c r="G14" s="415" t="inlineStr">
        <is>
          <t>AR_AVY_SHD_ITM</t>
        </is>
      </c>
      <c r="H14" s="467" t="inlineStr">
        <is>
          <t>AR_CODE</t>
        </is>
      </c>
      <c r="I14" s="461" t="inlineStr">
        <is>
          <t>VARCHAR2</t>
        </is>
      </c>
      <c r="J14" s="415" t="n">
        <v>32</v>
      </c>
      <c r="K14" s="468" t="inlineStr">
        <is>
          <t>Mã của hợp đồng gốc</t>
        </is>
      </c>
      <c r="L14" s="468" t="inlineStr">
        <is>
          <t>AR_CODE</t>
        </is>
      </c>
      <c r="M14" s="468">
        <f>"COMMENT ON COLUMN PG_SILVER."&amp;G14&amp;"."&amp;H14&amp;" IS '"&amp;K14&amp;"';"</f>
        <v/>
      </c>
      <c r="N14" s="468" t="n"/>
    </row>
    <row r="15" ht="211.5" customHeight="1" s="335">
      <c r="A15" s="436" t="inlineStr">
        <is>
          <t>PG_BRONZE</t>
        </is>
      </c>
      <c r="B15" s="469" t="inlineStr">
        <is>
          <t>T24CORE_STMT_ENTRY, T24CORE_LD_LOANS_AND_DEPOSITS, T24CORE_PD_PAYMENT_DUE_MV</t>
        </is>
      </c>
      <c r="C15" s="470" t="inlineStr">
        <is>
          <t>TRANSACTION_CODE, CATEGORY, CRF_PROD_CAT</t>
        </is>
      </c>
      <c r="D15" s="445" t="inlineStr">
        <is>
          <t>CASE
        WHEN stmt.TRANSACTION_CODE = '402' THEN 'LD_GN'
        WHEN stmt.TRANSACTION_CODE IN ('420','423') AND COALESCE(ld.CATEGORY, pdp.CATEGORY, stmt.CRF_PROD_CAT, '_') &lt;&gt; '21069' THEN 'LD_PR'
        WHEN stmt.TRANSACTION_CODE IN ('434','424') OR (stmt.TRANSACTION_CODE IN ('420','423') AND COALESCE(ld.CATEGORY, pdp.CATEGORY, stmt.CRF_PROD_CAT) = '21069') THEN 'LD_IN'
        WHEN stmt.TRANSACTION_CODE = '750' THEN 'PD_PR'
        WHEN stmt.TRANSACTION_CODE = '751' THEN 'PD_IN'
        WHEN stmt.TRANSACTION_CODE = '752' THEN 'PD_PE'
        WHEN stmt.TRANSACTION_CODE = '753' THEN 'PD_PS'
END</t>
        </is>
      </c>
      <c r="E15" s="436" t="inlineStr">
        <is>
          <t>Arrangement Activity Schedule Item</t>
        </is>
      </c>
      <c r="F15" s="415" t="inlineStr">
        <is>
          <t>Payable Amount Type</t>
        </is>
      </c>
      <c r="G15" s="415" t="inlineStr">
        <is>
          <t>AR_AVY_SHD_ITM</t>
        </is>
      </c>
      <c r="H15" s="436" t="inlineStr">
        <is>
          <t>PBL_AMT_TP</t>
        </is>
      </c>
      <c r="I15" s="461" t="inlineStr">
        <is>
          <t>VARCHAR2</t>
        </is>
      </c>
      <c r="J15" s="415" t="n">
        <v>20</v>
      </c>
      <c r="K15" s="471" t="inlineStr">
        <is>
          <t>Phân loại tiền cần thanh toán trong kỳ bill tương ứng (PS/PE/LD,..)</t>
        </is>
      </c>
      <c r="L15" s="471" t="inlineStr">
        <is>
          <t>PBL_AMT_TP</t>
        </is>
      </c>
      <c r="M15" s="471">
        <f>"COMMENT ON COLUMN PG_SILVER."&amp;G15&amp;"."&amp;H15&amp;" IS '"&amp;K15&amp;"';"</f>
        <v/>
      </c>
      <c r="N15" s="471" t="inlineStr">
        <is>
          <t>Đồng nhất alias `pdp.CATEGORY`.</t>
        </is>
      </c>
    </row>
    <row r="16" ht="14.25" customHeight="1" s="335">
      <c r="A16" s="462" t="inlineStr">
        <is>
          <t>PG_BRONZE</t>
        </is>
      </c>
      <c r="B16" s="462" t="inlineStr">
        <is>
          <t>T24CORE_STMT_ENTRY</t>
        </is>
      </c>
      <c r="C16" s="466" t="inlineStr">
        <is>
          <t>AMOUNT_LCY</t>
        </is>
      </c>
      <c r="D16" s="443" t="inlineStr">
        <is>
          <t>ABS(COALESCE(stmt.AMOUNT_LCY, 0))</t>
        </is>
      </c>
      <c r="E16" s="415" t="inlineStr">
        <is>
          <t>Arrangement Activity Schedule Item</t>
        </is>
      </c>
      <c r="F16" s="415" t="inlineStr">
        <is>
          <t>Payable Amount LCY</t>
        </is>
      </c>
      <c r="G16" s="415" t="inlineStr">
        <is>
          <t>AR_AVY_SHD_ITM</t>
        </is>
      </c>
      <c r="H16" s="415" t="inlineStr">
        <is>
          <t>PBL_AMT_LCY</t>
        </is>
      </c>
      <c r="I16" s="461" t="inlineStr">
        <is>
          <t>NUMBER</t>
        </is>
      </c>
      <c r="J16" s="415" t="n">
        <v>25.5</v>
      </c>
      <c r="K16" s="468" t="inlineStr">
        <is>
          <t>Số tiền cần thanh toán quy đổi trong kỳ bill tương ứng</t>
        </is>
      </c>
      <c r="L16" s="468" t="inlineStr">
        <is>
          <t>PBL_AMT_LCY</t>
        </is>
      </c>
      <c r="M16" s="468">
        <f>"COMMENT ON COLUMN PG_SILVER."&amp;G16&amp;"."&amp;H16&amp;" IS '"&amp;K16&amp;"';"</f>
        <v/>
      </c>
      <c r="N16" s="468" t="n"/>
    </row>
    <row r="17" ht="14.25" customHeight="1" s="335">
      <c r="A17" s="462" t="inlineStr">
        <is>
          <t>PG_BRONZE</t>
        </is>
      </c>
      <c r="B17" s="462" t="inlineStr">
        <is>
          <t>T24CORE_STMT_ENTRY</t>
        </is>
      </c>
      <c r="C17" s="466" t="inlineStr">
        <is>
          <t>AMOUNT_FCY</t>
        </is>
      </c>
      <c r="D17" s="443" t="inlineStr">
        <is>
          <t>ABS(COALESCE(stmt.AMOUNT_FCY, 0))</t>
        </is>
      </c>
      <c r="E17" s="415" t="inlineStr">
        <is>
          <t>Arrangement Activity Schedule Item</t>
        </is>
      </c>
      <c r="F17" s="415" t="inlineStr">
        <is>
          <t>Payable Amount FCY</t>
        </is>
      </c>
      <c r="G17" s="415" t="inlineStr">
        <is>
          <t>AR_AVY_SHD_ITM</t>
        </is>
      </c>
      <c r="H17" s="415" t="inlineStr">
        <is>
          <t>PBL_AMT_FCY</t>
        </is>
      </c>
      <c r="I17" s="461" t="inlineStr">
        <is>
          <t>NUMBER</t>
        </is>
      </c>
      <c r="J17" s="415" t="n">
        <v>25.5</v>
      </c>
      <c r="K17" s="468" t="inlineStr">
        <is>
          <t>Số tiền cần thanh toán nguyên tệ trong kỳ bill tương ứng</t>
        </is>
      </c>
      <c r="L17" s="468" t="inlineStr">
        <is>
          <t>PBL_AMT_FCY</t>
        </is>
      </c>
      <c r="M17" s="468">
        <f>"COMMENT ON COLUMN PG_SILVER."&amp;G17&amp;"."&amp;H17&amp;" IS '"&amp;K17&amp;"';"</f>
        <v/>
      </c>
      <c r="N17" s="468" t="n"/>
    </row>
    <row r="18" ht="41.25" customHeight="1" s="335">
      <c r="A18" s="462" t="inlineStr">
        <is>
          <t>PG_BRONZE</t>
        </is>
      </c>
      <c r="B18" s="462" t="inlineStr">
        <is>
          <t>T24CORE_STMT_ENTRY</t>
        </is>
      </c>
      <c r="C18" s="470" t="inlineStr">
        <is>
          <t>EXCHANGE_RATE</t>
        </is>
      </c>
      <c r="D18" s="472" t="inlineStr">
        <is>
          <t>1:1</t>
        </is>
      </c>
      <c r="E18" s="442" t="inlineStr">
        <is>
          <t>Arrangement Activity Schedule Item</t>
        </is>
      </c>
      <c r="F18" s="442" t="inlineStr">
        <is>
          <t>Exchange Rate</t>
        </is>
      </c>
      <c r="G18" s="442" t="inlineStr">
        <is>
          <t>AR_AVY_SHD_ITM</t>
        </is>
      </c>
      <c r="H18" s="442" t="inlineStr">
        <is>
          <t>EXG_RATE</t>
        </is>
      </c>
      <c r="I18" s="469" t="inlineStr">
        <is>
          <t>NUMBER</t>
        </is>
      </c>
      <c r="J18" s="442" t="n">
        <v>25.7</v>
      </c>
      <c r="K18" s="473" t="inlineStr">
        <is>
          <t>Tỷ giá thực hiện</t>
        </is>
      </c>
      <c r="L18" s="473" t="inlineStr">
        <is>
          <t>EXG_RATE</t>
        </is>
      </c>
      <c r="M18" s="473">
        <f>"COMMENT ON COLUMN PG_SILVER."&amp;G18&amp;"."&amp;H18&amp;" IS '"&amp;K18&amp;"';"</f>
        <v/>
      </c>
      <c r="N18" s="473" t="inlineStr">
        <is>
          <t>Sửa lại đúng diễn giải.</t>
        </is>
      </c>
    </row>
    <row r="19" ht="27" customHeight="1" s="335">
      <c r="A19" s="462" t="inlineStr">
        <is>
          <t>PG_BRONZE</t>
        </is>
      </c>
      <c r="B19" s="462" t="inlineStr">
        <is>
          <t>T24CORE_STMT_ENTRY</t>
        </is>
      </c>
      <c r="C19" s="470" t="inlineStr">
        <is>
          <t>CURRENCY</t>
        </is>
      </c>
      <c r="D19" s="472" t="inlineStr">
        <is>
          <t>1:1</t>
        </is>
      </c>
      <c r="E19" s="468" t="inlineStr">
        <is>
          <t>Arrangement Activity Schedule Item</t>
        </is>
      </c>
      <c r="F19" s="442" t="inlineStr">
        <is>
          <t>Currency Code</t>
        </is>
      </c>
      <c r="G19" s="442" t="inlineStr">
        <is>
          <t>AR_AVY_SHD_ITM</t>
        </is>
      </c>
      <c r="H19" s="442" t="inlineStr">
        <is>
          <t>CCY_CODE</t>
        </is>
      </c>
      <c r="I19" s="469" t="inlineStr">
        <is>
          <t>VARCHAR2</t>
        </is>
      </c>
      <c r="J19" s="442" t="n">
        <v>20</v>
      </c>
      <c r="K19" s="463" t="inlineStr">
        <is>
          <t>Mã loại tiền</t>
        </is>
      </c>
      <c r="L19" s="463" t="inlineStr">
        <is>
          <t>CCY_CODE</t>
        </is>
      </c>
      <c r="M19" s="463">
        <f>"COMMENT ON COLUMN PG_SILVER."&amp;G19&amp;"."&amp;H19&amp;" IS '"&amp;K19&amp;"';"</f>
        <v/>
      </c>
      <c r="N19" s="463" t="inlineStr">
        <is>
          <t>Sửa lại đúng diễn giải 'Mã loại tiền'.</t>
        </is>
      </c>
    </row>
    <row r="20" ht="27.75" customHeight="1" s="335">
      <c r="A20" s="462" t="inlineStr">
        <is>
          <t>PG_BRONZE</t>
        </is>
      </c>
      <c r="B20" s="462" t="inlineStr">
        <is>
          <t>T24CORE_STMT_ENTRY</t>
        </is>
      </c>
      <c r="C20" s="466" t="inlineStr">
        <is>
          <t>VALUE_DATE</t>
        </is>
      </c>
      <c r="D20" s="443" t="inlineStr">
        <is>
          <t>1:1</t>
        </is>
      </c>
      <c r="E20" s="442" t="inlineStr">
        <is>
          <t>Arrangement Activity Schedule Item</t>
        </is>
      </c>
      <c r="F20" s="415" t="inlineStr">
        <is>
          <t>Effective Maturity Date</t>
        </is>
      </c>
      <c r="G20" s="415" t="inlineStr">
        <is>
          <t>AR_AVY_SHD_ITM</t>
        </is>
      </c>
      <c r="H20" s="415" t="inlineStr">
        <is>
          <t>EFF_MAT_DT</t>
        </is>
      </c>
      <c r="I20" s="461" t="inlineStr">
        <is>
          <t>DATE</t>
        </is>
      </c>
      <c r="J20" s="415" t="n"/>
      <c r="K20" s="469" t="inlineStr">
        <is>
          <t>Ngày hiệu lực của dòng lịch</t>
        </is>
      </c>
      <c r="L20" s="469" t="inlineStr">
        <is>
          <t>EFF_MAT_DT</t>
        </is>
      </c>
      <c r="M20" s="469">
        <f>"COMMENT ON COLUMN PG_SILVER."&amp;G20&amp;"."&amp;H20&amp;" IS '"&amp;K20&amp;"';"</f>
        <v/>
      </c>
      <c r="N20" s="469" t="n"/>
    </row>
    <row r="21" ht="57" customHeight="1" s="335">
      <c r="A21" s="462" t="inlineStr">
        <is>
          <t>PG_BRONZE</t>
        </is>
      </c>
      <c r="B21" s="443" t="inlineStr">
        <is>
          <t>T24CORE_PD_PAYMENT_DUE_MV, T24CORE_LD_SCHEDULE_DEFINE_MV</t>
        </is>
      </c>
      <c r="C21" s="466" t="inlineStr">
        <is>
          <t>RECID, PAYMENT_DTE_DUE, PREV_SCHED_DATE</t>
        </is>
      </c>
      <c r="D21" s="445" t="inlineStr">
        <is>
          <t>CASE
        WHEN pdp.CONTRACT_ID IS NOT NULL THEN 1
        ELSE 0
END</t>
        </is>
      </c>
      <c r="E21" s="415" t="inlineStr">
        <is>
          <t>Arrangement Activity Schedule Item</t>
        </is>
      </c>
      <c r="F21" s="415" t="inlineStr">
        <is>
          <t>Flag Last Overdue Date</t>
        </is>
      </c>
      <c r="G21" s="415" t="inlineStr">
        <is>
          <t>AR_AVY_SHD_ITM</t>
        </is>
      </c>
      <c r="H21" s="463" t="inlineStr">
        <is>
          <t>F_LAST_OD_DT</t>
        </is>
      </c>
      <c r="I21" s="461" t="inlineStr">
        <is>
          <t>NUMBER</t>
        </is>
      </c>
      <c r="J21" s="459" t="n">
        <v>1</v>
      </c>
      <c r="K21" s="468" t="inlineStr">
        <is>
          <t>Cờ hợp đồng có đang tồn tại kỳ trả nợ quá hạn gần nhất hay không</t>
        </is>
      </c>
      <c r="L21" s="468" t="inlineStr">
        <is>
          <t>F_LAST_OD_DT</t>
        </is>
      </c>
      <c r="M21" s="468">
        <f>"COMMENT ON COLUMN PG_SILVER."&amp;G21&amp;"."&amp;H21&amp;" IS '"&amp;K21&amp;"';"</f>
        <v/>
      </c>
      <c r="N21" s="468" t="inlineStr">
        <is>
          <t>Đồng nhất alias `pdp.CONTRACT_ID` và giữ tên cột chuẩn `F_LAST_OD_DT`.</t>
        </is>
      </c>
    </row>
    <row r="22" ht="60.75" customHeight="1" s="335">
      <c r="A22" s="462" t="inlineStr">
        <is>
          <t>PG_BRONZE</t>
        </is>
      </c>
      <c r="B22" s="443" t="inlineStr">
        <is>
          <t>T24CORE_PD_PAYMENT_DUE_MV, T24CORE_LD_SCHEDULE_DEFINE_MV</t>
        </is>
      </c>
      <c r="C22" s="433" t="inlineStr">
        <is>
          <t>PAYMENT_DTE_DUE, PREV_SCHED_DATE</t>
        </is>
      </c>
      <c r="D22" s="443" t="inlineStr">
        <is>
          <t>TO_DATE(pdp.PAYMENT_DTE_DUE, 'YYYYMMDD')</t>
        </is>
      </c>
      <c r="E22" s="415" t="inlineStr">
        <is>
          <t>Arrangement Activity Schedule Item</t>
        </is>
      </c>
      <c r="F22" s="415" t="inlineStr">
        <is>
          <t>Last Overdue Date</t>
        </is>
      </c>
      <c r="G22" s="415" t="inlineStr">
        <is>
          <t>AR_AVY_SHD_ITM</t>
        </is>
      </c>
      <c r="H22" s="463" t="inlineStr">
        <is>
          <t>LAST_OD_DT</t>
        </is>
      </c>
      <c r="I22" s="461" t="inlineStr">
        <is>
          <t>DATE</t>
        </is>
      </c>
      <c r="J22" s="415" t="n"/>
      <c r="K22" s="468" t="inlineStr">
        <is>
          <t>Ngày đến hạn của kỳ trả nợ gần nhất đã chuyển sang quá hạn</t>
        </is>
      </c>
      <c r="L22" s="468" t="inlineStr">
        <is>
          <t>LAST_OD_DT</t>
        </is>
      </c>
      <c r="M22" s="468">
        <f>"COMMENT ON COLUMN PG_SILVER."&amp;G22&amp;"."&amp;H22&amp;" IS '"&amp;K22&amp;"';"</f>
        <v/>
      </c>
      <c r="N22" s="468" t="inlineStr">
        <is>
          <t>Chuẩn hóa tên cột `LAST_OD_DT` khớp với INTF_LOAN_REPYMT_SHD.</t>
        </is>
      </c>
    </row>
    <row r="23" ht="27" customHeight="1" s="335">
      <c r="A23" s="462" t="inlineStr">
        <is>
          <t>PG_BRONZE</t>
        </is>
      </c>
      <c r="B23" s="433" t="inlineStr">
        <is>
          <t>T24CORE_STMT_ENTRY</t>
        </is>
      </c>
      <c r="C23" s="466" t="inlineStr">
        <is>
          <t>RECID</t>
        </is>
      </c>
      <c r="D23" s="445" t="inlineStr">
        <is>
          <t>'T24CORE_STMT_ENTRY'</t>
        </is>
      </c>
      <c r="E23" s="442" t="inlineStr">
        <is>
          <t>Arrangement Activity Schedule Item</t>
        </is>
      </c>
      <c r="F23" s="415" t="inlineStr">
        <is>
          <t>Source System Code</t>
        </is>
      </c>
      <c r="G23" s="415" t="inlineStr">
        <is>
          <t>AR_AVY_SHD_ITM</t>
        </is>
      </c>
      <c r="H23" s="415" t="inlineStr">
        <is>
          <t>SRC_STM_CODE</t>
        </is>
      </c>
      <c r="I23" s="461" t="inlineStr">
        <is>
          <t>VARCHAR2</t>
        </is>
      </c>
      <c r="J23" s="415" t="n">
        <v>32</v>
      </c>
      <c r="K23" s="415" t="inlineStr">
        <is>
          <t>Mã nguồn dữ liệu</t>
        </is>
      </c>
      <c r="L23" s="415" t="inlineStr">
        <is>
          <t>SRC_STM_CODE</t>
        </is>
      </c>
      <c r="M23" s="415">
        <f>"COMMENT ON COLUMN PG_SILVER."&amp;G23&amp;"."&amp;H23&amp;" IS '"&amp;K23&amp;"';"</f>
        <v/>
      </c>
      <c r="N23" s="415" t="inlineStr">
        <is>
          <t>Sửa thành `'T24CORE_STMT_ENTRY'`.</t>
        </is>
      </c>
    </row>
    <row r="24" ht="54.75" customHeight="1" s="335">
      <c r="A24" s="462" t="inlineStr">
        <is>
          <t>PG_BRONZE</t>
        </is>
      </c>
      <c r="B24" s="462" t="inlineStr">
        <is>
          <t>T24CORE_STMT_ENTRY</t>
        </is>
      </c>
      <c r="C24" s="433" t="inlineStr">
        <is>
          <t>CUSTOMER_ID</t>
        </is>
      </c>
      <c r="D24" s="445" t="inlineStr">
        <is>
          <t>fn_hash("T24_CUSTOMER", stmt.CUSTOMER_ID)</t>
        </is>
      </c>
      <c r="E24" s="415" t="inlineStr">
        <is>
          <t>Arrangement Activity Schedule Item</t>
        </is>
      </c>
      <c r="F24" s="415" t="inlineStr">
        <is>
          <t>Customer Id</t>
        </is>
      </c>
      <c r="G24" s="415" t="inlineStr">
        <is>
          <t>AR_AVY_SHD_ITM</t>
        </is>
      </c>
      <c r="H24" s="467" t="inlineStr">
        <is>
          <t>CST_ID</t>
        </is>
      </c>
      <c r="I24" s="461" t="inlineStr">
        <is>
          <t>CHAR</t>
        </is>
      </c>
      <c r="J24" s="415" t="n">
        <v>32</v>
      </c>
      <c r="K24" s="415" t="inlineStr">
        <is>
          <t>ID duy nhất của khách hàng liên quan trên DWH</t>
        </is>
      </c>
      <c r="L24" s="415" t="inlineStr">
        <is>
          <t>CST_ID</t>
        </is>
      </c>
      <c r="M24" s="415">
        <f>"COMMENT ON COLUMN PG_SILVER."&amp;G24&amp;"."&amp;H24&amp;" IS '"&amp;K24&amp;"';"</f>
        <v/>
      </c>
      <c r="N24" s="415" t="inlineStr">
        <is>
          <t>Đổi thành `fn_hash("T24_CUSTOMER", stmt.CUSTOMER_ID)`.</t>
        </is>
      </c>
    </row>
    <row r="25" ht="14.25" customHeight="1" s="335">
      <c r="A25" s="474" t="inlineStr">
        <is>
          <t>PG_BRONZE</t>
        </is>
      </c>
      <c r="B25" s="474" t="inlineStr">
        <is>
          <t>T24CORE_STMT_ENTRY</t>
        </is>
      </c>
      <c r="C25" s="475" t="inlineStr">
        <is>
          <t>CUSTOMER_ID</t>
        </is>
      </c>
      <c r="D25" s="476" t="inlineStr">
        <is>
          <t>stmt.CUSTOMER_ID</t>
        </is>
      </c>
      <c r="E25" s="477" t="inlineStr">
        <is>
          <t>Arrangement Activity Schedule Item</t>
        </is>
      </c>
      <c r="F25" s="477" t="inlineStr">
        <is>
          <t>Customer Code</t>
        </is>
      </c>
      <c r="G25" s="477" t="inlineStr">
        <is>
          <t>AR_AVY_SHD_ITM</t>
        </is>
      </c>
      <c r="H25" s="463" t="inlineStr">
        <is>
          <t>CST_CODE</t>
        </is>
      </c>
      <c r="I25" s="478" t="inlineStr">
        <is>
          <t>VARCHAR2</t>
        </is>
      </c>
      <c r="J25" s="477" t="n">
        <v>32</v>
      </c>
      <c r="K25" s="477" t="inlineStr">
        <is>
          <t>Mã số khách hàng</t>
        </is>
      </c>
      <c r="L25" s="477" t="inlineStr">
        <is>
          <t>CST_CODE</t>
        </is>
      </c>
      <c r="M25" s="477">
        <f>"COMMENT ON COLUMN PG_SILVER."&amp;G25&amp;"."&amp;H25&amp;" IS '"&amp;K25&amp;"';"</f>
        <v/>
      </c>
      <c r="N25" s="477" t="n"/>
    </row>
    <row r="26" ht="14.25" customHeight="1" s="335">
      <c r="A26" s="462" t="inlineStr">
        <is>
          <t>PG_BRONZE</t>
        </is>
      </c>
      <c r="B26" s="462" t="inlineStr">
        <is>
          <t>T24CORE_STMT_ENTRY</t>
        </is>
      </c>
      <c r="C26" s="433" t="inlineStr">
        <is>
          <t>RECID</t>
        </is>
      </c>
      <c r="D26" s="461" t="inlineStr">
        <is>
          <t>ETL_DATE if not exists AR_AVY_SHD_ID</t>
        </is>
      </c>
      <c r="E26" s="415" t="inlineStr">
        <is>
          <t>Arrangement Activity Schedule Item</t>
        </is>
      </c>
      <c r="F26" s="415" t="inlineStr">
        <is>
          <t>System Effective Date</t>
        </is>
      </c>
      <c r="G26" s="415" t="inlineStr">
        <is>
          <t>AR_AVY_SHD_ITM</t>
        </is>
      </c>
      <c r="H26" s="415" t="inlineStr">
        <is>
          <t>SYS_EFF_DT</t>
        </is>
      </c>
      <c r="I26" s="461" t="inlineStr">
        <is>
          <t>DATE</t>
        </is>
      </c>
      <c r="J26" s="415" t="n"/>
      <c r="K26" s="415" t="inlineStr">
        <is>
          <t>Ngày bản ghi lần đầu tiên vào hệ thống</t>
        </is>
      </c>
      <c r="L26" s="415" t="inlineStr">
        <is>
          <t>SYS_EFF_DT</t>
        </is>
      </c>
      <c r="M26" s="415">
        <f>"COMMENT ON COLUMN PG_SILVER."&amp;G26&amp;"."&amp;H26&amp;" IS '"&amp;K26&amp;"';"</f>
        <v/>
      </c>
      <c r="N26" s="415" t="n"/>
    </row>
    <row r="27" ht="14.25" customHeight="1" s="335">
      <c r="A27" s="462" t="inlineStr">
        <is>
          <t>PG_BRONZE</t>
        </is>
      </c>
      <c r="B27" s="433" t="inlineStr">
        <is>
          <t>T24CORE_STMT_ENTRY</t>
        </is>
      </c>
      <c r="C27" s="433" t="inlineStr">
        <is>
          <t>RECID</t>
        </is>
      </c>
      <c r="D27" s="461" t="inlineStr">
        <is>
          <t>ETL_DATE if RECID was deleted</t>
        </is>
      </c>
      <c r="E27" s="415" t="inlineStr">
        <is>
          <t>Arrangement Activity Schedule Item</t>
        </is>
      </c>
      <c r="F27" s="415" t="inlineStr">
        <is>
          <t>System Expiry Date</t>
        </is>
      </c>
      <c r="G27" s="415" t="inlineStr">
        <is>
          <t>AR_AVY_SHD_ITM</t>
        </is>
      </c>
      <c r="H27" s="415" t="inlineStr">
        <is>
          <t>SYS_EXP_DT</t>
        </is>
      </c>
      <c r="I27" s="461" t="inlineStr">
        <is>
          <t>DATE</t>
        </is>
      </c>
      <c r="J27" s="415" t="n"/>
      <c r="K27" s="415" t="inlineStr">
        <is>
          <t>Ngày hết hạn của bản ghi</t>
        </is>
      </c>
      <c r="L27" s="415" t="inlineStr">
        <is>
          <t>SYS_EXP_DT</t>
        </is>
      </c>
      <c r="M27" s="415">
        <f>"COMMENT ON COLUMN PG_SILVER."&amp;G27&amp;"."&amp;H27&amp;" IS '"&amp;K27&amp;"';"</f>
        <v/>
      </c>
      <c r="N27" s="415" t="n"/>
    </row>
    <row r="28" ht="14.25" customHeight="1" s="335">
      <c r="A28" s="334" t="inlineStr">
        <is>
          <t>PG_BRONZE</t>
        </is>
      </c>
      <c r="B28" s="334" t="inlineStr">
        <is>
          <t>T24CORE_STMT_ENTRY</t>
        </is>
      </c>
      <c r="C28" s="334" t="inlineStr">
        <is>
          <t>BOOKING_DATE</t>
        </is>
      </c>
      <c r="D28" s="461" t="inlineStr">
        <is>
          <t>ETL_DATE</t>
        </is>
      </c>
      <c r="E28" s="415" t="inlineStr">
        <is>
          <t>Arrangement Activity Schedule Item</t>
        </is>
      </c>
      <c r="F28" s="415" t="inlineStr">
        <is>
          <t>System Update Date</t>
        </is>
      </c>
      <c r="G28" s="415" t="inlineStr">
        <is>
          <t>AR_AVY_SHD_ITM</t>
        </is>
      </c>
      <c r="H28" s="415" t="inlineStr">
        <is>
          <t>SYS_UDT_DT</t>
        </is>
      </c>
      <c r="I28" s="461" t="inlineStr">
        <is>
          <t>DATE</t>
        </is>
      </c>
      <c r="J28" s="415" t="n"/>
      <c r="K28" s="415" t="inlineStr">
        <is>
          <t>Ngày update dữ liệu gần nhất</t>
        </is>
      </c>
      <c r="L28" s="415" t="inlineStr">
        <is>
          <t>SYS_UDT_DT</t>
        </is>
      </c>
      <c r="M28" s="415">
        <f>"COMMENT ON COLUMN PG_SILVER."&amp;G28&amp;"."&amp;H28&amp;" IS '"&amp;K28&amp;"';"</f>
        <v/>
      </c>
      <c r="N28" s="415" t="n"/>
    </row>
    <row r="29" ht="14.25" customHeight="1" s="335"/>
    <row r="30" ht="14.25" customHeight="1" s="335"/>
    <row r="31" ht="14.25" customHeight="1" s="335"/>
    <row r="32" ht="14.25" customHeight="1" s="335"/>
    <row r="33" ht="14.25" customHeight="1" s="335"/>
    <row r="34" ht="14.25" customHeight="1" s="335"/>
    <row r="35" ht="14.25" customHeight="1" s="335"/>
    <row r="36" ht="14.25" customHeight="1" s="335"/>
    <row r="37" ht="14.25" customHeight="1" s="335"/>
    <row r="38" ht="14.25" customHeight="1" s="335"/>
    <row r="39" ht="14.25" customHeight="1" s="335"/>
    <row r="40" ht="14.25" customHeight="1" s="335"/>
    <row r="41" ht="14.25" customHeight="1" s="335"/>
    <row r="42" ht="14.25" customHeight="1" s="335"/>
    <row r="43" ht="14.25" customHeight="1" s="335"/>
    <row r="44" ht="14.25" customHeight="1" s="335"/>
    <row r="45" ht="14.25" customHeight="1" s="335"/>
    <row r="46" ht="14.25" customHeight="1" s="335"/>
    <row r="47" ht="14.25" customHeight="1" s="335"/>
    <row r="48" ht="14.25" customHeight="1" s="335"/>
    <row r="49" ht="14.25" customHeight="1" s="335"/>
    <row r="50" ht="14.25" customHeight="1" s="335"/>
    <row r="51" ht="14.25" customHeight="1" s="335"/>
    <row r="52" ht="14.25" customHeight="1" s="335"/>
    <row r="53" ht="14.25" customHeight="1" s="335"/>
    <row r="54" ht="14.25" customHeight="1" s="335"/>
    <row r="55" ht="14.25" customHeight="1" s="335"/>
    <row r="56" ht="14.25" customHeight="1" s="335"/>
    <row r="57" ht="14.25" customHeight="1" s="335"/>
    <row r="58" ht="14.25" customHeight="1" s="335"/>
    <row r="59" ht="14.25" customHeight="1" s="335"/>
    <row r="60" ht="14.25" customHeight="1" s="335"/>
    <row r="61" ht="14.25" customHeight="1" s="335"/>
    <row r="62" ht="14.25" customHeight="1" s="335"/>
    <row r="63" ht="14.25" customHeight="1" s="335"/>
    <row r="64" ht="14.25" customHeight="1" s="335"/>
    <row r="65" ht="14.25" customHeight="1" s="335"/>
    <row r="66" ht="14.25" customHeight="1" s="335"/>
    <row r="67" ht="14.25" customHeight="1" s="335"/>
    <row r="68" ht="14.25" customHeight="1" s="335"/>
    <row r="69" ht="14.25" customHeight="1" s="335"/>
    <row r="70" ht="14.25" customHeight="1" s="335"/>
    <row r="71" ht="14.25" customHeight="1" s="335"/>
    <row r="72" ht="14.25" customHeight="1" s="335"/>
    <row r="73" ht="14.25" customHeight="1" s="335"/>
    <row r="74" ht="14.25" customHeight="1" s="335"/>
    <row r="75" ht="14.25" customHeight="1" s="335"/>
    <row r="76" ht="14.25" customHeight="1" s="335"/>
    <row r="77" ht="14.25" customHeight="1" s="335"/>
    <row r="78" ht="14.25" customHeight="1" s="335"/>
    <row r="79" ht="14.25" customHeight="1" s="335"/>
    <row r="80" ht="14.25" customHeight="1" s="335"/>
    <row r="81" ht="14.25" customHeight="1" s="335"/>
    <row r="82" ht="14.25" customHeight="1" s="335"/>
    <row r="83" ht="14.25" customHeight="1" s="335"/>
    <row r="84" ht="14.25" customHeight="1" s="335"/>
    <row r="85" ht="14.25" customHeight="1" s="335"/>
    <row r="86" ht="14.25" customHeight="1" s="335"/>
    <row r="87" ht="14.25" customHeight="1" s="335"/>
    <row r="88" ht="14.25" customHeight="1" s="335"/>
    <row r="89" ht="14.25" customHeight="1" s="335"/>
    <row r="90" ht="14.25" customHeight="1" s="335"/>
    <row r="91" ht="14.25" customHeight="1" s="335"/>
    <row r="92" ht="14.25" customHeight="1" s="335"/>
    <row r="93" ht="14.25" customHeight="1" s="335"/>
    <row r="94" ht="14.25" customHeight="1" s="335"/>
    <row r="95" ht="14.25" customHeight="1" s="335"/>
    <row r="96" ht="14.25" customHeight="1" s="335"/>
    <row r="97" ht="14.25" customHeight="1" s="335"/>
    <row r="98" ht="14.25" customHeight="1" s="335"/>
    <row r="99" ht="14.25" customHeight="1" s="335"/>
    <row r="100" ht="14.25" customHeight="1" s="335"/>
    <row r="101" ht="14.25" customHeight="1" s="335"/>
    <row r="102" ht="14.25" customHeight="1" s="335"/>
    <row r="103" ht="14.25" customHeight="1" s="335"/>
    <row r="104" ht="14.25" customHeight="1" s="335"/>
    <row r="105" ht="14.25" customHeight="1" s="335"/>
    <row r="106" ht="14.25" customHeight="1" s="335"/>
    <row r="107" ht="14.25" customHeight="1" s="335"/>
    <row r="108" ht="14.25" customHeight="1" s="335"/>
    <row r="109" ht="14.25" customHeight="1" s="335"/>
    <row r="110" ht="14.25" customHeight="1" s="335"/>
    <row r="111" ht="14.25" customHeight="1" s="335"/>
    <row r="112" ht="14.25" customHeight="1" s="335"/>
    <row r="113" ht="14.25" customHeight="1" s="335"/>
    <row r="114" ht="14.25" customHeight="1" s="335"/>
    <row r="115" ht="14.25" customHeight="1" s="335"/>
    <row r="116" ht="14.25" customHeight="1" s="335"/>
    <row r="117" ht="14.25" customHeight="1" s="335"/>
    <row r="118" ht="14.25" customHeight="1" s="335"/>
    <row r="119" ht="14.25" customHeight="1" s="335"/>
    <row r="120" ht="14.25" customHeight="1" s="335"/>
    <row r="121" ht="14.25" customHeight="1" s="335"/>
    <row r="122" ht="14.25" customHeight="1" s="335"/>
    <row r="123" ht="14.25" customHeight="1" s="335"/>
    <row r="124" ht="14.25" customHeight="1" s="335"/>
    <row r="125" ht="14.25" customHeight="1" s="335"/>
    <row r="126" ht="14.25" customHeight="1" s="335"/>
    <row r="127" ht="14.25" customHeight="1" s="335"/>
    <row r="128" ht="14.25" customHeight="1" s="335"/>
    <row r="129" ht="14.25" customHeight="1" s="335"/>
    <row r="130" ht="14.25" customHeight="1" s="335"/>
    <row r="131" ht="14.25" customHeight="1" s="335"/>
    <row r="132" ht="14.25" customHeight="1" s="335"/>
    <row r="133" ht="14.25" customHeight="1" s="335"/>
    <row r="134" ht="14.25" customHeight="1" s="335"/>
    <row r="135" ht="14.25" customHeight="1" s="335"/>
    <row r="136" ht="14.25" customHeight="1" s="335"/>
    <row r="137" ht="14.25" customHeight="1" s="335"/>
    <row r="138" ht="14.25" customHeight="1" s="335"/>
    <row r="139" ht="14.25" customHeight="1" s="335"/>
    <row r="140" ht="14.25" customHeight="1" s="335"/>
    <row r="141" ht="14.25" customHeight="1" s="335"/>
    <row r="142" ht="14.25" customHeight="1" s="335"/>
    <row r="143" ht="14.25" customHeight="1" s="335"/>
    <row r="144" ht="14.25" customHeight="1" s="335"/>
    <row r="145" ht="14.25" customHeight="1" s="335"/>
    <row r="146" ht="14.25" customHeight="1" s="335"/>
    <row r="147" ht="14.25" customHeight="1" s="335"/>
    <row r="148" ht="14.25" customHeight="1" s="335"/>
    <row r="149" ht="14.25" customHeight="1" s="335"/>
    <row r="150" ht="14.25" customHeight="1" s="335"/>
    <row r="151" ht="14.25" customHeight="1" s="335"/>
    <row r="152" ht="14.25" customHeight="1" s="335"/>
    <row r="153" ht="14.25" customHeight="1" s="335"/>
    <row r="154" ht="14.25" customHeight="1" s="335"/>
    <row r="155" ht="14.25" customHeight="1" s="335"/>
    <row r="156" ht="14.25" customHeight="1" s="335"/>
    <row r="157" ht="14.25" customHeight="1" s="335"/>
    <row r="158" ht="14.25" customHeight="1" s="335"/>
    <row r="159" ht="14.25" customHeight="1" s="335"/>
    <row r="160" ht="14.25" customHeight="1" s="335"/>
    <row r="161" ht="14.25" customHeight="1" s="335"/>
    <row r="162" ht="14.25" customHeight="1" s="335"/>
    <row r="163" ht="14.25" customHeight="1" s="335"/>
    <row r="164" ht="14.25" customHeight="1" s="335"/>
    <row r="165" ht="14.25" customHeight="1" s="335"/>
    <row r="166" ht="14.25" customHeight="1" s="335"/>
    <row r="167" ht="14.25" customHeight="1" s="335"/>
    <row r="168" ht="14.25" customHeight="1" s="335"/>
    <row r="169" ht="14.25" customHeight="1" s="335"/>
    <row r="170" ht="14.25" customHeight="1" s="335"/>
    <row r="171" ht="14.25" customHeight="1" s="335"/>
    <row r="172" ht="14.25" customHeight="1" s="335"/>
    <row r="173" ht="14.25" customHeight="1" s="335"/>
    <row r="174" ht="14.25" customHeight="1" s="335"/>
    <row r="175" ht="14.25" customHeight="1" s="335"/>
    <row r="176" ht="14.25" customHeight="1" s="335"/>
    <row r="177" ht="14.25" customHeight="1" s="335"/>
    <row r="178" ht="14.25" customHeight="1" s="335"/>
    <row r="179" ht="14.25" customHeight="1" s="335"/>
    <row r="180" ht="14.25" customHeight="1" s="335"/>
    <row r="181" ht="14.25" customHeight="1" s="335"/>
    <row r="182" ht="14.25" customHeight="1" s="335"/>
    <row r="183" ht="14.25" customHeight="1" s="335"/>
    <row r="184" ht="14.25" customHeight="1" s="335"/>
    <row r="185" ht="14.25" customHeight="1" s="335"/>
    <row r="186" ht="14.25" customHeight="1" s="335"/>
    <row r="187" ht="14.25" customHeight="1" s="335"/>
    <row r="188" ht="14.25" customHeight="1" s="335"/>
    <row r="189" ht="14.25" customHeight="1" s="335"/>
    <row r="190" ht="14.25" customHeight="1" s="335"/>
    <row r="191" ht="14.25" customHeight="1" s="335"/>
    <row r="192" ht="14.25" customHeight="1" s="335"/>
    <row r="193" ht="14.25" customHeight="1" s="335"/>
    <row r="194" ht="14.25" customHeight="1" s="335"/>
    <row r="195" ht="14.25" customHeight="1" s="335"/>
    <row r="196" ht="14.25" customHeight="1" s="335"/>
    <row r="197" ht="14.25" customHeight="1" s="335"/>
    <row r="198" ht="14.25" customHeight="1" s="335"/>
    <row r="199" ht="14.25" customHeight="1" s="335"/>
    <row r="200" ht="14.25" customHeight="1" s="335"/>
    <row r="201" ht="14.25" customHeight="1" s="335"/>
    <row r="202" ht="14.25" customHeight="1" s="335"/>
    <row r="203" ht="14.25" customHeight="1" s="335"/>
    <row r="204" ht="14.25" customHeight="1" s="335"/>
    <row r="205" ht="14.25" customHeight="1" s="335"/>
    <row r="206" ht="14.25" customHeight="1" s="335"/>
    <row r="207" ht="14.25" customHeight="1" s="335"/>
    <row r="208" ht="14.25" customHeight="1" s="335"/>
    <row r="209" ht="14.25" customHeight="1" s="335"/>
    <row r="210" ht="14.25" customHeight="1" s="335"/>
    <row r="211" ht="14.25" customHeight="1" s="335"/>
    <row r="212" ht="14.25" customHeight="1" s="335"/>
    <row r="213" ht="14.25" customHeight="1" s="335"/>
    <row r="214" ht="14.25" customHeight="1" s="335"/>
    <row r="215" ht="14.25" customHeight="1" s="335"/>
    <row r="216" ht="14.25" customHeight="1" s="335"/>
    <row r="217" ht="14.25" customHeight="1" s="335"/>
    <row r="218" ht="14.25" customHeight="1" s="335"/>
    <row r="219" ht="14.25" customHeight="1" s="335"/>
    <row r="220" ht="14.25" customHeight="1" s="335"/>
    <row r="221" ht="14.25" customHeight="1" s="335"/>
    <row r="222" ht="14.25" customHeight="1" s="335"/>
    <row r="223" ht="14.25" customHeight="1" s="335"/>
    <row r="224" ht="14.25" customHeight="1" s="335"/>
    <row r="225" ht="14.25" customHeight="1" s="335"/>
    <row r="226" ht="14.25" customHeight="1" s="335"/>
    <row r="227" ht="14.25" customHeight="1" s="335"/>
    <row r="228" ht="14.25" customHeight="1" s="335"/>
    <row r="229" ht="14.25" customHeight="1" s="335"/>
    <row r="230" ht="14.25" customHeight="1" s="335"/>
    <row r="231" ht="14.25" customHeight="1" s="335"/>
    <row r="232" ht="14.25" customHeight="1" s="335"/>
    <row r="233" ht="14.25" customHeight="1" s="335"/>
    <row r="234" ht="14.25" customHeight="1" s="335"/>
    <row r="235" ht="14.25" customHeight="1" s="335"/>
    <row r="236" ht="14.25" customHeight="1" s="335"/>
    <row r="237" ht="14.25" customHeight="1" s="335"/>
    <row r="238" ht="14.25" customHeight="1" s="335"/>
    <row r="239" ht="14.25" customHeight="1" s="335"/>
    <row r="240" ht="14.25" customHeight="1" s="335"/>
    <row r="241" ht="14.25" customHeight="1" s="335"/>
    <row r="242" ht="14.25" customHeight="1" s="335"/>
    <row r="243" ht="14.25" customHeight="1" s="335"/>
    <row r="244" ht="14.25" customHeight="1" s="335"/>
    <row r="245" ht="14.25" customHeight="1" s="335"/>
    <row r="246" ht="14.25" customHeight="1" s="335"/>
    <row r="247" ht="14.25" customHeight="1" s="335"/>
    <row r="248" ht="14.25" customHeight="1" s="335"/>
    <row r="249" ht="14.25" customHeight="1" s="335"/>
    <row r="250" ht="14.25" customHeight="1" s="335"/>
    <row r="251" ht="14.25" customHeight="1" s="335"/>
    <row r="252" ht="14.25" customHeight="1" s="335"/>
    <row r="253" ht="14.25" customHeight="1" s="335"/>
    <row r="254" ht="14.25" customHeight="1" s="335"/>
    <row r="255" ht="14.25" customHeight="1" s="335"/>
    <row r="256" ht="14.25" customHeight="1" s="335"/>
    <row r="257" ht="14.25" customHeight="1" s="335"/>
    <row r="258" ht="14.25" customHeight="1" s="335"/>
    <row r="259" ht="14.25" customHeight="1" s="335"/>
    <row r="260" ht="14.25" customHeight="1" s="335"/>
    <row r="261" ht="14.25" customHeight="1" s="335"/>
    <row r="262" ht="14.25" customHeight="1" s="335"/>
    <row r="263" ht="14.25" customHeight="1" s="335"/>
    <row r="264" ht="14.25" customHeight="1" s="335"/>
    <row r="265" ht="14.25" customHeight="1" s="335"/>
    <row r="266" ht="14.25" customHeight="1" s="335"/>
    <row r="267" ht="14.25" customHeight="1" s="335"/>
    <row r="268" ht="14.25" customHeight="1" s="335"/>
    <row r="269" ht="14.25" customHeight="1" s="335"/>
    <row r="270" ht="14.25" customHeight="1" s="335"/>
    <row r="271" ht="14.25" customHeight="1" s="335"/>
    <row r="272" ht="14.25" customHeight="1" s="335"/>
    <row r="273" ht="14.25" customHeight="1" s="335"/>
    <row r="274" ht="14.25" customHeight="1" s="335"/>
    <row r="275" ht="14.25" customHeight="1" s="335"/>
    <row r="276" ht="14.25" customHeight="1" s="335"/>
    <row r="277" ht="14.25" customHeight="1" s="335"/>
    <row r="278" ht="14.25" customHeight="1" s="335"/>
    <row r="279" ht="14.25" customHeight="1" s="335"/>
    <row r="280" ht="14.25" customHeight="1" s="335"/>
    <row r="281" ht="14.25" customHeight="1" s="335"/>
    <row r="282" ht="14.25" customHeight="1" s="335"/>
    <row r="283" ht="14.25" customHeight="1" s="335"/>
    <row r="284" ht="14.25" customHeight="1" s="335"/>
    <row r="285" ht="14.25" customHeight="1" s="335"/>
    <row r="286" ht="14.25" customHeight="1" s="335"/>
    <row r="287" ht="14.25" customHeight="1" s="335"/>
    <row r="288" ht="14.25" customHeight="1" s="335"/>
    <row r="289" ht="14.25" customHeight="1" s="335"/>
    <row r="290" ht="14.25" customHeight="1" s="335"/>
    <row r="291" ht="14.25" customHeight="1" s="335"/>
    <row r="292" ht="14.25" customHeight="1" s="335"/>
    <row r="293" ht="14.25" customHeight="1" s="335"/>
    <row r="294" ht="14.25" customHeight="1" s="335"/>
    <row r="295" ht="14.25" customHeight="1" s="335"/>
    <row r="296" ht="14.25" customHeight="1" s="335"/>
    <row r="297" ht="14.25" customHeight="1" s="335"/>
    <row r="298" ht="14.25" customHeight="1" s="335"/>
    <row r="299" ht="14.25" customHeight="1" s="335"/>
    <row r="300" ht="14.25" customHeight="1" s="335"/>
    <row r="301" ht="14.25" customHeight="1" s="335"/>
    <row r="302" ht="14.25" customHeight="1" s="335"/>
    <row r="303" ht="14.25" customHeight="1" s="335"/>
    <row r="304" ht="14.25" customHeight="1" s="335"/>
    <row r="305" ht="14.25" customHeight="1" s="335"/>
    <row r="306" ht="14.25" customHeight="1" s="335"/>
    <row r="307" ht="14.25" customHeight="1" s="335"/>
    <row r="308" ht="14.25" customHeight="1" s="335"/>
    <row r="309" ht="14.25" customHeight="1" s="335"/>
    <row r="310" ht="14.25" customHeight="1" s="335"/>
    <row r="311" ht="14.25" customHeight="1" s="335"/>
    <row r="312" ht="14.25" customHeight="1" s="335"/>
    <row r="313" ht="14.25" customHeight="1" s="335"/>
    <row r="314" ht="14.25" customHeight="1" s="335"/>
    <row r="315" ht="14.25" customHeight="1" s="335"/>
    <row r="316" ht="14.25" customHeight="1" s="335"/>
    <row r="317" ht="14.25" customHeight="1" s="335"/>
    <row r="318" ht="14.25" customHeight="1" s="335"/>
    <row r="319" ht="14.25" customHeight="1" s="335"/>
    <row r="320" ht="14.25" customHeight="1" s="335"/>
    <row r="321" ht="14.25" customHeight="1" s="335"/>
    <row r="322" ht="14.25" customHeight="1" s="335"/>
    <row r="323" ht="14.25" customHeight="1" s="335"/>
    <row r="324" ht="14.25" customHeight="1" s="335"/>
    <row r="325" ht="14.25" customHeight="1" s="335"/>
    <row r="326" ht="14.25" customHeight="1" s="335"/>
    <row r="327" ht="14.25" customHeight="1" s="335"/>
    <row r="328" ht="14.25" customHeight="1" s="335"/>
    <row r="329" ht="14.25" customHeight="1" s="335"/>
    <row r="330" ht="14.25" customHeight="1" s="335"/>
    <row r="331" ht="14.25" customHeight="1" s="335"/>
    <row r="332" ht="14.25" customHeight="1" s="335"/>
    <row r="333" ht="14.25" customHeight="1" s="335"/>
    <row r="334" ht="14.25" customHeight="1" s="335"/>
    <row r="335" ht="14.25" customHeight="1" s="335"/>
    <row r="336" ht="14.25" customHeight="1" s="335"/>
    <row r="337" ht="14.25" customHeight="1" s="335"/>
    <row r="338" ht="14.25" customHeight="1" s="335"/>
    <row r="339" ht="14.25" customHeight="1" s="335"/>
    <row r="340" ht="14.25" customHeight="1" s="335"/>
    <row r="341" ht="14.25" customHeight="1" s="335"/>
    <row r="342" ht="14.25" customHeight="1" s="335"/>
    <row r="343" ht="14.25" customHeight="1" s="335"/>
    <row r="344" ht="14.25" customHeight="1" s="335"/>
    <row r="345" ht="14.25" customHeight="1" s="335"/>
    <row r="346" ht="14.25" customHeight="1" s="335"/>
    <row r="347" ht="14.25" customHeight="1" s="335"/>
    <row r="348" ht="14.25" customHeight="1" s="335"/>
    <row r="349" ht="14.25" customHeight="1" s="335"/>
    <row r="350" ht="14.25" customHeight="1" s="335"/>
    <row r="351" ht="14.25" customHeight="1" s="335"/>
    <row r="352" ht="14.25" customHeight="1" s="335"/>
    <row r="353" ht="14.25" customHeight="1" s="335"/>
    <row r="354" ht="14.25" customHeight="1" s="335"/>
    <row r="355" ht="14.25" customHeight="1" s="335"/>
    <row r="356" ht="14.25" customHeight="1" s="335"/>
    <row r="357" ht="14.25" customHeight="1" s="335"/>
    <row r="358" ht="14.25" customHeight="1" s="335"/>
    <row r="359" ht="14.25" customHeight="1" s="335"/>
    <row r="360" ht="14.25" customHeight="1" s="335"/>
    <row r="361" ht="14.25" customHeight="1" s="335"/>
    <row r="362" ht="14.25" customHeight="1" s="335"/>
    <row r="363" ht="14.25" customHeight="1" s="335"/>
    <row r="364" ht="14.25" customHeight="1" s="335"/>
    <row r="365" ht="14.25" customHeight="1" s="335"/>
    <row r="366" ht="14.25" customHeight="1" s="335"/>
    <row r="367" ht="14.25" customHeight="1" s="335"/>
    <row r="368" ht="14.25" customHeight="1" s="335"/>
    <row r="369" ht="14.25" customHeight="1" s="335"/>
    <row r="370" ht="14.25" customHeight="1" s="335"/>
    <row r="371" ht="14.25" customHeight="1" s="335"/>
    <row r="372" ht="14.25" customHeight="1" s="335"/>
    <row r="373" ht="14.25" customHeight="1" s="335"/>
    <row r="374" ht="14.25" customHeight="1" s="335"/>
    <row r="375" ht="14.25" customHeight="1" s="335"/>
    <row r="376" ht="14.25" customHeight="1" s="335"/>
    <row r="377" ht="14.25" customHeight="1" s="335"/>
    <row r="378" ht="14.25" customHeight="1" s="335"/>
    <row r="379" ht="14.25" customHeight="1" s="335"/>
    <row r="380" ht="14.25" customHeight="1" s="335"/>
    <row r="381" ht="14.25" customHeight="1" s="335"/>
    <row r="382" ht="14.25" customHeight="1" s="335"/>
    <row r="383" ht="14.25" customHeight="1" s="335"/>
    <row r="384" ht="14.25" customHeight="1" s="335"/>
    <row r="385" ht="14.25" customHeight="1" s="335"/>
    <row r="386" ht="14.25" customHeight="1" s="335"/>
    <row r="387" ht="14.25" customHeight="1" s="335"/>
    <row r="388" ht="14.25" customHeight="1" s="335"/>
    <row r="389" ht="14.25" customHeight="1" s="335"/>
    <row r="390" ht="14.25" customHeight="1" s="335"/>
    <row r="391" ht="14.25" customHeight="1" s="335"/>
    <row r="392" ht="14.25" customHeight="1" s="335"/>
    <row r="393" ht="14.25" customHeight="1" s="335"/>
    <row r="394" ht="14.25" customHeight="1" s="335"/>
    <row r="395" ht="14.25" customHeight="1" s="335"/>
    <row r="396" ht="14.25" customHeight="1" s="335"/>
    <row r="397" ht="14.25" customHeight="1" s="335"/>
    <row r="398" ht="14.25" customHeight="1" s="335"/>
    <row r="399" ht="14.25" customHeight="1" s="335"/>
    <row r="400" ht="14.25" customHeight="1" s="335"/>
    <row r="401" ht="14.25" customHeight="1" s="335"/>
    <row r="402" ht="14.25" customHeight="1" s="335"/>
    <row r="403" ht="14.25" customHeight="1" s="335"/>
    <row r="404" ht="14.25" customHeight="1" s="335"/>
    <row r="405" ht="14.25" customHeight="1" s="335"/>
    <row r="406" ht="14.25" customHeight="1" s="335"/>
    <row r="407" ht="14.25" customHeight="1" s="335"/>
    <row r="408" ht="14.25" customHeight="1" s="335"/>
    <row r="409" ht="14.25" customHeight="1" s="335"/>
    <row r="410" ht="14.25" customHeight="1" s="335"/>
    <row r="411" ht="14.25" customHeight="1" s="335"/>
    <row r="412" ht="14.25" customHeight="1" s="335"/>
    <row r="413" ht="14.25" customHeight="1" s="335"/>
    <row r="414" ht="14.25" customHeight="1" s="335"/>
    <row r="415" ht="14.25" customHeight="1" s="335"/>
    <row r="416" ht="14.25" customHeight="1" s="335"/>
    <row r="417" ht="14.25" customHeight="1" s="335"/>
    <row r="418" ht="14.25" customHeight="1" s="335"/>
    <row r="419" ht="14.25" customHeight="1" s="335"/>
    <row r="420" ht="14.25" customHeight="1" s="335"/>
    <row r="421" ht="14.25" customHeight="1" s="335"/>
    <row r="422" ht="14.25" customHeight="1" s="335"/>
    <row r="423" ht="14.25" customHeight="1" s="335"/>
    <row r="424" ht="14.25" customHeight="1" s="335"/>
    <row r="425" ht="14.25" customHeight="1" s="335"/>
    <row r="426" ht="14.25" customHeight="1" s="335"/>
    <row r="427" ht="14.25" customHeight="1" s="335"/>
    <row r="428" ht="14.25" customHeight="1" s="335"/>
    <row r="429" ht="14.25" customHeight="1" s="335"/>
    <row r="430" ht="14.25" customHeight="1" s="335"/>
    <row r="431" ht="14.25" customHeight="1" s="335"/>
    <row r="432" ht="14.25" customHeight="1" s="335"/>
    <row r="433" ht="14.25" customHeight="1" s="335"/>
    <row r="434" ht="14.25" customHeight="1" s="335"/>
    <row r="435" ht="14.25" customHeight="1" s="335"/>
    <row r="436" ht="14.25" customHeight="1" s="335"/>
    <row r="437" ht="14.25" customHeight="1" s="335"/>
    <row r="438" ht="14.25" customHeight="1" s="335"/>
    <row r="439" ht="14.25" customHeight="1" s="335"/>
    <row r="440" ht="14.25" customHeight="1" s="335"/>
    <row r="441" ht="14.25" customHeight="1" s="335"/>
    <row r="442" ht="14.25" customHeight="1" s="335"/>
    <row r="443" ht="14.25" customHeight="1" s="335"/>
    <row r="444" ht="14.25" customHeight="1" s="335"/>
    <row r="445" ht="14.25" customHeight="1" s="335"/>
    <row r="446" ht="14.25" customHeight="1" s="335"/>
    <row r="447" ht="14.25" customHeight="1" s="335"/>
    <row r="448" ht="14.25" customHeight="1" s="335"/>
    <row r="449" ht="14.25" customHeight="1" s="335"/>
    <row r="450" ht="14.25" customHeight="1" s="335"/>
    <row r="451" ht="14.25" customHeight="1" s="335"/>
    <row r="452" ht="14.25" customHeight="1" s="335"/>
    <row r="453" ht="14.25" customHeight="1" s="335"/>
    <row r="454" ht="14.25" customHeight="1" s="335"/>
    <row r="455" ht="14.25" customHeight="1" s="335"/>
    <row r="456" ht="14.25" customHeight="1" s="335"/>
    <row r="457" ht="14.25" customHeight="1" s="335"/>
    <row r="458" ht="14.25" customHeight="1" s="335"/>
    <row r="459" ht="14.25" customHeight="1" s="335"/>
    <row r="460" ht="14.25" customHeight="1" s="335"/>
    <row r="461" ht="14.25" customHeight="1" s="335"/>
    <row r="462" ht="14.25" customHeight="1" s="335"/>
    <row r="463" ht="14.25" customHeight="1" s="335"/>
    <row r="464" ht="14.25" customHeight="1" s="335"/>
    <row r="465" ht="14.25" customHeight="1" s="335"/>
    <row r="466" ht="14.25" customHeight="1" s="335"/>
    <row r="467" ht="14.25" customHeight="1" s="335"/>
    <row r="468" ht="14.25" customHeight="1" s="335"/>
    <row r="469" ht="14.25" customHeight="1" s="335"/>
    <row r="470" ht="14.25" customHeight="1" s="335"/>
    <row r="471" ht="14.25" customHeight="1" s="335"/>
    <row r="472" ht="14.25" customHeight="1" s="335"/>
    <row r="473" ht="14.25" customHeight="1" s="335"/>
    <row r="474" ht="14.25" customHeight="1" s="335"/>
    <row r="475" ht="14.25" customHeight="1" s="335"/>
    <row r="476" ht="14.25" customHeight="1" s="335"/>
    <row r="477" ht="14.25" customHeight="1" s="335"/>
    <row r="478" ht="14.25" customHeight="1" s="335"/>
    <row r="479" ht="14.25" customHeight="1" s="335"/>
    <row r="480" ht="14.25" customHeight="1" s="335"/>
    <row r="481" ht="14.25" customHeight="1" s="335"/>
    <row r="482" ht="14.25" customHeight="1" s="335"/>
    <row r="483" ht="14.25" customHeight="1" s="335"/>
    <row r="484" ht="14.25" customHeight="1" s="335"/>
    <row r="485" ht="14.25" customHeight="1" s="335"/>
    <row r="486" ht="14.25" customHeight="1" s="335"/>
    <row r="487" ht="14.25" customHeight="1" s="335"/>
    <row r="488" ht="14.25" customHeight="1" s="335"/>
    <row r="489" ht="14.25" customHeight="1" s="335"/>
    <row r="490" ht="14.25" customHeight="1" s="335"/>
    <row r="491" ht="14.25" customHeight="1" s="335"/>
    <row r="492" ht="14.25" customHeight="1" s="335"/>
    <row r="493" ht="14.25" customHeight="1" s="335"/>
    <row r="494" ht="14.25" customHeight="1" s="335"/>
    <row r="495" ht="14.25" customHeight="1" s="335"/>
    <row r="496" ht="14.25" customHeight="1" s="335"/>
    <row r="497" ht="14.25" customHeight="1" s="335"/>
    <row r="498" ht="14.25" customHeight="1" s="335"/>
    <row r="499" ht="14.25" customHeight="1" s="335"/>
    <row r="500" ht="14.25" customHeight="1" s="335"/>
    <row r="501" ht="14.25" customHeight="1" s="335"/>
    <row r="502" ht="14.25" customHeight="1" s="335"/>
    <row r="503" ht="14.25" customHeight="1" s="335"/>
    <row r="504" ht="14.25" customHeight="1" s="335"/>
    <row r="505" ht="14.25" customHeight="1" s="335"/>
    <row r="506" ht="14.25" customHeight="1" s="335"/>
    <row r="507" ht="14.25" customHeight="1" s="335"/>
    <row r="508" ht="14.25" customHeight="1" s="335"/>
    <row r="509" ht="14.25" customHeight="1" s="335"/>
    <row r="510" ht="14.25" customHeight="1" s="335"/>
    <row r="511" ht="14.25" customHeight="1" s="335"/>
    <row r="512" ht="14.25" customHeight="1" s="335"/>
    <row r="513" ht="14.25" customHeight="1" s="335"/>
    <row r="514" ht="14.25" customHeight="1" s="335"/>
    <row r="515" ht="14.25" customHeight="1" s="335"/>
    <row r="516" ht="14.25" customHeight="1" s="335"/>
    <row r="517" ht="14.25" customHeight="1" s="335"/>
    <row r="518" ht="14.25" customHeight="1" s="335"/>
    <row r="519" ht="14.25" customHeight="1" s="335"/>
    <row r="520" ht="14.25" customHeight="1" s="335"/>
    <row r="521" ht="14.25" customHeight="1" s="335"/>
    <row r="522" ht="14.25" customHeight="1" s="335"/>
    <row r="523" ht="14.25" customHeight="1" s="335"/>
    <row r="524" ht="14.25" customHeight="1" s="335"/>
    <row r="525" ht="14.25" customHeight="1" s="335"/>
    <row r="526" ht="14.25" customHeight="1" s="335"/>
    <row r="527" ht="14.25" customHeight="1" s="335"/>
    <row r="528" ht="14.25" customHeight="1" s="335"/>
    <row r="529" ht="14.25" customHeight="1" s="335"/>
    <row r="530" ht="14.25" customHeight="1" s="335"/>
    <row r="531" ht="14.25" customHeight="1" s="335"/>
    <row r="532" ht="14.25" customHeight="1" s="335"/>
    <row r="533" ht="14.25" customHeight="1" s="335"/>
    <row r="534" ht="14.25" customHeight="1" s="335"/>
    <row r="535" ht="14.25" customHeight="1" s="335"/>
    <row r="536" ht="14.25" customHeight="1" s="335"/>
    <row r="537" ht="14.25" customHeight="1" s="335"/>
    <row r="538" ht="14.25" customHeight="1" s="335"/>
    <row r="539" ht="14.25" customHeight="1" s="335"/>
    <row r="540" ht="14.25" customHeight="1" s="335"/>
    <row r="541" ht="14.25" customHeight="1" s="335"/>
    <row r="542" ht="14.25" customHeight="1" s="335"/>
    <row r="543" ht="14.25" customHeight="1" s="335"/>
    <row r="544" ht="14.25" customHeight="1" s="335"/>
    <row r="545" ht="14.25" customHeight="1" s="335"/>
    <row r="546" ht="14.25" customHeight="1" s="335"/>
    <row r="547" ht="14.25" customHeight="1" s="335"/>
    <row r="548" ht="14.25" customHeight="1" s="335"/>
    <row r="549" ht="14.25" customHeight="1" s="335"/>
    <row r="550" ht="14.25" customHeight="1" s="335"/>
    <row r="551" ht="14.25" customHeight="1" s="335"/>
    <row r="552" ht="14.25" customHeight="1" s="335"/>
    <row r="553" ht="14.25" customHeight="1" s="335"/>
    <row r="554" ht="14.25" customHeight="1" s="335"/>
    <row r="555" ht="14.25" customHeight="1" s="335"/>
    <row r="556" ht="14.25" customHeight="1" s="335"/>
    <row r="557" ht="14.25" customHeight="1" s="335"/>
    <row r="558" ht="14.25" customHeight="1" s="335"/>
    <row r="559" ht="14.25" customHeight="1" s="335"/>
    <row r="560" ht="14.25" customHeight="1" s="335"/>
    <row r="561" ht="14.25" customHeight="1" s="335"/>
    <row r="562" ht="14.25" customHeight="1" s="335"/>
    <row r="563" ht="14.25" customHeight="1" s="335"/>
    <row r="564" ht="14.25" customHeight="1" s="335"/>
    <row r="565" ht="14.25" customHeight="1" s="335"/>
    <row r="566" ht="14.25" customHeight="1" s="335"/>
    <row r="567" ht="14.25" customHeight="1" s="335"/>
    <row r="568" ht="14.25" customHeight="1" s="335"/>
    <row r="569" ht="14.25" customHeight="1" s="335"/>
    <row r="570" ht="14.25" customHeight="1" s="335"/>
    <row r="571" ht="14.25" customHeight="1" s="335"/>
    <row r="572" ht="14.25" customHeight="1" s="335"/>
    <row r="573" ht="14.25" customHeight="1" s="335"/>
    <row r="574" ht="14.25" customHeight="1" s="335"/>
    <row r="575" ht="14.25" customHeight="1" s="335"/>
    <row r="576" ht="14.25" customHeight="1" s="335"/>
    <row r="577" ht="14.25" customHeight="1" s="335"/>
    <row r="578" ht="14.25" customHeight="1" s="335"/>
    <row r="579" ht="14.25" customHeight="1" s="335"/>
    <row r="580" ht="14.25" customHeight="1" s="335"/>
    <row r="581" ht="14.25" customHeight="1" s="335"/>
    <row r="582" ht="14.25" customHeight="1" s="335"/>
    <row r="583" ht="14.25" customHeight="1" s="335"/>
    <row r="584" ht="14.25" customHeight="1" s="335"/>
    <row r="585" ht="14.25" customHeight="1" s="335"/>
    <row r="586" ht="14.25" customHeight="1" s="335"/>
    <row r="587" ht="14.25" customHeight="1" s="335"/>
    <row r="588" ht="14.25" customHeight="1" s="335"/>
    <row r="589" ht="14.25" customHeight="1" s="335"/>
    <row r="590" ht="14.25" customHeight="1" s="335"/>
    <row r="591" ht="14.25" customHeight="1" s="335"/>
    <row r="592" ht="14.25" customHeight="1" s="335"/>
    <row r="593" ht="14.25" customHeight="1" s="335"/>
    <row r="594" ht="14.25" customHeight="1" s="335"/>
    <row r="595" ht="14.25" customHeight="1" s="335"/>
    <row r="596" ht="14.25" customHeight="1" s="335"/>
    <row r="597" ht="14.25" customHeight="1" s="335"/>
    <row r="598" ht="14.25" customHeight="1" s="335"/>
    <row r="599" ht="14.25" customHeight="1" s="335"/>
    <row r="600" ht="14.25" customHeight="1" s="335"/>
    <row r="601" ht="14.25" customHeight="1" s="335"/>
    <row r="602" ht="14.25" customHeight="1" s="335"/>
    <row r="603" ht="14.25" customHeight="1" s="335"/>
    <row r="604" ht="14.25" customHeight="1" s="335"/>
    <row r="605" ht="14.25" customHeight="1" s="335"/>
    <row r="606" ht="14.25" customHeight="1" s="335"/>
    <row r="607" ht="14.25" customHeight="1" s="335"/>
    <row r="608" ht="14.25" customHeight="1" s="335"/>
    <row r="609" ht="14.25" customHeight="1" s="335"/>
    <row r="610" ht="14.25" customHeight="1" s="335"/>
    <row r="611" ht="14.25" customHeight="1" s="335"/>
    <row r="612" ht="14.25" customHeight="1" s="335"/>
    <row r="613" ht="14.25" customHeight="1" s="335"/>
    <row r="614" ht="14.25" customHeight="1" s="335"/>
    <row r="615" ht="14.25" customHeight="1" s="335"/>
    <row r="616" ht="14.25" customHeight="1" s="335"/>
    <row r="617" ht="14.25" customHeight="1" s="335"/>
    <row r="618" ht="14.25" customHeight="1" s="335"/>
    <row r="619" ht="14.25" customHeight="1" s="335"/>
    <row r="620" ht="14.25" customHeight="1" s="335"/>
    <row r="621" ht="14.25" customHeight="1" s="335"/>
    <row r="622" ht="14.25" customHeight="1" s="335"/>
    <row r="623" ht="14.25" customHeight="1" s="335"/>
    <row r="624" ht="14.25" customHeight="1" s="335"/>
    <row r="625" ht="14.25" customHeight="1" s="335"/>
    <row r="626" ht="14.25" customHeight="1" s="335"/>
    <row r="627" ht="14.25" customHeight="1" s="335"/>
    <row r="628" ht="14.25" customHeight="1" s="335"/>
    <row r="629" ht="14.25" customHeight="1" s="335"/>
    <row r="630" ht="14.25" customHeight="1" s="335"/>
    <row r="631" ht="14.25" customHeight="1" s="335"/>
    <row r="632" ht="14.25" customHeight="1" s="335"/>
    <row r="633" ht="14.25" customHeight="1" s="335"/>
    <row r="634" ht="14.25" customHeight="1" s="335"/>
    <row r="635" ht="14.25" customHeight="1" s="335"/>
    <row r="636" ht="14.25" customHeight="1" s="335"/>
    <row r="637" ht="14.25" customHeight="1" s="335"/>
    <row r="638" ht="14.25" customHeight="1" s="335"/>
    <row r="639" ht="14.25" customHeight="1" s="335"/>
    <row r="640" ht="14.25" customHeight="1" s="335"/>
    <row r="641" ht="14.25" customHeight="1" s="335"/>
    <row r="642" ht="14.25" customHeight="1" s="335"/>
    <row r="643" ht="14.25" customHeight="1" s="335"/>
    <row r="644" ht="14.25" customHeight="1" s="335"/>
    <row r="645" ht="14.25" customHeight="1" s="335"/>
    <row r="646" ht="14.25" customHeight="1" s="335"/>
    <row r="647" ht="14.25" customHeight="1" s="335"/>
    <row r="648" ht="14.25" customHeight="1" s="335"/>
    <row r="649" ht="14.25" customHeight="1" s="335"/>
    <row r="650" ht="14.25" customHeight="1" s="335"/>
    <row r="651" ht="14.25" customHeight="1" s="335"/>
    <row r="652" ht="14.25" customHeight="1" s="335"/>
    <row r="653" ht="14.25" customHeight="1" s="335"/>
    <row r="654" ht="14.25" customHeight="1" s="335"/>
    <row r="655" ht="14.25" customHeight="1" s="335"/>
    <row r="656" ht="14.25" customHeight="1" s="335"/>
    <row r="657" ht="14.25" customHeight="1" s="335"/>
    <row r="658" ht="14.25" customHeight="1" s="335"/>
    <row r="659" ht="14.25" customHeight="1" s="335"/>
    <row r="660" ht="14.25" customHeight="1" s="335"/>
    <row r="661" ht="14.25" customHeight="1" s="335"/>
    <row r="662" ht="14.25" customHeight="1" s="335"/>
    <row r="663" ht="14.25" customHeight="1" s="335"/>
    <row r="664" ht="14.25" customHeight="1" s="335"/>
    <row r="665" ht="14.25" customHeight="1" s="335"/>
    <row r="666" ht="14.25" customHeight="1" s="335"/>
    <row r="667" ht="14.25" customHeight="1" s="335"/>
    <row r="668" ht="14.25" customHeight="1" s="335"/>
    <row r="669" ht="14.25" customHeight="1" s="335"/>
    <row r="670" ht="14.25" customHeight="1" s="335"/>
    <row r="671" ht="14.25" customHeight="1" s="335"/>
    <row r="672" ht="14.25" customHeight="1" s="335"/>
    <row r="673" ht="14.25" customHeight="1" s="335"/>
    <row r="674" ht="14.25" customHeight="1" s="335"/>
    <row r="675" ht="14.25" customHeight="1" s="335"/>
    <row r="676" ht="14.25" customHeight="1" s="335"/>
    <row r="677" ht="14.25" customHeight="1" s="335"/>
    <row r="678" ht="14.25" customHeight="1" s="335"/>
    <row r="679" ht="14.25" customHeight="1" s="335"/>
    <row r="680" ht="14.25" customHeight="1" s="335"/>
    <row r="681" ht="14.25" customHeight="1" s="335"/>
    <row r="682" ht="14.25" customHeight="1" s="335"/>
    <row r="683" ht="14.25" customHeight="1" s="335"/>
    <row r="684" ht="14.25" customHeight="1" s="335"/>
    <row r="685" ht="14.25" customHeight="1" s="335"/>
    <row r="686" ht="14.25" customHeight="1" s="335"/>
    <row r="687" ht="14.25" customHeight="1" s="335"/>
    <row r="688" ht="14.25" customHeight="1" s="335"/>
    <row r="689" ht="14.25" customHeight="1" s="335"/>
    <row r="690" ht="14.25" customHeight="1" s="335"/>
    <row r="691" ht="14.25" customHeight="1" s="335"/>
    <row r="692" ht="14.25" customHeight="1" s="335"/>
    <row r="693" ht="14.25" customHeight="1" s="335"/>
    <row r="694" ht="14.25" customHeight="1" s="335"/>
    <row r="695" ht="14.25" customHeight="1" s="335"/>
    <row r="696" ht="14.25" customHeight="1" s="335"/>
    <row r="697" ht="14.25" customHeight="1" s="335"/>
    <row r="698" ht="14.25" customHeight="1" s="335"/>
    <row r="699" ht="14.25" customHeight="1" s="335"/>
    <row r="700" ht="14.25" customHeight="1" s="335"/>
    <row r="701" ht="14.25" customHeight="1" s="335"/>
    <row r="702" ht="14.25" customHeight="1" s="335"/>
    <row r="703" ht="14.25" customHeight="1" s="335"/>
    <row r="704" ht="14.25" customHeight="1" s="335"/>
    <row r="705" ht="14.25" customHeight="1" s="335"/>
    <row r="706" ht="14.25" customHeight="1" s="335"/>
    <row r="707" ht="14.25" customHeight="1" s="335"/>
    <row r="708" ht="14.25" customHeight="1" s="335"/>
    <row r="709" ht="14.25" customHeight="1" s="335"/>
    <row r="710" ht="14.25" customHeight="1" s="335"/>
    <row r="711" ht="14.25" customHeight="1" s="335"/>
    <row r="712" ht="14.25" customHeight="1" s="335"/>
    <row r="713" ht="14.25" customHeight="1" s="335"/>
    <row r="714" ht="14.25" customHeight="1" s="335"/>
    <row r="715" ht="14.25" customHeight="1" s="335"/>
    <row r="716" ht="14.25" customHeight="1" s="335"/>
    <row r="717" ht="14.25" customHeight="1" s="335"/>
    <row r="718" ht="14.25" customHeight="1" s="335"/>
    <row r="719" ht="14.25" customHeight="1" s="335"/>
    <row r="720" ht="14.25" customHeight="1" s="335"/>
    <row r="721" ht="14.25" customHeight="1" s="335"/>
    <row r="722" ht="14.25" customHeight="1" s="335"/>
    <row r="723" ht="14.25" customHeight="1" s="335"/>
    <row r="724" ht="14.25" customHeight="1" s="335"/>
    <row r="725" ht="14.25" customHeight="1" s="335"/>
    <row r="726" ht="14.25" customHeight="1" s="335"/>
    <row r="727" ht="14.25" customHeight="1" s="335"/>
    <row r="728" ht="14.25" customHeight="1" s="335"/>
    <row r="729" ht="14.25" customHeight="1" s="335"/>
    <row r="730" ht="14.25" customHeight="1" s="335"/>
    <row r="731" ht="14.25" customHeight="1" s="335"/>
    <row r="732" ht="14.25" customHeight="1" s="335"/>
    <row r="733" ht="14.25" customHeight="1" s="335"/>
    <row r="734" ht="14.25" customHeight="1" s="335"/>
    <row r="735" ht="14.25" customHeight="1" s="335"/>
    <row r="736" ht="14.25" customHeight="1" s="335"/>
    <row r="737" ht="14.25" customHeight="1" s="335"/>
    <row r="738" ht="14.25" customHeight="1" s="335"/>
    <row r="739" ht="14.25" customHeight="1" s="335"/>
    <row r="740" ht="14.25" customHeight="1" s="335"/>
    <row r="741" ht="14.25" customHeight="1" s="335"/>
    <row r="742" ht="14.25" customHeight="1" s="335"/>
    <row r="743" ht="14.25" customHeight="1" s="335"/>
    <row r="744" ht="14.25" customHeight="1" s="335"/>
    <row r="745" ht="14.25" customHeight="1" s="335"/>
    <row r="746" ht="14.25" customHeight="1" s="335"/>
    <row r="747" ht="14.25" customHeight="1" s="335"/>
    <row r="748" ht="14.25" customHeight="1" s="335"/>
    <row r="749" ht="14.25" customHeight="1" s="335"/>
    <row r="750" ht="14.25" customHeight="1" s="335"/>
    <row r="751" ht="14.25" customHeight="1" s="335"/>
    <row r="752" ht="14.25" customHeight="1" s="335"/>
    <row r="753" ht="14.25" customHeight="1" s="335"/>
    <row r="754" ht="14.25" customHeight="1" s="335"/>
    <row r="755" ht="14.25" customHeight="1" s="335"/>
    <row r="756" ht="14.25" customHeight="1" s="335"/>
    <row r="757" ht="14.25" customHeight="1" s="335"/>
    <row r="758" ht="14.25" customHeight="1" s="335"/>
    <row r="759" ht="14.25" customHeight="1" s="335"/>
    <row r="760" ht="14.25" customHeight="1" s="335"/>
    <row r="761" ht="14.25" customHeight="1" s="335"/>
    <row r="762" ht="14.25" customHeight="1" s="335"/>
    <row r="763" ht="14.25" customHeight="1" s="335"/>
    <row r="764" ht="14.25" customHeight="1" s="335"/>
    <row r="765" ht="14.25" customHeight="1" s="335"/>
    <row r="766" ht="14.25" customHeight="1" s="335"/>
    <row r="767" ht="14.25" customHeight="1" s="335"/>
    <row r="768" ht="14.25" customHeight="1" s="335"/>
    <row r="769" ht="14.25" customHeight="1" s="335"/>
    <row r="770" ht="14.25" customHeight="1" s="335"/>
    <row r="771" ht="14.25" customHeight="1" s="335"/>
    <row r="772" ht="14.25" customHeight="1" s="335"/>
    <row r="773" ht="14.25" customHeight="1" s="335"/>
    <row r="774" ht="14.25" customHeight="1" s="335"/>
    <row r="775" ht="14.25" customHeight="1" s="335"/>
    <row r="776" ht="14.25" customHeight="1" s="335"/>
    <row r="777" ht="14.25" customHeight="1" s="335"/>
    <row r="778" ht="14.25" customHeight="1" s="335"/>
    <row r="779" ht="14.25" customHeight="1" s="335"/>
    <row r="780" ht="14.25" customHeight="1" s="335"/>
    <row r="781" ht="14.25" customHeight="1" s="335"/>
    <row r="782" ht="14.25" customHeight="1" s="335"/>
    <row r="783" ht="14.25" customHeight="1" s="335"/>
    <row r="784" ht="14.25" customHeight="1" s="335"/>
    <row r="785" ht="14.25" customHeight="1" s="335"/>
    <row r="786" ht="14.25" customHeight="1" s="335"/>
    <row r="787" ht="14.25" customHeight="1" s="335"/>
    <row r="788" ht="14.25" customHeight="1" s="335"/>
    <row r="789" ht="14.25" customHeight="1" s="335"/>
    <row r="790" ht="14.25" customHeight="1" s="335"/>
    <row r="791" ht="14.25" customHeight="1" s="335"/>
    <row r="792" ht="14.25" customHeight="1" s="335"/>
    <row r="793" ht="14.25" customHeight="1" s="335"/>
    <row r="794" ht="14.25" customHeight="1" s="335"/>
    <row r="795" ht="14.25" customHeight="1" s="335"/>
    <row r="796" ht="14.25" customHeight="1" s="335"/>
    <row r="797" ht="14.25" customHeight="1" s="335"/>
    <row r="798" ht="14.25" customHeight="1" s="335"/>
    <row r="799" ht="14.25" customHeight="1" s="335"/>
    <row r="800" ht="14.25" customHeight="1" s="335"/>
    <row r="801" ht="14.25" customHeight="1" s="335"/>
    <row r="802" ht="14.25" customHeight="1" s="335"/>
    <row r="803" ht="14.25" customHeight="1" s="335"/>
    <row r="804" ht="14.25" customHeight="1" s="335"/>
    <row r="805" ht="14.25" customHeight="1" s="335"/>
    <row r="806" ht="14.25" customHeight="1" s="335"/>
    <row r="807" ht="14.25" customHeight="1" s="335"/>
    <row r="808" ht="14.25" customHeight="1" s="335"/>
    <row r="809" ht="14.25" customHeight="1" s="335"/>
    <row r="810" ht="14.25" customHeight="1" s="335"/>
    <row r="811" ht="14.25" customHeight="1" s="335"/>
    <row r="812" ht="14.25" customHeight="1" s="335"/>
    <row r="813" ht="14.25" customHeight="1" s="335"/>
    <row r="814" ht="14.25" customHeight="1" s="335"/>
    <row r="815" ht="14.25" customHeight="1" s="335"/>
    <row r="816" ht="14.25" customHeight="1" s="335"/>
    <row r="817" ht="14.25" customHeight="1" s="335"/>
    <row r="818" ht="14.25" customHeight="1" s="335"/>
    <row r="819" ht="14.25" customHeight="1" s="335"/>
    <row r="820" ht="14.25" customHeight="1" s="335"/>
    <row r="821" ht="14.25" customHeight="1" s="335"/>
    <row r="822" ht="14.25" customHeight="1" s="335"/>
    <row r="823" ht="14.25" customHeight="1" s="335"/>
    <row r="824" ht="14.25" customHeight="1" s="335"/>
    <row r="825" ht="14.25" customHeight="1" s="335"/>
    <row r="826" ht="14.25" customHeight="1" s="335"/>
    <row r="827" ht="14.25" customHeight="1" s="335"/>
    <row r="828" ht="14.25" customHeight="1" s="335"/>
    <row r="829" ht="14.25" customHeight="1" s="335"/>
    <row r="830" ht="14.25" customHeight="1" s="335"/>
    <row r="831" ht="14.25" customHeight="1" s="335"/>
    <row r="832" ht="14.25" customHeight="1" s="335"/>
    <row r="833" ht="14.25" customHeight="1" s="335"/>
    <row r="834" ht="14.25" customHeight="1" s="335"/>
    <row r="835" ht="14.25" customHeight="1" s="335"/>
    <row r="836" ht="14.25" customHeight="1" s="335"/>
    <row r="837" ht="14.25" customHeight="1" s="335"/>
    <row r="838" ht="14.25" customHeight="1" s="335"/>
    <row r="839" ht="14.25" customHeight="1" s="335"/>
    <row r="840" ht="14.25" customHeight="1" s="335"/>
    <row r="841" ht="14.25" customHeight="1" s="335"/>
    <row r="842" ht="14.25" customHeight="1" s="335"/>
    <row r="843" ht="14.25" customHeight="1" s="335"/>
    <row r="844" ht="14.25" customHeight="1" s="335"/>
    <row r="845" ht="14.25" customHeight="1" s="335"/>
    <row r="846" ht="14.25" customHeight="1" s="335"/>
    <row r="847" ht="14.25" customHeight="1" s="335"/>
    <row r="848" ht="14.25" customHeight="1" s="335"/>
    <row r="849" ht="14.25" customHeight="1" s="335"/>
    <row r="850" ht="14.25" customHeight="1" s="335"/>
    <row r="851" ht="14.25" customHeight="1" s="335"/>
    <row r="852" ht="14.25" customHeight="1" s="335"/>
    <row r="853" ht="14.25" customHeight="1" s="335"/>
    <row r="854" ht="14.25" customHeight="1" s="335"/>
    <row r="855" ht="14.25" customHeight="1" s="335"/>
    <row r="856" ht="14.25" customHeight="1" s="335"/>
    <row r="857" ht="14.25" customHeight="1" s="335"/>
    <row r="858" ht="14.25" customHeight="1" s="335"/>
    <row r="859" ht="14.25" customHeight="1" s="335"/>
    <row r="860" ht="14.25" customHeight="1" s="335"/>
    <row r="861" ht="14.25" customHeight="1" s="335"/>
    <row r="862" ht="14.25" customHeight="1" s="335"/>
    <row r="863" ht="14.25" customHeight="1" s="335"/>
    <row r="864" ht="14.25" customHeight="1" s="335"/>
    <row r="865" ht="14.25" customHeight="1" s="335"/>
    <row r="866" ht="14.25" customHeight="1" s="335"/>
    <row r="867" ht="14.25" customHeight="1" s="335"/>
    <row r="868" ht="14.25" customHeight="1" s="335"/>
    <row r="869" ht="14.25" customHeight="1" s="335"/>
    <row r="870" ht="14.25" customHeight="1" s="335"/>
    <row r="871" ht="14.25" customHeight="1" s="335"/>
    <row r="872" ht="14.25" customHeight="1" s="335"/>
    <row r="873" ht="14.25" customHeight="1" s="335"/>
    <row r="874" ht="14.25" customHeight="1" s="335"/>
    <row r="875" ht="14.25" customHeight="1" s="335"/>
    <row r="876" ht="14.25" customHeight="1" s="335"/>
    <row r="877" ht="14.25" customHeight="1" s="335"/>
    <row r="878" ht="14.25" customHeight="1" s="335"/>
    <row r="879" ht="14.25" customHeight="1" s="335"/>
    <row r="880" ht="14.25" customHeight="1" s="335"/>
    <row r="881" ht="14.25" customHeight="1" s="335"/>
    <row r="882" ht="14.25" customHeight="1" s="335"/>
    <row r="883" ht="14.25" customHeight="1" s="335"/>
    <row r="884" ht="14.25" customHeight="1" s="335"/>
    <row r="885" ht="14.25" customHeight="1" s="335"/>
    <row r="886" ht="14.25" customHeight="1" s="335"/>
    <row r="887" ht="14.25" customHeight="1" s="335"/>
    <row r="888" ht="14.25" customHeight="1" s="335"/>
    <row r="889" ht="14.25" customHeight="1" s="335"/>
    <row r="890" ht="14.25" customHeight="1" s="335"/>
    <row r="891" ht="14.25" customHeight="1" s="335"/>
    <row r="892" ht="14.25" customHeight="1" s="335"/>
    <row r="893" ht="14.25" customHeight="1" s="335"/>
    <row r="894" ht="14.25" customHeight="1" s="335"/>
    <row r="895" ht="14.25" customHeight="1" s="335"/>
    <row r="896" ht="14.25" customHeight="1" s="335"/>
    <row r="897" ht="14.25" customHeight="1" s="335"/>
    <row r="898" ht="14.25" customHeight="1" s="335"/>
    <row r="899" ht="14.25" customHeight="1" s="335"/>
    <row r="900" ht="14.25" customHeight="1" s="335"/>
    <row r="901" ht="14.25" customHeight="1" s="335"/>
    <row r="902" ht="14.25" customHeight="1" s="335"/>
    <row r="903" ht="14.25" customHeight="1" s="335"/>
    <row r="904" ht="14.25" customHeight="1" s="335"/>
    <row r="905" ht="14.25" customHeight="1" s="335"/>
    <row r="906" ht="14.25" customHeight="1" s="335"/>
    <row r="907" ht="14.25" customHeight="1" s="335"/>
    <row r="908" ht="14.25" customHeight="1" s="335"/>
    <row r="909" ht="14.25" customHeight="1" s="335"/>
    <row r="910" ht="14.25" customHeight="1" s="335"/>
    <row r="911" ht="14.25" customHeight="1" s="335"/>
    <row r="912" ht="14.25" customHeight="1" s="335"/>
    <row r="913" ht="14.25" customHeight="1" s="335"/>
    <row r="914" ht="14.25" customHeight="1" s="335"/>
    <row r="915" ht="14.25" customHeight="1" s="335"/>
    <row r="916" ht="14.25" customHeight="1" s="335"/>
    <row r="917" ht="14.25" customHeight="1" s="335"/>
    <row r="918" ht="14.25" customHeight="1" s="335"/>
    <row r="919" ht="14.25" customHeight="1" s="335"/>
    <row r="920" ht="14.25" customHeight="1" s="335"/>
    <row r="921" ht="14.25" customHeight="1" s="335"/>
    <row r="922" ht="14.25" customHeight="1" s="335"/>
    <row r="923" ht="14.25" customHeight="1" s="335"/>
    <row r="924" ht="14.25" customHeight="1" s="335"/>
    <row r="925" ht="14.25" customHeight="1" s="335"/>
    <row r="926" ht="14.25" customHeight="1" s="335"/>
    <row r="927" ht="14.25" customHeight="1" s="335"/>
    <row r="928" ht="14.25" customHeight="1" s="335"/>
    <row r="929" ht="14.25" customHeight="1" s="335"/>
    <row r="930" ht="14.25" customHeight="1" s="335"/>
    <row r="931" ht="14.25" customHeight="1" s="335"/>
    <row r="932" ht="14.25" customHeight="1" s="335"/>
    <row r="933" ht="14.25" customHeight="1" s="335"/>
    <row r="934" ht="14.25" customHeight="1" s="335"/>
    <row r="935" ht="14.25" customHeight="1" s="335"/>
    <row r="936" ht="14.25" customHeight="1" s="335"/>
    <row r="937" ht="14.25" customHeight="1" s="335"/>
    <row r="938" ht="14.25" customHeight="1" s="335"/>
    <row r="939" ht="14.25" customHeight="1" s="335"/>
    <row r="940" ht="14.25" customHeight="1" s="335"/>
    <row r="941" ht="14.25" customHeight="1" s="335"/>
    <row r="942" ht="14.25" customHeight="1" s="335"/>
    <row r="943" ht="14.25" customHeight="1" s="335"/>
    <row r="944" ht="14.25" customHeight="1" s="335"/>
    <row r="945" ht="14.25" customHeight="1" s="335"/>
    <row r="946" ht="14.25" customHeight="1" s="335"/>
    <row r="947" ht="14.25" customHeight="1" s="335"/>
    <row r="948" ht="14.25" customHeight="1" s="335"/>
    <row r="949" ht="14.25" customHeight="1" s="335"/>
    <row r="950" ht="14.25" customHeight="1" s="335"/>
    <row r="951" ht="14.25" customHeight="1" s="335"/>
    <row r="952" ht="14.25" customHeight="1" s="335"/>
    <row r="953" ht="14.25" customHeight="1" s="335"/>
    <row r="954" ht="14.25" customHeight="1" s="335"/>
    <row r="955" ht="14.25" customHeight="1" s="335"/>
    <row r="956" ht="14.25" customHeight="1" s="335"/>
    <row r="957" ht="14.25" customHeight="1" s="335"/>
    <row r="958" ht="14.25" customHeight="1" s="335"/>
    <row r="959" ht="14.25" customHeight="1" s="335"/>
    <row r="960" ht="14.25" customHeight="1" s="335"/>
    <row r="961" ht="14.25" customHeight="1" s="335"/>
    <row r="962" ht="14.25" customHeight="1" s="335"/>
    <row r="963" ht="14.25" customHeight="1" s="335"/>
    <row r="964" ht="14.25" customHeight="1" s="335"/>
    <row r="965" ht="14.25" customHeight="1" s="335"/>
    <row r="966" ht="14.25" customHeight="1" s="335"/>
    <row r="967" ht="14.25" customHeight="1" s="335"/>
    <row r="968" ht="14.25" customHeight="1" s="335"/>
    <row r="969" ht="14.25" customHeight="1" s="335"/>
    <row r="970" ht="14.25" customHeight="1" s="335"/>
    <row r="971" ht="14.25" customHeight="1" s="335"/>
    <row r="972" ht="14.25" customHeight="1" s="335"/>
    <row r="973" ht="14.25" customHeight="1" s="335"/>
    <row r="974" ht="14.25" customHeight="1" s="335"/>
    <row r="975" ht="14.25" customHeight="1" s="335"/>
    <row r="976" ht="14.25" customHeight="1" s="335"/>
    <row r="977" ht="14.25" customHeight="1" s="335"/>
    <row r="978" ht="14.25" customHeight="1" s="335"/>
    <row r="979" ht="14.25" customHeight="1" s="335"/>
    <row r="980" ht="14.25" customHeight="1" s="335"/>
    <row r="981" ht="14.25" customHeight="1" s="335"/>
    <row r="982" ht="14.25" customHeight="1" s="335"/>
    <row r="983" ht="14.25" customHeight="1" s="335"/>
    <row r="984" ht="14.25" customHeight="1" s="335"/>
    <row r="985" ht="14.25" customHeight="1" s="335"/>
    <row r="986" ht="14.25" customHeight="1" s="335"/>
    <row r="987" ht="14.25" customHeight="1" s="335"/>
    <row r="988" ht="14.25" customHeight="1" s="335"/>
    <row r="989" ht="14.25" customHeight="1" s="335"/>
    <row r="990" ht="14.25" customHeight="1" s="335"/>
    <row r="991" ht="14.25" customHeight="1" s="335"/>
    <row r="992" ht="14.25" customHeight="1" s="335"/>
    <row r="993" ht="14.25" customHeight="1" s="335"/>
    <row r="994" ht="14.25" customHeight="1" s="335"/>
    <row r="995" ht="14.25" customHeight="1" s="335"/>
    <row r="996" ht="14.25" customHeight="1" s="335"/>
    <row r="997" ht="14.25" customHeight="1" s="335"/>
    <row r="998" ht="14.25" customHeight="1" s="335"/>
    <row r="999" ht="14.25" customHeight="1" s="335"/>
    <row r="1000" ht="14.25" customHeight="1" s="335"/>
    <row r="1001" ht="14.25" customHeight="1" s="335"/>
  </sheetData>
  <mergeCells count="6">
    <mergeCell ref="G5:G6"/>
    <mergeCell ref="E5:E6"/>
    <mergeCell ref="H5:H6"/>
    <mergeCell ref="F5:F6"/>
    <mergeCell ref="I5:I6"/>
    <mergeCell ref="D5:D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1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34" min="1" max="1"/>
    <col width="34" customWidth="1" style="334" min="2" max="2"/>
    <col width="26" customWidth="1" style="334" min="3" max="3"/>
    <col width="44" customWidth="1" style="334" min="4" max="4"/>
    <col width="24" customWidth="1" style="334" min="5" max="5"/>
    <col width="26" customWidth="1" style="334" min="6" max="6"/>
    <col width="22" customWidth="1" style="334" min="7" max="7"/>
    <col width="26" customWidth="1" style="334" min="8" max="8"/>
    <col width="16" customWidth="1" style="334" min="9" max="9"/>
    <col width="12" customWidth="1" style="334" min="10" max="10"/>
    <col width="42" customWidth="1" style="334" min="11" max="11"/>
    <col width="18" customWidth="1" style="334" min="12" max="12"/>
    <col width="54" customWidth="1" style="334" min="13" max="14"/>
  </cols>
  <sheetData>
    <row r="1" ht="15" customHeight="1" s="335">
      <c r="A1" s="479" t="inlineStr">
        <is>
          <t>TYPE : SNAPSHOT (Silver Temp 1 - Technical Schedule Staging)</t>
        </is>
      </c>
    </row>
    <row r="2" ht="15" customHeight="1" s="335">
      <c r="A2" s="480" t="inlineStr">
        <is>
          <t>No</t>
        </is>
      </c>
      <c r="B2" s="480" t="inlineStr">
        <is>
          <t>System</t>
        </is>
      </c>
      <c r="C2" s="480" t="inlineStr">
        <is>
          <t>TABLE</t>
        </is>
      </c>
      <c r="D2" s="480" t="inlineStr">
        <is>
          <t>Short table</t>
        </is>
      </c>
      <c r="E2" s="480" t="inlineStr">
        <is>
          <t>Main Table</t>
        </is>
      </c>
      <c r="F2" s="480" t="inlineStr">
        <is>
          <t>Type join</t>
        </is>
      </c>
      <c r="G2" s="480" t="inlineStr">
        <is>
          <t>Condition JOIN</t>
        </is>
      </c>
      <c r="H2" s="480" t="inlineStr">
        <is>
          <t>Condition where</t>
        </is>
      </c>
    </row>
    <row r="3" ht="15" customHeight="1" s="335">
      <c r="A3" s="481" t="n">
        <v>1</v>
      </c>
      <c r="B3" s="370" t="inlineStr">
        <is>
          <t>PG_BRONZE</t>
        </is>
      </c>
      <c r="C3" s="370" t="inlineStr">
        <is>
          <t>T24CORE_PD_PAYMENT_DUE_MV</t>
        </is>
      </c>
      <c r="D3" s="368" t="inlineStr">
        <is>
          <t>pdmv</t>
        </is>
      </c>
      <c r="E3" s="481" t="inlineStr">
        <is>
          <t>main</t>
        </is>
      </c>
      <c r="F3" s="481" t="n"/>
      <c r="G3" s="372" t="n"/>
      <c r="H3" s="372" t="inlineStr">
        <is>
          <t>WHERE pdmv.FLAG_STATUS &lt;&gt; 'DELETE' AND pdmv.ETL_DATE = ${ETL_DATE}</t>
        </is>
      </c>
    </row>
    <row r="4" ht="15" customHeight="1" s="335">
      <c r="A4" s="481" t="n">
        <v>2</v>
      </c>
      <c r="B4" s="370" t="inlineStr">
        <is>
          <t>PG_BRONZE</t>
        </is>
      </c>
      <c r="C4" s="370" t="inlineStr">
        <is>
          <t>T24CORE_PD_PAYMENT_DUE</t>
        </is>
      </c>
      <c r="D4" s="368" t="inlineStr">
        <is>
          <t>pd</t>
        </is>
      </c>
      <c r="E4" s="481" t="inlineStr">
        <is>
          <t>sub</t>
        </is>
      </c>
      <c r="F4" s="481" t="inlineStr">
        <is>
          <t>LEFT JOIN</t>
        </is>
      </c>
      <c r="G4" s="372" t="inlineStr">
        <is>
          <t>pdmv.RECID = pd.RECID</t>
        </is>
      </c>
      <c r="H4" s="372" t="inlineStr">
        <is>
          <t>pd.ETL_DATE = ${ETL_DATE}</t>
        </is>
      </c>
    </row>
    <row r="5" ht="15" customHeight="1" s="335">
      <c r="A5" s="481" t="n">
        <v>3</v>
      </c>
      <c r="B5" s="370" t="inlineStr">
        <is>
          <t>PG_BRONZE</t>
        </is>
      </c>
      <c r="C5" s="370" t="inlineStr">
        <is>
          <t>T24CORE_PD_PAYMENT_DUE_HIS_MV</t>
        </is>
      </c>
      <c r="D5" s="368" t="inlineStr">
        <is>
          <t>pdhmv</t>
        </is>
      </c>
      <c r="E5" s="481" t="inlineStr">
        <is>
          <t>sub</t>
        </is>
      </c>
      <c r="F5" s="481" t="inlineStr">
        <is>
          <t>LEFT JOIN</t>
        </is>
      </c>
      <c r="G5" s="372" t="inlineStr">
        <is>
          <t>pdmv.RECID = pdhmv.RECID AND pdmv.PAY_TYPE = pdhmv.PAY_TYPE</t>
        </is>
      </c>
      <c r="H5" s="372" t="inlineStr">
        <is>
          <t>pdhmv.FLAG_STATUS = 'LIVE' AND pdhmv.PAY_AMT_OUTS &gt; 0</t>
        </is>
      </c>
      <c r="I5" s="453" t="n"/>
    </row>
    <row r="6" ht="15" customHeight="1" s="335">
      <c r="A6" s="481" t="n">
        <v>4</v>
      </c>
      <c r="B6" s="370" t="inlineStr">
        <is>
          <t>PG_BRONZE</t>
        </is>
      </c>
      <c r="C6" s="370" t="inlineStr">
        <is>
          <t>T24CORE_PD_PAYMENT_DUE_HIS</t>
        </is>
      </c>
      <c r="D6" s="368" t="inlineStr">
        <is>
          <t>pdh</t>
        </is>
      </c>
      <c r="E6" s="481" t="inlineStr">
        <is>
          <t>sub</t>
        </is>
      </c>
      <c r="F6" s="481" t="inlineStr">
        <is>
          <t>LEFT JOIN</t>
        </is>
      </c>
      <c r="G6" s="372" t="inlineStr">
        <is>
          <t>pdmv.RECID = pdh.RECID</t>
        </is>
      </c>
      <c r="H6" s="372" t="inlineStr">
        <is>
          <t>pdh.ETL_DATE = ${ETL_DATE}</t>
        </is>
      </c>
    </row>
    <row r="7" ht="15" customHeight="1" s="335">
      <c r="A7" s="481" t="n">
        <v>5</v>
      </c>
      <c r="B7" s="370" t="inlineStr">
        <is>
          <t>PG_BRONZE</t>
        </is>
      </c>
      <c r="C7" s="370" t="inlineStr">
        <is>
          <t>T24CORE_LD_SCHEDULE_DEFINE_MV</t>
        </is>
      </c>
      <c r="D7" s="368" t="inlineStr">
        <is>
          <t>sch</t>
        </is>
      </c>
      <c r="E7" s="481" t="inlineStr">
        <is>
          <t>sub</t>
        </is>
      </c>
      <c r="F7" s="481" t="inlineStr">
        <is>
          <t>LEFT JOIN</t>
        </is>
      </c>
      <c r="G7" s="372" t="inlineStr">
        <is>
          <t>SUBSTR(pdmv.RECID, 3) = sch.CONTRACT_ID</t>
        </is>
      </c>
      <c r="H7" s="372" t="inlineStr">
        <is>
          <t>TO_DATE(sch.PREV_SCHED_DATE, 'YYYYMMDD') &lt;= ${ETL_DATE}</t>
        </is>
      </c>
    </row>
    <row r="8" ht="15" customHeight="1" s="335">
      <c r="A8" s="481" t="n">
        <v>6</v>
      </c>
      <c r="B8" s="370" t="inlineStr">
        <is>
          <t>PG_BRONZE</t>
        </is>
      </c>
      <c r="C8" s="370" t="inlineStr">
        <is>
          <t>T24CORE_LD_LOANS_AND_DEPOSITS</t>
        </is>
      </c>
      <c r="D8" s="368" t="inlineStr">
        <is>
          <t>ld</t>
        </is>
      </c>
      <c r="E8" s="481" t="inlineStr">
        <is>
          <t>sub</t>
        </is>
      </c>
      <c r="F8" s="481" t="inlineStr">
        <is>
          <t>LEFT JOIN</t>
        </is>
      </c>
      <c r="G8" s="372" t="inlineStr">
        <is>
          <t>SUBSTR(pdmv.RECID, 3, 12) = ld.RECID</t>
        </is>
      </c>
      <c r="H8" s="372" t="inlineStr">
        <is>
          <t>ld.ETL_DATE = ${ETL_DATE}</t>
        </is>
      </c>
    </row>
    <row r="9" ht="15" customHeight="1" s="335">
      <c r="A9" s="481" t="n">
        <v>7</v>
      </c>
      <c r="B9" s="370" t="inlineStr">
        <is>
          <t>PG_BRONZE</t>
        </is>
      </c>
      <c r="C9" s="370" t="inlineStr">
        <is>
          <t>T24CORE_LD_LOANS_AND_DEPOSITS_HIS</t>
        </is>
      </c>
      <c r="D9" s="368" t="inlineStr">
        <is>
          <t>ldh</t>
        </is>
      </c>
      <c r="E9" s="481" t="inlineStr">
        <is>
          <t>sub</t>
        </is>
      </c>
      <c r="F9" s="481" t="inlineStr">
        <is>
          <t>LEFT JOIN</t>
        </is>
      </c>
      <c r="G9" s="372" t="inlineStr">
        <is>
          <t>SUBSTR(pdmv.RECID, 3, 12) = SUBSTR(ldh.RECID, 1, INSTR(ldh.RECID, ';') - 1)</t>
        </is>
      </c>
      <c r="H9" s="372" t="inlineStr">
        <is>
          <t>ldh.ETL_DATE = ${ETL_DATE}</t>
        </is>
      </c>
    </row>
    <row r="10" ht="15" customHeight="1" s="335">
      <c r="A10" s="481" t="n">
        <v>8</v>
      </c>
      <c r="B10" s="370" t="inlineStr">
        <is>
          <t>PG_BRONZE</t>
        </is>
      </c>
      <c r="C10" s="370" t="inlineStr">
        <is>
          <t>T24CORE_MB_MG_SAVING_MULTI</t>
        </is>
      </c>
      <c r="D10" s="368" t="inlineStr">
        <is>
          <t>mg</t>
        </is>
      </c>
      <c r="E10" s="481" t="inlineStr">
        <is>
          <t>sub</t>
        </is>
      </c>
      <c r="F10" s="481" t="inlineStr">
        <is>
          <t>LEFT JOIN</t>
        </is>
      </c>
      <c r="G10" s="372" t="inlineStr">
        <is>
          <t>ld.RECID = mg.LD_ID</t>
        </is>
      </c>
      <c r="H10" s="372" t="inlineStr">
        <is>
          <t>mg.ETL_DATE = ${ETL_DATE}</t>
        </is>
      </c>
    </row>
    <row r="11" ht="15" customHeight="1" s="335">
      <c r="A11" s="481" t="n">
        <v>9</v>
      </c>
      <c r="B11" s="370" t="inlineStr">
        <is>
          <t>PG_BRONZE</t>
        </is>
      </c>
      <c r="C11" s="370" t="inlineStr">
        <is>
          <t>T24CORE_SECTOR</t>
        </is>
      </c>
      <c r="D11" s="368" t="inlineStr">
        <is>
          <t>sec</t>
        </is>
      </c>
      <c r="E11" s="481" t="inlineStr">
        <is>
          <t>sub</t>
        </is>
      </c>
      <c r="F11" s="481" t="inlineStr">
        <is>
          <t>LEFT JOIN</t>
        </is>
      </c>
      <c r="G11" s="372" t="inlineStr">
        <is>
          <t>cus.SECTOR = sec.RECID (qua LEFT JOIN PG_BRONZE.T24CORE_CUSTOMER cus ON COALESCE(pdmv.CUSTOMER, pd.CUSTOMER, ld.CUSTOMER_ID) = cus.RECID)</t>
        </is>
      </c>
      <c r="H11" s="372" t="inlineStr">
        <is>
          <t>cus.ETL_DATE = ${ETL_DATE} AND sec.ETL_DATE = ${ETL_DATE}</t>
        </is>
      </c>
    </row>
    <row r="12" ht="15" customHeight="1" s="335">
      <c r="A12" s="481" t="n">
        <v>10</v>
      </c>
      <c r="B12" s="370" t="inlineStr">
        <is>
          <t>PG_BRONZE</t>
        </is>
      </c>
      <c r="C12" s="370" t="inlineStr">
        <is>
          <t>T24CORE_STMT_ENTRY</t>
        </is>
      </c>
      <c r="D12" s="368" t="inlineStr">
        <is>
          <t>stmt</t>
        </is>
      </c>
      <c r="E12" s="481" t="inlineStr">
        <is>
          <t>sub</t>
        </is>
      </c>
      <c r="F12" s="481" t="inlineStr">
        <is>
          <t>LEFT JOIN</t>
        </is>
      </c>
      <c r="G12" s="372" t="inlineStr">
        <is>
          <t>SUBSTR(pdmv.RECID, 3) = SUBSTR(stmt.OUR_REFERENCE, 3)</t>
        </is>
      </c>
      <c r="H12" s="372" t="inlineStr">
        <is>
          <t>stmt.BOOKING_DATE = ${ETL_DATE} AND stmt.COMMIT_ACTION &lt;&gt; 'D'</t>
        </is>
      </c>
    </row>
    <row r="14" ht="15" customHeight="1" s="335">
      <c r="A14" s="480" t="inlineStr">
        <is>
          <t>Nguồn</t>
        </is>
      </c>
      <c r="B14" s="480" t="inlineStr">
        <is>
          <t>Bảng nguồn</t>
        </is>
      </c>
      <c r="C14" s="480" t="inlineStr">
        <is>
          <t>Cột nguồn</t>
        </is>
      </c>
      <c r="D14" s="480" t="inlineStr">
        <is>
          <t>Transform</t>
        </is>
      </c>
      <c r="E14" s="480" t="inlineStr">
        <is>
          <t>Entity</t>
        </is>
      </c>
      <c r="F14" s="480" t="inlineStr">
        <is>
          <t>Attribute</t>
        </is>
      </c>
      <c r="G14" s="480" t="inlineStr">
        <is>
          <t>Bảng đích</t>
        </is>
      </c>
      <c r="H14" s="480" t="inlineStr">
        <is>
          <t>Cột đích</t>
        </is>
      </c>
      <c r="I14" s="480" t="inlineStr">
        <is>
          <t>Kiểu dữ liệu</t>
        </is>
      </c>
      <c r="J14" s="480" t="inlineStr">
        <is>
          <t>Độ dài</t>
        </is>
      </c>
      <c r="K14" s="480" t="inlineStr">
        <is>
          <t>Diễn giải</t>
        </is>
      </c>
      <c r="L14" s="480" t="inlineStr">
        <is>
          <t>Glossary</t>
        </is>
      </c>
      <c r="M14" s="480" t="inlineStr">
        <is>
          <t>DDL Comment</t>
        </is>
      </c>
      <c r="N14" s="480" t="inlineStr">
        <is>
          <t>Ghi chú kỹ thuật &amp; Business Rule</t>
        </is>
      </c>
    </row>
    <row r="15" ht="15" customHeight="1" s="335">
      <c r="A15" s="416" t="inlineStr">
        <is>
          <t>PG_BRONZE</t>
        </is>
      </c>
      <c r="B15" s="416" t="inlineStr">
        <is>
          <t>T24CORE_LD_LOANS_AND_DEPOSITS</t>
        </is>
      </c>
      <c r="C15" s="416" t="inlineStr">
        <is>
          <t>MB_RM_BANCHEO</t>
        </is>
      </c>
      <c r="D15" s="416" t="inlineStr">
        <is>
          <t>TRIM(ld.MB_RM_BANCHEO)</t>
        </is>
      </c>
      <c r="E15" s="416" t="inlineStr">
        <is>
          <t>Schedule Lich Tra No</t>
        </is>
      </c>
      <c r="F15" s="416" t="inlineStr">
        <is>
          <t>Ld Mb Rm Bancheo</t>
        </is>
      </c>
      <c r="G15" s="416" t="inlineStr">
        <is>
          <t>sk_lich_tra_no</t>
        </is>
      </c>
      <c r="H15" s="416" t="inlineStr">
        <is>
          <t>LD_MB_RM_BANCHEO</t>
        </is>
      </c>
      <c r="I15" s="482" t="inlineStr">
        <is>
          <t>VARCHAR2</t>
        </is>
      </c>
      <c r="J15" s="482" t="n">
        <v>100</v>
      </c>
      <c r="K15" s="416" t="inlineStr">
        <is>
          <t>ID nhân viên giới thiệu</t>
        </is>
      </c>
      <c r="L15" s="416" t="n"/>
      <c r="M15" s="416">
        <f>"COMMENT ON COLUMN PG_SILVER."&amp;G15&amp;"."&amp;H15&amp;" IS '"&amp;K15&amp;"';"</f>
        <v/>
      </c>
      <c r="N15" s="416" t="inlineStr">
        <is>
          <t>LEFT JOIN PG_BRONZE.T24CORE_LD_LOANS_AND_DEPOSITS ld ON SUBSTR(pdmv.RECID, 3, 12) = ld.RECID</t>
        </is>
      </c>
    </row>
    <row r="16" ht="15" customHeight="1" s="335">
      <c r="A16" s="416" t="inlineStr">
        <is>
          <t>PG_BRONZE</t>
        </is>
      </c>
      <c r="B16" s="416" t="inlineStr">
        <is>
          <t>T24CORE_LD_LOANS_AND_DEPOSITS</t>
        </is>
      </c>
      <c r="C16" s="416" t="inlineStr">
        <is>
          <t>ORIG_VAL_DATE</t>
        </is>
      </c>
      <c r="D16" s="416" t="inlineStr">
        <is>
          <t>TO_DATE(CAST(ld.ORIG_VAL_DATE AS VARCHAR(20)), 'YYYYMMDD')</t>
        </is>
      </c>
      <c r="E16" s="416" t="inlineStr">
        <is>
          <t>Schedule Lich Tra No</t>
        </is>
      </c>
      <c r="F16" s="416" t="inlineStr">
        <is>
          <t>Ld Orig Val Date</t>
        </is>
      </c>
      <c r="G16" s="416" t="inlineStr">
        <is>
          <t>sk_lich_tra_no</t>
        </is>
      </c>
      <c r="H16" s="416" t="inlineStr">
        <is>
          <t>LD_ORIG_VAL_DATE</t>
        </is>
      </c>
      <c r="I16" s="482" t="inlineStr">
        <is>
          <t>DATE</t>
        </is>
      </c>
      <c r="J16" s="482" t="n"/>
      <c r="K16" s="416" t="inlineStr">
        <is>
          <t>Ngày hiệu lực đầu tiên của hợp đồng</t>
        </is>
      </c>
      <c r="L16" s="416" t="n"/>
      <c r="M16" s="416">
        <f>"COMMENT ON COLUMN PG_SILVER."&amp;G16&amp;"."&amp;H16&amp;" IS '"&amp;K16&amp;"';"</f>
        <v/>
      </c>
      <c r="N16" s="416" t="inlineStr">
        <is>
          <t>LEFT JOIN PG_BRONZE.T24CORE_LD_LOANS_AND_DEPOSITS ld ON SUBSTR(pdmv.RECID, 3, 12) = ld.RECID</t>
        </is>
      </c>
    </row>
    <row r="17" ht="15" customHeight="1" s="335">
      <c r="A17" s="416" t="inlineStr">
        <is>
          <t>PG_BRONZE</t>
        </is>
      </c>
      <c r="B17" s="416" t="inlineStr">
        <is>
          <t>T24CORE_LD_LOANS_AND_DEPOSITS</t>
        </is>
      </c>
      <c r="C17" s="416" t="inlineStr">
        <is>
          <t>PE_RATE</t>
        </is>
      </c>
      <c r="D17" s="416" t="inlineStr">
        <is>
          <t>COALESCE(CAST(ld.PE_RATE AS DECIMAL(13,7)), 0)</t>
        </is>
      </c>
      <c r="E17" s="416" t="inlineStr">
        <is>
          <t>Schedule Lich Tra No</t>
        </is>
      </c>
      <c r="F17" s="416" t="inlineStr">
        <is>
          <t>Ld Pe Rate</t>
        </is>
      </c>
      <c r="G17" s="416" t="inlineStr">
        <is>
          <t>sk_lich_tra_no</t>
        </is>
      </c>
      <c r="H17" s="416" t="inlineStr">
        <is>
          <t>LD_PE_RATE</t>
        </is>
      </c>
      <c r="I17" s="482" t="inlineStr">
        <is>
          <t>NUMBER</t>
        </is>
      </c>
      <c r="J17" s="482" t="n">
        <v>13.7</v>
      </c>
      <c r="K17" s="416" t="inlineStr">
        <is>
          <t>Lãi phạt penalty rate</t>
        </is>
      </c>
      <c r="L17" s="416" t="n"/>
      <c r="M17" s="416">
        <f>"COMMENT ON COLUMN PG_SILVER."&amp;G17&amp;"."&amp;H17&amp;" IS '"&amp;K17&amp;"';"</f>
        <v/>
      </c>
      <c r="N17" s="416" t="inlineStr">
        <is>
          <t>LEFT JOIN PG_BRONZE.T24CORE_LD_LOANS_AND_DEPOSITS ld ON SUBSTR(pdmv.RECID, 3, 12) = ld.RECID</t>
        </is>
      </c>
    </row>
    <row r="18" ht="15" customHeight="1" s="335">
      <c r="A18" s="416" t="inlineStr">
        <is>
          <t>PG_BRONZE</t>
        </is>
      </c>
      <c r="B18" s="416" t="inlineStr">
        <is>
          <t>T24CORE_LD_LOANS_AND_DEPOSITS</t>
        </is>
      </c>
      <c r="C18" s="416" t="inlineStr">
        <is>
          <t>PRIN_LIQ_ACCT</t>
        </is>
      </c>
      <c r="D18" s="416" t="inlineStr">
        <is>
          <t>TRIM(ld.PRIN_LIQ_ACCT)</t>
        </is>
      </c>
      <c r="E18" s="416" t="inlineStr">
        <is>
          <t>Schedule Lich Tra No</t>
        </is>
      </c>
      <c r="F18" s="416" t="inlineStr">
        <is>
          <t>Ld Prin Liq Acct</t>
        </is>
      </c>
      <c r="G18" s="416" t="inlineStr">
        <is>
          <t>sk_lich_tra_no</t>
        </is>
      </c>
      <c r="H18" s="416" t="inlineStr">
        <is>
          <t>LD_PRIN_LIQ_ACCT</t>
        </is>
      </c>
      <c r="I18" s="482" t="inlineStr">
        <is>
          <t>VARCHAR2</t>
        </is>
      </c>
      <c r="J18" s="482" t="n">
        <v>100</v>
      </c>
      <c r="K18" s="416" t="inlineStr">
        <is>
          <t>Tài khoản thanh toán gốc</t>
        </is>
      </c>
      <c r="L18" s="416" t="n"/>
      <c r="M18" s="416">
        <f>"COMMENT ON COLUMN PG_SILVER."&amp;G18&amp;"."&amp;H18&amp;" IS '"&amp;K18&amp;"';"</f>
        <v/>
      </c>
      <c r="N18" s="416" t="inlineStr">
        <is>
          <t>LEFT JOIN PG_BRONZE.T24CORE_LD_LOANS_AND_DEPOSITS ld ON SUBSTR(pdmv.RECID, 3, 12) = ld.RECID</t>
        </is>
      </c>
    </row>
    <row r="19" ht="15" customHeight="1" s="335">
      <c r="A19" s="416" t="inlineStr">
        <is>
          <t>PG_BRONZE</t>
        </is>
      </c>
      <c r="B19" s="416" t="inlineStr">
        <is>
          <t>T24CORE_LD_LOANS_AND_DEPOSITS</t>
        </is>
      </c>
      <c r="C19" s="416" t="inlineStr">
        <is>
          <t>PRODUCTGR_CODE</t>
        </is>
      </c>
      <c r="D19" s="416" t="inlineStr">
        <is>
          <t>TRIM(ld.PRODUCTGR_CODE)</t>
        </is>
      </c>
      <c r="E19" s="416" t="inlineStr">
        <is>
          <t>Schedule Lich Tra No</t>
        </is>
      </c>
      <c r="F19" s="416" t="inlineStr">
        <is>
          <t>Ld Productgr Code</t>
        </is>
      </c>
      <c r="G19" s="416" t="inlineStr">
        <is>
          <t>sk_lich_tra_no</t>
        </is>
      </c>
      <c r="H19" s="416" t="inlineStr">
        <is>
          <t>LD_PRODUCTGR_CODE</t>
        </is>
      </c>
      <c r="I19" s="482" t="inlineStr">
        <is>
          <t>VARCHAR2</t>
        </is>
      </c>
      <c r="J19" s="482" t="n">
        <v>100</v>
      </c>
      <c r="K19" s="416" t="inlineStr">
        <is>
          <t>Mã nhóm sản phẩm</t>
        </is>
      </c>
      <c r="L19" s="416" t="n"/>
      <c r="M19" s="416">
        <f>"COMMENT ON COLUMN PG_SILVER."&amp;G19&amp;"."&amp;H19&amp;" IS '"&amp;K19&amp;"';"</f>
        <v/>
      </c>
      <c r="N19" s="416" t="inlineStr">
        <is>
          <t>LEFT JOIN PG_BRONZE.T24CORE_LD_LOANS_AND_DEPOSITS ld ON SUBSTR(pdmv.RECID, 3, 12) = ld.RECID</t>
        </is>
      </c>
    </row>
    <row r="20" ht="15" customHeight="1" s="335">
      <c r="A20" s="416" t="inlineStr">
        <is>
          <t>PG_BRONZE</t>
        </is>
      </c>
      <c r="B20" s="416" t="inlineStr">
        <is>
          <t>T24CORE_LD_LOANS_AND_DEPOSITS</t>
        </is>
      </c>
      <c r="C20" s="416" t="inlineStr">
        <is>
          <t>PS_RATE</t>
        </is>
      </c>
      <c r="D20" s="416" t="inlineStr">
        <is>
          <t>COALESCE(CAST(ld.PS_RATE AS DECIMAL(13,7)), 0)</t>
        </is>
      </c>
      <c r="E20" s="416" t="inlineStr">
        <is>
          <t>Schedule Lich Tra No</t>
        </is>
      </c>
      <c r="F20" s="416" t="inlineStr">
        <is>
          <t>Ps Rate</t>
        </is>
      </c>
      <c r="G20" s="416" t="inlineStr">
        <is>
          <t>sk_lich_tra_no</t>
        </is>
      </c>
      <c r="H20" s="416" t="inlineStr">
        <is>
          <t>PS_RATE</t>
        </is>
      </c>
      <c r="I20" s="482" t="inlineStr">
        <is>
          <t>NUMBER</t>
        </is>
      </c>
      <c r="J20" s="482" t="n">
        <v>13.7</v>
      </c>
      <c r="K20" s="416" t="inlineStr">
        <is>
          <t>Lãi suất cho quá hạn</t>
        </is>
      </c>
      <c r="L20" s="416" t="n"/>
      <c r="M20" s="416">
        <f>"COMMENT ON COLUMN PG_SILVER."&amp;G20&amp;"."&amp;H20&amp;" IS '"&amp;K20&amp;"';"</f>
        <v/>
      </c>
      <c r="N20" s="416" t="inlineStr">
        <is>
          <t>LEFT JOIN PG_BRONZE.T24CORE_LD_LOANS_AND_DEPOSITS ld ON SUBSTR(pdmv.RECID, 3, 12) = ld.RECID</t>
        </is>
      </c>
    </row>
    <row r="21" ht="15" customHeight="1" s="335">
      <c r="A21" s="416" t="inlineStr">
        <is>
          <t>PG_BRONZE</t>
        </is>
      </c>
      <c r="B21" s="416" t="inlineStr">
        <is>
          <t>T24CORE_LD_LOANS_AND_DEPOSITS</t>
        </is>
      </c>
      <c r="C21" s="416" t="inlineStr">
        <is>
          <t>REAL_RATE</t>
        </is>
      </c>
      <c r="D21" s="416" t="inlineStr">
        <is>
          <t>COALESCE(CAST(ld.REAL_RATE AS DECIMAL(13,7)), 0)</t>
        </is>
      </c>
      <c r="E21" s="416" t="inlineStr">
        <is>
          <t>Schedule Lich Tra No</t>
        </is>
      </c>
      <c r="F21" s="416" t="inlineStr">
        <is>
          <t>Ld Real Rate</t>
        </is>
      </c>
      <c r="G21" s="416" t="inlineStr">
        <is>
          <t>sk_lich_tra_no</t>
        </is>
      </c>
      <c r="H21" s="416" t="inlineStr">
        <is>
          <t>LD_REAL_RATE</t>
        </is>
      </c>
      <c r="I21" s="482" t="inlineStr">
        <is>
          <t>NUMBER</t>
        </is>
      </c>
      <c r="J21" s="482" t="n">
        <v>13.7</v>
      </c>
      <c r="K21" s="416" t="inlineStr">
        <is>
          <t>Lãi suât thực tế</t>
        </is>
      </c>
      <c r="L21" s="416" t="n"/>
      <c r="M21" s="416">
        <f>"COMMENT ON COLUMN PG_SILVER."&amp;G21&amp;"."&amp;H21&amp;" IS '"&amp;K21&amp;"';"</f>
        <v/>
      </c>
      <c r="N21" s="416" t="inlineStr">
        <is>
          <t>LEFT JOIN PG_BRONZE.T24CORE_LD_LOANS_AND_DEPOSITS ld ON SUBSTR(pdmv.RECID, 3, 12) = ld.RECID</t>
        </is>
      </c>
    </row>
    <row r="22" ht="15" customHeight="1" s="335">
      <c r="A22" s="416" t="inlineStr">
        <is>
          <t>PG_BRONZE</t>
        </is>
      </c>
      <c r="B22" s="416" t="inlineStr">
        <is>
          <t>T24CORE_LD_LOANS_AND_DEPOSITS</t>
        </is>
      </c>
      <c r="C22" s="416" t="inlineStr">
        <is>
          <t>RECID</t>
        </is>
      </c>
      <c r="D22" s="416" t="inlineStr">
        <is>
          <t>TRIM(ld.RECID)</t>
        </is>
      </c>
      <c r="E22" s="416" t="inlineStr">
        <is>
          <t>Schedule Lich Tra No</t>
        </is>
      </c>
      <c r="F22" s="416" t="inlineStr">
        <is>
          <t>Ld Recid</t>
        </is>
      </c>
      <c r="G22" s="416" t="inlineStr">
        <is>
          <t>sk_lich_tra_no</t>
        </is>
      </c>
      <c r="H22" s="416" t="inlineStr">
        <is>
          <t>LD_RECID</t>
        </is>
      </c>
      <c r="I22" s="482" t="inlineStr">
        <is>
          <t>VARCHAR2</t>
        </is>
      </c>
      <c r="J22" s="482" t="n">
        <v>100</v>
      </c>
      <c r="K22" s="416" t="inlineStr">
        <is>
          <t>Mã hợp đồng</t>
        </is>
      </c>
      <c r="L22" s="416" t="n"/>
      <c r="M22" s="416">
        <f>"COMMENT ON COLUMN PG_SILVER."&amp;G22&amp;"."&amp;H22&amp;" IS '"&amp;K22&amp;"';"</f>
        <v/>
      </c>
      <c r="N22" s="416" t="inlineStr">
        <is>
          <t>LEFT JOIN PG_BRONZE.T24CORE_LD_LOANS_AND_DEPOSITS ld ON SUBSTR(pdmv.RECID, 3, 12) = ld.RECID</t>
        </is>
      </c>
    </row>
    <row r="23" ht="15" customHeight="1" s="335">
      <c r="A23" s="416" t="inlineStr">
        <is>
          <t>PG_BRONZE</t>
        </is>
      </c>
      <c r="B23" s="416" t="inlineStr">
        <is>
          <t>T24CORE_LD_LOANS_AND_DEPOSITS</t>
        </is>
      </c>
      <c r="C23" s="416" t="inlineStr">
        <is>
          <t>RECORD_STATUS</t>
        </is>
      </c>
      <c r="D23" s="416" t="inlineStr">
        <is>
          <t>TRIM(ld.RECORD_STATUS)</t>
        </is>
      </c>
      <c r="E23" s="416" t="inlineStr">
        <is>
          <t>Schedule Lich Tra No</t>
        </is>
      </c>
      <c r="F23" s="416" t="inlineStr">
        <is>
          <t>Ld Record Status</t>
        </is>
      </c>
      <c r="G23" s="416" t="inlineStr">
        <is>
          <t>sk_lich_tra_no</t>
        </is>
      </c>
      <c r="H23" s="416" t="inlineStr">
        <is>
          <t>LD_RECORD_STATUS</t>
        </is>
      </c>
      <c r="I23" s="482" t="inlineStr">
        <is>
          <t>VARCHAR2</t>
        </is>
      </c>
      <c r="J23" s="482" t="n">
        <v>100</v>
      </c>
      <c r="K23" s="416" t="inlineStr">
        <is>
          <t>Trạng thái bản ghi</t>
        </is>
      </c>
      <c r="L23" s="416" t="n"/>
      <c r="M23" s="416">
        <f>"COMMENT ON COLUMN PG_SILVER."&amp;G23&amp;"."&amp;H23&amp;" IS '"&amp;K23&amp;"';"</f>
        <v/>
      </c>
      <c r="N23" s="416" t="inlineStr">
        <is>
          <t>LEFT JOIN PG_BRONZE.T24CORE_LD_LOANS_AND_DEPOSITS ld ON SUBSTR(pdmv.RECID, 3, 12) = ld.RECID</t>
        </is>
      </c>
    </row>
    <row r="24" ht="15" customHeight="1" s="335">
      <c r="A24" s="416" t="inlineStr">
        <is>
          <t>PG_BRONZE</t>
        </is>
      </c>
      <c r="B24" s="416" t="inlineStr">
        <is>
          <t>T24CORE_LD_LOANS_AND_DEPOSITS</t>
        </is>
      </c>
      <c r="C24" s="416" t="inlineStr">
        <is>
          <t>STATUS</t>
        </is>
      </c>
      <c r="D24" s="416" t="inlineStr">
        <is>
          <t>TRIM(ld.STATUS)</t>
        </is>
      </c>
      <c r="E24" s="416" t="inlineStr">
        <is>
          <t>Schedule Lich Tra No</t>
        </is>
      </c>
      <c r="F24" s="416" t="inlineStr">
        <is>
          <t>Status</t>
        </is>
      </c>
      <c r="G24" s="416" t="inlineStr">
        <is>
          <t>sk_lich_tra_no</t>
        </is>
      </c>
      <c r="H24" s="416" t="inlineStr">
        <is>
          <t>STATUS</t>
        </is>
      </c>
      <c r="I24" s="482" t="inlineStr">
        <is>
          <t>VARCHAR2</t>
        </is>
      </c>
      <c r="J24" s="482" t="n">
        <v>100</v>
      </c>
      <c r="K24" s="416" t="inlineStr">
        <is>
          <t>Trạng thái</t>
        </is>
      </c>
      <c r="L24" s="416" t="n"/>
      <c r="M24" s="416">
        <f>"COMMENT ON COLUMN PG_SILVER."&amp;G24&amp;"."&amp;H24&amp;" IS '"&amp;K24&amp;"';"</f>
        <v/>
      </c>
      <c r="N24" s="416" t="inlineStr">
        <is>
          <t>LEFT JOIN PG_BRONZE.T24CORE_LD_LOANS_AND_DEPOSITS ld ON SUBSTR(pdmv.RECID, 3, 12) = ld.RECID</t>
        </is>
      </c>
    </row>
    <row r="25" ht="15" customHeight="1" s="335">
      <c r="A25" s="416" t="inlineStr">
        <is>
          <t>PG_BRONZE</t>
        </is>
      </c>
      <c r="B25" s="416" t="inlineStr">
        <is>
          <t>T24CORE_LD_LOANS_AND_DEPOSITS</t>
        </is>
      </c>
      <c r="C25" s="416" t="inlineStr">
        <is>
          <t>USE_OF_LOAN</t>
        </is>
      </c>
      <c r="D25" s="416" t="inlineStr">
        <is>
          <t>TRIM(ld.USE_OF_LOAN)</t>
        </is>
      </c>
      <c r="E25" s="416" t="inlineStr">
        <is>
          <t>Schedule Lich Tra No</t>
        </is>
      </c>
      <c r="F25" s="416" t="inlineStr">
        <is>
          <t>Ld Use Of Loan</t>
        </is>
      </c>
      <c r="G25" s="416" t="inlineStr">
        <is>
          <t>sk_lich_tra_no</t>
        </is>
      </c>
      <c r="H25" s="416" t="inlineStr">
        <is>
          <t>LD_USE_OF_LOAN</t>
        </is>
      </c>
      <c r="I25" s="482" t="inlineStr">
        <is>
          <t>VARCHAR2</t>
        </is>
      </c>
      <c r="J25" s="482" t="n">
        <v>100</v>
      </c>
      <c r="K25" s="416" t="inlineStr">
        <is>
          <t>Mã mục đích vay</t>
        </is>
      </c>
      <c r="L25" s="416" t="n"/>
      <c r="M25" s="416">
        <f>"COMMENT ON COLUMN PG_SILVER."&amp;G25&amp;"."&amp;H25&amp;" IS '"&amp;K25&amp;"';"</f>
        <v/>
      </c>
      <c r="N25" s="416" t="inlineStr">
        <is>
          <t>LEFT JOIN PG_BRONZE.T24CORE_LD_LOANS_AND_DEPOSITS ld ON SUBSTR(pdmv.RECID, 3, 12) = ld.RECID</t>
        </is>
      </c>
    </row>
    <row r="26" ht="15" customHeight="1" s="335">
      <c r="A26" s="416" t="inlineStr">
        <is>
          <t>PG_BRONZE</t>
        </is>
      </c>
      <c r="B26" s="416" t="inlineStr">
        <is>
          <t>T24CORE_LD_LOANS_AND_DEPOSITS</t>
        </is>
      </c>
      <c r="C26" s="416" t="inlineStr">
        <is>
          <t>USE_OF_LOAN_CHA</t>
        </is>
      </c>
      <c r="D26" s="416" t="inlineStr">
        <is>
          <t>TRIM(ld.USE_OF_LOAN_CHA)</t>
        </is>
      </c>
      <c r="E26" s="416" t="inlineStr">
        <is>
          <t>Schedule Lich Tra No</t>
        </is>
      </c>
      <c r="F26" s="416" t="inlineStr">
        <is>
          <t>Ld Use Of Loan Cha</t>
        </is>
      </c>
      <c r="G26" s="416" t="inlineStr">
        <is>
          <t>sk_lich_tra_no</t>
        </is>
      </c>
      <c r="H26" s="416" t="inlineStr">
        <is>
          <t>LD_USE_OF_LOAN_CHA</t>
        </is>
      </c>
      <c r="I26" s="482" t="inlineStr">
        <is>
          <t>VARCHAR2</t>
        </is>
      </c>
      <c r="J26" s="482" t="n">
        <v>100</v>
      </c>
      <c r="K26" s="416" t="inlineStr">
        <is>
          <t>Mã nhóm mục đích vay</t>
        </is>
      </c>
      <c r="L26" s="416" t="n"/>
      <c r="M26" s="416">
        <f>"COMMENT ON COLUMN PG_SILVER."&amp;G26&amp;"."&amp;H26&amp;" IS '"&amp;K26&amp;"';"</f>
        <v/>
      </c>
      <c r="N26" s="416" t="inlineStr">
        <is>
          <t>LEFT JOIN PG_BRONZE.T24CORE_LD_LOANS_AND_DEPOSITS ld ON SUBSTR(pdmv.RECID, 3, 12) = ld.RECID</t>
        </is>
      </c>
    </row>
    <row r="27" ht="15" customHeight="1" s="335">
      <c r="A27" s="416" t="inlineStr">
        <is>
          <t>PG_BRONZE</t>
        </is>
      </c>
      <c r="B27" s="416" t="inlineStr">
        <is>
          <t>T24CORE_LD_LOANS_AND_DEPOSITS</t>
        </is>
      </c>
      <c r="C27" s="416" t="inlineStr">
        <is>
          <t>VALUE_DATE</t>
        </is>
      </c>
      <c r="D27" s="416" t="inlineStr">
        <is>
          <t>TO_DATE(CAST(ld.VALUE_DATE AS VARCHAR(20)), 'YYYYMMDD')</t>
        </is>
      </c>
      <c r="E27" s="416" t="inlineStr">
        <is>
          <t>Schedule Lich Tra No</t>
        </is>
      </c>
      <c r="F27" s="416" t="inlineStr">
        <is>
          <t>Ld Value Date</t>
        </is>
      </c>
      <c r="G27" s="416" t="inlineStr">
        <is>
          <t>sk_lich_tra_no</t>
        </is>
      </c>
      <c r="H27" s="416" t="inlineStr">
        <is>
          <t>LD_VALUE_DATE</t>
        </is>
      </c>
      <c r="I27" s="482" t="inlineStr">
        <is>
          <t>DATE</t>
        </is>
      </c>
      <c r="J27" s="482" t="n"/>
      <c r="K27" s="416" t="inlineStr">
        <is>
          <t>Ngày hiệu lực hợp đồng</t>
        </is>
      </c>
      <c r="L27" s="416" t="n"/>
      <c r="M27" s="416">
        <f>"COMMENT ON COLUMN PG_SILVER."&amp;G27&amp;"."&amp;H27&amp;" IS '"&amp;K27&amp;"';"</f>
        <v/>
      </c>
      <c r="N27" s="416" t="inlineStr">
        <is>
          <t>LEFT JOIN PG_BRONZE.T24CORE_LD_LOANS_AND_DEPOSITS ld ON SUBSTR(pdmv.RECID, 3, 12) = ld.RECID</t>
        </is>
      </c>
    </row>
    <row r="28" ht="15" customHeight="1" s="335">
      <c r="A28" s="416" t="inlineStr">
        <is>
          <t>PG_BRONZE</t>
        </is>
      </c>
      <c r="B28" s="416" t="inlineStr">
        <is>
          <t>T24CORE_LD_LOANS_AND_DEPOSITS_HIS</t>
        </is>
      </c>
      <c r="C28" s="416" t="inlineStr">
        <is>
          <t>ACC_FCC</t>
        </is>
      </c>
      <c r="D28" s="416" t="inlineStr">
        <is>
          <t>TRIM(ldh.ACC_FCC)</t>
        </is>
      </c>
      <c r="E28" s="416" t="inlineStr">
        <is>
          <t>Schedule Lich Tra No</t>
        </is>
      </c>
      <c r="F28" s="416" t="inlineStr">
        <is>
          <t>Ldh Acc Fcc</t>
        </is>
      </c>
      <c r="G28" s="416" t="inlineStr">
        <is>
          <t>sk_lich_tra_no</t>
        </is>
      </c>
      <c r="H28" s="416" t="inlineStr">
        <is>
          <t>LDH_ACC_FCC</t>
        </is>
      </c>
      <c r="I28" s="482" t="inlineStr">
        <is>
          <t>VARCHAR2</t>
        </is>
      </c>
      <c r="J28" s="482" t="n">
        <v>100</v>
      </c>
      <c r="K28" s="416" t="inlineStr">
        <is>
          <t>Mã hợp đồng FlexCube</t>
        </is>
      </c>
      <c r="L28" s="416" t="n"/>
      <c r="M28" s="416">
        <f>"COMMENT ON COLUMN PG_SILVER."&amp;G28&amp;"."&amp;H28&amp;" IS '"&amp;K28&amp;"';"</f>
        <v/>
      </c>
      <c r="N28" s="416" t="inlineStr">
        <is>
          <t>LEFT JOIN PG_BRONZE.T24CORE_LD_LOANS_AND_DEPOSITS_HIS ldh ON SUBSTR(pdmv.RECID, 3, 12) = SUBSTR(ldh.RECID, 1, INSTR(ldh.RECID, ';') - 1)</t>
        </is>
      </c>
    </row>
    <row r="29" ht="15" customHeight="1" s="335">
      <c r="A29" s="416" t="inlineStr">
        <is>
          <t>PG_BRONZE</t>
        </is>
      </c>
      <c r="B29" s="416" t="inlineStr">
        <is>
          <t>T24CORE_LD_LOANS_AND_DEPOSITS_HIS</t>
        </is>
      </c>
      <c r="C29" s="416" t="inlineStr">
        <is>
          <t>AMOUNT</t>
        </is>
      </c>
      <c r="D29" s="416" t="inlineStr">
        <is>
          <t>COALESCE(CAST(ldh.AMOUNT AS DECIMAL(25,5)), 0)</t>
        </is>
      </c>
      <c r="E29" s="416" t="inlineStr">
        <is>
          <t>Schedule Lich Tra No</t>
        </is>
      </c>
      <c r="F29" s="416" t="inlineStr">
        <is>
          <t>Amount</t>
        </is>
      </c>
      <c r="G29" s="416" t="inlineStr">
        <is>
          <t>sk_lich_tra_no</t>
        </is>
      </c>
      <c r="H29" s="416" t="inlineStr">
        <is>
          <t>AMOUNT</t>
        </is>
      </c>
      <c r="I29" s="482" t="inlineStr">
        <is>
          <t>NUMBER</t>
        </is>
      </c>
      <c r="J29" s="482" t="n">
        <v>25.5</v>
      </c>
      <c r="K29" s="416" t="inlineStr">
        <is>
          <t>Dự nợ hợp đồng</t>
        </is>
      </c>
      <c r="L29" s="416" t="n"/>
      <c r="M29" s="416">
        <f>"COMMENT ON COLUMN PG_SILVER."&amp;G29&amp;"."&amp;H29&amp;" IS '"&amp;K29&amp;"';"</f>
        <v/>
      </c>
      <c r="N29" s="416" t="inlineStr">
        <is>
          <t>LEFT JOIN PG_BRONZE.T24CORE_LD_LOANS_AND_DEPOSITS_HIS ldh ON SUBSTR(pdmv.RECID, 3, 12) = SUBSTR(ldh.RECID, 1, INSTR(ldh.RECID, ';') - 1)</t>
        </is>
      </c>
    </row>
    <row r="30" ht="15" customHeight="1" s="335">
      <c r="A30" s="416" t="inlineStr">
        <is>
          <t>PG_BRONZE</t>
        </is>
      </c>
      <c r="B30" s="416" t="inlineStr">
        <is>
          <t>T24CORE_LD_LOANS_AND_DEPOSITS_HIS</t>
        </is>
      </c>
      <c r="C30" s="416" t="inlineStr">
        <is>
          <t>APPROVE_AMOUNT</t>
        </is>
      </c>
      <c r="D30" s="416" t="inlineStr">
        <is>
          <t>COALESCE(CAST(ldh.APPROVE_AMOUNT AS DECIMAL(25,5)), 0)</t>
        </is>
      </c>
      <c r="E30" s="416" t="inlineStr">
        <is>
          <t>Schedule Lich Tra No</t>
        </is>
      </c>
      <c r="F30" s="416" t="inlineStr">
        <is>
          <t>Ldh Approve Amount</t>
        </is>
      </c>
      <c r="G30" s="416" t="inlineStr">
        <is>
          <t>sk_lich_tra_no</t>
        </is>
      </c>
      <c r="H30" s="416" t="inlineStr">
        <is>
          <t>LDH_APPROVE_AMOUNT</t>
        </is>
      </c>
      <c r="I30" s="482" t="inlineStr">
        <is>
          <t>NUMBER</t>
        </is>
      </c>
      <c r="J30" s="482" t="n">
        <v>25.5</v>
      </c>
      <c r="K30" s="416" t="inlineStr">
        <is>
          <t>Giá trị giải ngân</t>
        </is>
      </c>
      <c r="L30" s="416" t="n"/>
      <c r="M30" s="416">
        <f>"COMMENT ON COLUMN PG_SILVER."&amp;G30&amp;"."&amp;H30&amp;" IS '"&amp;K30&amp;"';"</f>
        <v/>
      </c>
      <c r="N30" s="416" t="inlineStr">
        <is>
          <t>LEFT JOIN PG_BRONZE.T24CORE_LD_LOANS_AND_DEPOSITS_HIS ldh ON SUBSTR(pdmv.RECID, 3, 12) = SUBSTR(ldh.RECID, 1, INSTR(ldh.RECID, ';') - 1)</t>
        </is>
      </c>
    </row>
    <row r="31" ht="15" customHeight="1" s="335">
      <c r="A31" s="416" t="inlineStr">
        <is>
          <t>PG_BRONZE</t>
        </is>
      </c>
      <c r="B31" s="416" t="inlineStr">
        <is>
          <t>T24CORE_LD_LOANS_AND_DEPOSITS_HIS</t>
        </is>
      </c>
      <c r="C31" s="416" t="inlineStr">
        <is>
          <t>CATEGORY</t>
        </is>
      </c>
      <c r="D31" s="416" t="inlineStr">
        <is>
          <t>TRIM(ldh.CATEGORY)</t>
        </is>
      </c>
      <c r="E31" s="416" t="inlineStr">
        <is>
          <t>Schedule Lich Tra No</t>
        </is>
      </c>
      <c r="F31" s="416" t="inlineStr">
        <is>
          <t>Ldh Category</t>
        </is>
      </c>
      <c r="G31" s="416" t="inlineStr">
        <is>
          <t>sk_lich_tra_no</t>
        </is>
      </c>
      <c r="H31" s="416" t="inlineStr">
        <is>
          <t>LDH_CATEGORY</t>
        </is>
      </c>
      <c r="I31" s="482" t="inlineStr">
        <is>
          <t>VARCHAR2</t>
        </is>
      </c>
      <c r="J31" s="482" t="n">
        <v>100</v>
      </c>
      <c r="K31" s="416" t="inlineStr">
        <is>
          <t>Mã phân loại sản phẩm</t>
        </is>
      </c>
      <c r="L31" s="416" t="n"/>
      <c r="M31" s="416">
        <f>"COMMENT ON COLUMN PG_SILVER."&amp;G31&amp;"."&amp;H31&amp;" IS '"&amp;K31&amp;"';"</f>
        <v/>
      </c>
      <c r="N31" s="416" t="inlineStr">
        <is>
          <t>LEFT JOIN PG_BRONZE.T24CORE_LD_LOANS_AND_DEPOSITS_HIS ldh ON SUBSTR(pdmv.RECID, 3, 12) = SUBSTR(ldh.RECID, 1, INSTR(ldh.RECID, ';') - 1)</t>
        </is>
      </c>
    </row>
    <row r="32" ht="15" customHeight="1" s="335">
      <c r="A32" s="416" t="inlineStr">
        <is>
          <t>PG_BRONZE</t>
        </is>
      </c>
      <c r="B32" s="416" t="inlineStr">
        <is>
          <t>T24CORE_LD_LOANS_AND_DEPOSITS_HIS</t>
        </is>
      </c>
      <c r="C32" s="416" t="inlineStr">
        <is>
          <t>CO_CODE</t>
        </is>
      </c>
      <c r="D32" s="416" t="inlineStr">
        <is>
          <t>TRIM(ldh.CO_CODE)</t>
        </is>
      </c>
      <c r="E32" s="416" t="inlineStr">
        <is>
          <t>Schedule Lich Tra No</t>
        </is>
      </c>
      <c r="F32" s="416" t="inlineStr">
        <is>
          <t>Ldh Co Code</t>
        </is>
      </c>
      <c r="G32" s="416" t="inlineStr">
        <is>
          <t>sk_lich_tra_no</t>
        </is>
      </c>
      <c r="H32" s="416" t="inlineStr">
        <is>
          <t>LDH_CO_CODE</t>
        </is>
      </c>
      <c r="I32" s="482" t="inlineStr">
        <is>
          <t>VARCHAR2</t>
        </is>
      </c>
      <c r="J32" s="482" t="n">
        <v>100</v>
      </c>
      <c r="K32" s="416" t="inlineStr">
        <is>
          <t>Mã chi nhánh</t>
        </is>
      </c>
      <c r="L32" s="416" t="n"/>
      <c r="M32" s="416">
        <f>"COMMENT ON COLUMN PG_SILVER."&amp;G32&amp;"."&amp;H32&amp;" IS '"&amp;K32&amp;"';"</f>
        <v/>
      </c>
      <c r="N32" s="416" t="inlineStr">
        <is>
          <t>LEFT JOIN PG_BRONZE.T24CORE_LD_LOANS_AND_DEPOSITS_HIS ldh ON SUBSTR(pdmv.RECID, 3, 12) = SUBSTR(ldh.RECID, 1, INSTR(ldh.RECID, ';') - 1)</t>
        </is>
      </c>
    </row>
    <row r="33" ht="15" customHeight="1" s="335">
      <c r="A33" s="416" t="inlineStr">
        <is>
          <t>PG_BRONZE</t>
        </is>
      </c>
      <c r="B33" s="416" t="inlineStr">
        <is>
          <t>T24CORE_LD_LOANS_AND_DEPOSITS_HIS</t>
        </is>
      </c>
      <c r="C33" s="416" t="inlineStr">
        <is>
          <t>COMMIT_ACTION</t>
        </is>
      </c>
      <c r="D33" s="416" t="inlineStr">
        <is>
          <t>TRIM(ldh.COMMIT_ACTION)</t>
        </is>
      </c>
      <c r="E33" s="416" t="inlineStr">
        <is>
          <t>Schedule Lich Tra No</t>
        </is>
      </c>
      <c r="F33" s="416" t="inlineStr">
        <is>
          <t>Ldh Commit Action</t>
        </is>
      </c>
      <c r="G33" s="416" t="inlineStr">
        <is>
          <t>sk_lich_tra_no</t>
        </is>
      </c>
      <c r="H33" s="416" t="inlineStr">
        <is>
          <t>LDH_COMMIT_ACTION</t>
        </is>
      </c>
      <c r="I33" s="482" t="inlineStr">
        <is>
          <t>VARCHAR2</t>
        </is>
      </c>
      <c r="J33" s="482" t="n">
        <v>100</v>
      </c>
      <c r="K33" s="416" t="inlineStr">
        <is>
          <t>Trường COMMIT_ACTION của bảng nguồn T24CORE.LD_LOANS_AND_DEPOSITS_HIS</t>
        </is>
      </c>
      <c r="L33" s="416" t="n"/>
      <c r="M33" s="416">
        <f>"COMMENT ON COLUMN PG_SILVER."&amp;G33&amp;"."&amp;H33&amp;" IS '"&amp;K33&amp;"';"</f>
        <v/>
      </c>
      <c r="N33" s="416" t="inlineStr">
        <is>
          <t>LEFT JOIN PG_BRONZE.T24CORE_LD_LOANS_AND_DEPOSITS_HIS ldh ON SUBSTR(pdmv.RECID, 3, 12) = SUBSTR(ldh.RECID, 1, INSTR(ldh.RECID, ';') - 1)</t>
        </is>
      </c>
    </row>
    <row r="34" ht="15" customHeight="1" s="335">
      <c r="A34" s="416" t="inlineStr">
        <is>
          <t>PG_BRONZE</t>
        </is>
      </c>
      <c r="B34" s="416" t="inlineStr">
        <is>
          <t>T24CORE_LD_LOANS_AND_DEPOSITS_HIS</t>
        </is>
      </c>
      <c r="C34" s="416" t="inlineStr">
        <is>
          <t>CRA_LD</t>
        </is>
      </c>
      <c r="D34" s="416" t="inlineStr">
        <is>
          <t>TRIM(ldh.CRA_LD)</t>
        </is>
      </c>
      <c r="E34" s="416" t="inlineStr">
        <is>
          <t>Schedule Lich Tra No</t>
        </is>
      </c>
      <c r="F34" s="416" t="inlineStr">
        <is>
          <t>Cra Ld</t>
        </is>
      </c>
      <c r="G34" s="416" t="inlineStr">
        <is>
          <t>sk_lich_tra_no</t>
        </is>
      </c>
      <c r="H34" s="416" t="inlineStr">
        <is>
          <t>CRA_LD</t>
        </is>
      </c>
      <c r="I34" s="482" t="inlineStr">
        <is>
          <t>VARCHAR2</t>
        </is>
      </c>
      <c r="J34" s="482" t="n">
        <v>100</v>
      </c>
      <c r="K34" s="416" t="inlineStr">
        <is>
          <t>Mã hồ sơ</t>
        </is>
      </c>
      <c r="L34" s="416" t="n"/>
      <c r="M34" s="416">
        <f>"COMMENT ON COLUMN PG_SILVER."&amp;G34&amp;"."&amp;H34&amp;" IS '"&amp;K34&amp;"';"</f>
        <v/>
      </c>
      <c r="N34" s="416" t="inlineStr">
        <is>
          <t>LEFT JOIN PG_BRONZE.T24CORE_LD_LOANS_AND_DEPOSITS_HIS ldh ON SUBSTR(pdmv.RECID, 3, 12) = SUBSTR(ldh.RECID, 1, INSTR(ldh.RECID, ';') - 1)</t>
        </is>
      </c>
    </row>
    <row r="35" ht="15" customHeight="1" s="335">
      <c r="A35" s="416" t="inlineStr">
        <is>
          <t>PG_BRONZE</t>
        </is>
      </c>
      <c r="B35" s="416" t="inlineStr">
        <is>
          <t>T24CORE_LD_LOANS_AND_DEPOSITS_HIS</t>
        </is>
      </c>
      <c r="C35" s="416" t="inlineStr">
        <is>
          <t>CURR_NO</t>
        </is>
      </c>
      <c r="D35" s="416" t="inlineStr">
        <is>
          <t>COALESCE(CAST(ldh.CURR_NO AS DECIMAL(10)), 0)</t>
        </is>
      </c>
      <c r="E35" s="416" t="inlineStr">
        <is>
          <t>Schedule Lich Tra No</t>
        </is>
      </c>
      <c r="F35" s="416" t="inlineStr">
        <is>
          <t>Ldh Curr No</t>
        </is>
      </c>
      <c r="G35" s="416" t="inlineStr">
        <is>
          <t>sk_lich_tra_no</t>
        </is>
      </c>
      <c r="H35" s="416" t="inlineStr">
        <is>
          <t>LDH_CURR_NO</t>
        </is>
      </c>
      <c r="I35" s="482" t="inlineStr">
        <is>
          <t>NUMBER</t>
        </is>
      </c>
      <c r="J35" s="482" t="n">
        <v>10</v>
      </c>
      <c r="K35" s="416" t="inlineStr">
        <is>
          <t>Version của bản ghi</t>
        </is>
      </c>
      <c r="L35" s="416" t="n"/>
      <c r="M35" s="416">
        <f>"COMMENT ON COLUMN PG_SILVER."&amp;G35&amp;"."&amp;H35&amp;" IS '"&amp;K35&amp;"';"</f>
        <v/>
      </c>
      <c r="N35" s="416" t="inlineStr">
        <is>
          <t>LEFT JOIN PG_BRONZE.T24CORE_LD_LOANS_AND_DEPOSITS_HIS ldh ON SUBSTR(pdmv.RECID, 3, 12) = SUBSTR(ldh.RECID, 1, INSTR(ldh.RECID, ';') - 1)</t>
        </is>
      </c>
    </row>
    <row r="36" ht="15" customHeight="1" s="335">
      <c r="A36" s="416" t="inlineStr">
        <is>
          <t>PG_BRONZE</t>
        </is>
      </c>
      <c r="B36" s="416" t="inlineStr">
        <is>
          <t>T24CORE_LD_LOANS_AND_DEPOSITS_HIS</t>
        </is>
      </c>
      <c r="C36" s="416" t="inlineStr">
        <is>
          <t>CURRENCY</t>
        </is>
      </c>
      <c r="D36" s="416" t="inlineStr">
        <is>
          <t>TRIM(ldh.CURRENCY)</t>
        </is>
      </c>
      <c r="E36" s="416" t="inlineStr">
        <is>
          <t>Schedule Lich Tra No</t>
        </is>
      </c>
      <c r="F36" s="416" t="inlineStr">
        <is>
          <t>Ldh Currency</t>
        </is>
      </c>
      <c r="G36" s="416" t="inlineStr">
        <is>
          <t>sk_lich_tra_no</t>
        </is>
      </c>
      <c r="H36" s="416" t="inlineStr">
        <is>
          <t>LDH_CURRENCY</t>
        </is>
      </c>
      <c r="I36" s="482" t="inlineStr">
        <is>
          <t>VARCHAR2</t>
        </is>
      </c>
      <c r="J36" s="482" t="n">
        <v>100</v>
      </c>
      <c r="K36" s="416" t="inlineStr">
        <is>
          <t>Mã loại tiền</t>
        </is>
      </c>
      <c r="L36" s="416" t="n"/>
      <c r="M36" s="416">
        <f>"COMMENT ON COLUMN PG_SILVER."&amp;G36&amp;"."&amp;H36&amp;" IS '"&amp;K36&amp;"';"</f>
        <v/>
      </c>
      <c r="N36" s="416" t="inlineStr">
        <is>
          <t>LEFT JOIN PG_BRONZE.T24CORE_LD_LOANS_AND_DEPOSITS_HIS ldh ON SUBSTR(pdmv.RECID, 3, 12) = SUBSTR(ldh.RECID, 1, INSTR(ldh.RECID, ';') - 1)</t>
        </is>
      </c>
    </row>
    <row r="37" ht="15" customHeight="1" s="335">
      <c r="A37" s="416" t="inlineStr">
        <is>
          <t>PG_BRONZE</t>
        </is>
      </c>
      <c r="B37" s="416" t="inlineStr">
        <is>
          <t>T24CORE_LD_LOANS_AND_DEPOSITS_HIS</t>
        </is>
      </c>
      <c r="C37" s="416" t="inlineStr">
        <is>
          <t>CUSTOMER_ID</t>
        </is>
      </c>
      <c r="D37" s="416" t="inlineStr">
        <is>
          <t>TRIM(ldh.CUSTOMER_ID)</t>
        </is>
      </c>
      <c r="E37" s="416" t="inlineStr">
        <is>
          <t>Schedule Lich Tra No</t>
        </is>
      </c>
      <c r="F37" s="416" t="inlineStr">
        <is>
          <t>Customer Id</t>
        </is>
      </c>
      <c r="G37" s="416" t="inlineStr">
        <is>
          <t>sk_lich_tra_no</t>
        </is>
      </c>
      <c r="H37" s="416" t="inlineStr">
        <is>
          <t>CUSTOMER_ID</t>
        </is>
      </c>
      <c r="I37" s="482" t="inlineStr">
        <is>
          <t>VARCHAR2</t>
        </is>
      </c>
      <c r="J37" s="482" t="n">
        <v>100</v>
      </c>
      <c r="K37" s="416" t="inlineStr">
        <is>
          <t>Mã khách hành</t>
        </is>
      </c>
      <c r="L37" s="416" t="n"/>
      <c r="M37" s="416">
        <f>"COMMENT ON COLUMN PG_SILVER."&amp;G37&amp;"."&amp;H37&amp;" IS '"&amp;K37&amp;"';"</f>
        <v/>
      </c>
      <c r="N37" s="416" t="inlineStr">
        <is>
          <t>LEFT JOIN PG_BRONZE.T24CORE_LD_LOANS_AND_DEPOSITS_HIS ldh ON SUBSTR(pdmv.RECID, 3, 12) = SUBSTR(ldh.RECID, 1, INSTR(ldh.RECID, ';') - 1)</t>
        </is>
      </c>
    </row>
    <row r="38" ht="15" customHeight="1" s="335">
      <c r="A38" s="416" t="inlineStr">
        <is>
          <t>PG_BRONZE</t>
        </is>
      </c>
      <c r="B38" s="416" t="inlineStr">
        <is>
          <t>T24CORE_LD_LOANS_AND_DEPOSITS_HIS</t>
        </is>
      </c>
      <c r="C38" s="416" t="inlineStr">
        <is>
          <t>DATE_TIME</t>
        </is>
      </c>
      <c r="D38" s="416" t="inlineStr">
        <is>
          <t>TO_DATE(CAST(ldh.DATE_TIME AS VARCHAR(20)), 'YYYYMMDD')</t>
        </is>
      </c>
      <c r="E38" s="416" t="inlineStr">
        <is>
          <t>Schedule Lich Tra No</t>
        </is>
      </c>
      <c r="F38" s="416" t="inlineStr">
        <is>
          <t>Ldh Date Time</t>
        </is>
      </c>
      <c r="G38" s="416" t="inlineStr">
        <is>
          <t>sk_lich_tra_no</t>
        </is>
      </c>
      <c r="H38" s="416" t="inlineStr">
        <is>
          <t>LDH_DATE_TIME</t>
        </is>
      </c>
      <c r="I38" s="482" t="inlineStr">
        <is>
          <t>DATE</t>
        </is>
      </c>
      <c r="J38" s="482" t="n"/>
      <c r="K38" s="416" t="inlineStr">
        <is>
          <t>Ngày nhập liệu Core</t>
        </is>
      </c>
      <c r="L38" s="416" t="n"/>
      <c r="M38" s="416">
        <f>"COMMENT ON COLUMN PG_SILVER."&amp;G38&amp;"."&amp;H38&amp;" IS '"&amp;K38&amp;"';"</f>
        <v/>
      </c>
      <c r="N38" s="416" t="inlineStr">
        <is>
          <t>LEFT JOIN PG_BRONZE.T24CORE_LD_LOANS_AND_DEPOSITS_HIS ldh ON SUBSTR(pdmv.RECID, 3, 12) = SUBSTR(ldh.RECID, 1, INSTR(ldh.RECID, ';') - 1)</t>
        </is>
      </c>
    </row>
    <row r="39" ht="15" customHeight="1" s="335">
      <c r="A39" s="416" t="inlineStr">
        <is>
          <t>PG_BRONZE</t>
        </is>
      </c>
      <c r="B39" s="416" t="inlineStr">
        <is>
          <t>T24CORE_LD_LOANS_AND_DEPOSITS_HIS</t>
        </is>
      </c>
      <c r="C39" s="416" t="inlineStr">
        <is>
          <t>DRAWDOWN_NET_AMT</t>
        </is>
      </c>
      <c r="D39" s="416" t="inlineStr">
        <is>
          <t>COALESCE(CAST(ldh.DRAWDOWN_NET_AMT AS DECIMAL(25,5)), 0)</t>
        </is>
      </c>
      <c r="E39" s="416" t="inlineStr">
        <is>
          <t>Schedule Lich Tra No</t>
        </is>
      </c>
      <c r="F39" s="416" t="inlineStr">
        <is>
          <t>Drawdown Net Amt</t>
        </is>
      </c>
      <c r="G39" s="416" t="inlineStr">
        <is>
          <t>sk_lich_tra_no</t>
        </is>
      </c>
      <c r="H39" s="416" t="inlineStr">
        <is>
          <t>DRAWDOWN_NET_AMT</t>
        </is>
      </c>
      <c r="I39" s="482" t="inlineStr">
        <is>
          <t>NUMBER</t>
        </is>
      </c>
      <c r="J39" s="482" t="n">
        <v>25.5</v>
      </c>
      <c r="K39" s="416" t="inlineStr">
        <is>
          <t>Số tiền thực tế giải ngân</t>
        </is>
      </c>
      <c r="L39" s="416" t="n"/>
      <c r="M39" s="416">
        <f>"COMMENT ON COLUMN PG_SILVER."&amp;G39&amp;"."&amp;H39&amp;" IS '"&amp;K39&amp;"';"</f>
        <v/>
      </c>
      <c r="N39" s="416" t="inlineStr">
        <is>
          <t>LEFT JOIN PG_BRONZE.T24CORE_LD_LOANS_AND_DEPOSITS_HIS ldh ON SUBSTR(pdmv.RECID, 3, 12) = SUBSTR(ldh.RECID, 1, INSTR(ldh.RECID, ';') - 1)</t>
        </is>
      </c>
    </row>
    <row r="40" ht="15" customHeight="1" s="335">
      <c r="A40" s="416" t="inlineStr">
        <is>
          <t>PG_BRONZE</t>
        </is>
      </c>
      <c r="B40" s="416" t="inlineStr">
        <is>
          <t>T24CORE_LD_LOANS_AND_DEPOSITS_HIS</t>
        </is>
      </c>
      <c r="C40" s="416" t="inlineStr">
        <is>
          <t>EXCG_RATE</t>
        </is>
      </c>
      <c r="D40" s="416" t="inlineStr">
        <is>
          <t>COALESCE(CAST(ldh.EXCG_RATE AS DECIMAL(13,7)), 0)</t>
        </is>
      </c>
      <c r="E40" s="416" t="inlineStr">
        <is>
          <t>Schedule Lich Tra No</t>
        </is>
      </c>
      <c r="F40" s="416" t="inlineStr">
        <is>
          <t>Excg Rate</t>
        </is>
      </c>
      <c r="G40" s="416" t="inlineStr">
        <is>
          <t>sk_lich_tra_no</t>
        </is>
      </c>
      <c r="H40" s="416" t="inlineStr">
        <is>
          <t>EXCG_RATE</t>
        </is>
      </c>
      <c r="I40" s="482" t="inlineStr">
        <is>
          <t>NUMBER</t>
        </is>
      </c>
      <c r="J40" s="482" t="n">
        <v>13.7</v>
      </c>
      <c r="K40" s="416" t="inlineStr">
        <is>
          <t>Tỷ giá quy đổi</t>
        </is>
      </c>
      <c r="L40" s="416" t="n"/>
      <c r="M40" s="416">
        <f>"COMMENT ON COLUMN PG_SILVER."&amp;G40&amp;"."&amp;H40&amp;" IS '"&amp;K40&amp;"';"</f>
        <v/>
      </c>
      <c r="N40" s="416" t="inlineStr">
        <is>
          <t>LEFT JOIN PG_BRONZE.T24CORE_LD_LOANS_AND_DEPOSITS_HIS ldh ON SUBSTR(pdmv.RECID, 3, 12) = SUBSTR(ldh.RECID, 1, INSTR(ldh.RECID, ';') - 1)</t>
        </is>
      </c>
    </row>
    <row r="41" ht="15" customHeight="1" s="335">
      <c r="A41" s="416" t="inlineStr">
        <is>
          <t>PG_BRONZE</t>
        </is>
      </c>
      <c r="B41" s="416" t="inlineStr">
        <is>
          <t>T24CORE_LD_LOANS_AND_DEPOSITS_HIS</t>
        </is>
      </c>
      <c r="C41" s="416" t="inlineStr">
        <is>
          <t>FIN_MAT_DATE</t>
        </is>
      </c>
      <c r="D41" s="416" t="inlineStr">
        <is>
          <t>TO_DATE(CAST(ldh.FIN_MAT_DATE AS VARCHAR(20)), 'YYYYMMDD')</t>
        </is>
      </c>
      <c r="E41" s="416" t="inlineStr">
        <is>
          <t>Schedule Lich Tra No</t>
        </is>
      </c>
      <c r="F41" s="416" t="inlineStr">
        <is>
          <t>Fin Mat Date</t>
        </is>
      </c>
      <c r="G41" s="416" t="inlineStr">
        <is>
          <t>sk_lich_tra_no</t>
        </is>
      </c>
      <c r="H41" s="416" t="inlineStr">
        <is>
          <t>FIN_MAT_DATE</t>
        </is>
      </c>
      <c r="I41" s="482" t="inlineStr">
        <is>
          <t>DATE</t>
        </is>
      </c>
      <c r="J41" s="482" t="n"/>
      <c r="K41" s="416" t="inlineStr">
        <is>
          <t>Ngày đáo hạn</t>
        </is>
      </c>
      <c r="L41" s="416" t="n"/>
      <c r="M41" s="416">
        <f>"COMMENT ON COLUMN PG_SILVER."&amp;G41&amp;"."&amp;H41&amp;" IS '"&amp;K41&amp;"';"</f>
        <v/>
      </c>
      <c r="N41" s="416" t="inlineStr">
        <is>
          <t>LEFT JOIN PG_BRONZE.T24CORE_LD_LOANS_AND_DEPOSITS_HIS ldh ON SUBSTR(pdmv.RECID, 3, 12) = SUBSTR(ldh.RECID, 1, INSTR(ldh.RECID, ';') - 1)</t>
        </is>
      </c>
    </row>
    <row r="42" ht="15" customHeight="1" s="335">
      <c r="A42" s="416" t="inlineStr">
        <is>
          <t>PG_BRONZE</t>
        </is>
      </c>
      <c r="B42" s="416" t="inlineStr">
        <is>
          <t>T24CORE_LD_LOANS_AND_DEPOSITS_HIS</t>
        </is>
      </c>
      <c r="C42" s="416" t="inlineStr">
        <is>
          <t>INT_LIQ_ACCT</t>
        </is>
      </c>
      <c r="D42" s="416" t="inlineStr">
        <is>
          <t>TRIM(ldh.INT_LIQ_ACCT)</t>
        </is>
      </c>
      <c r="E42" s="416" t="inlineStr">
        <is>
          <t>Schedule Lich Tra No</t>
        </is>
      </c>
      <c r="F42" s="416" t="inlineStr">
        <is>
          <t>Int Liq Acct</t>
        </is>
      </c>
      <c r="G42" s="416" t="inlineStr">
        <is>
          <t>sk_lich_tra_no</t>
        </is>
      </c>
      <c r="H42" s="416" t="inlineStr">
        <is>
          <t>INT_LIQ_ACCT</t>
        </is>
      </c>
      <c r="I42" s="482" t="inlineStr">
        <is>
          <t>VARCHAR2</t>
        </is>
      </c>
      <c r="J42" s="482" t="n">
        <v>100</v>
      </c>
      <c r="K42" s="416" t="inlineStr">
        <is>
          <t>Tài khoản thanh toán lãi</t>
        </is>
      </c>
      <c r="L42" s="416" t="n"/>
      <c r="M42" s="416">
        <f>"COMMENT ON COLUMN PG_SILVER."&amp;G42&amp;"."&amp;H42&amp;" IS '"&amp;K42&amp;"';"</f>
        <v/>
      </c>
      <c r="N42" s="416" t="inlineStr">
        <is>
          <t>LEFT JOIN PG_BRONZE.T24CORE_LD_LOANS_AND_DEPOSITS_HIS ldh ON SUBSTR(pdmv.RECID, 3, 12) = SUBSTR(ldh.RECID, 1, INSTR(ldh.RECID, ';') - 1)</t>
        </is>
      </c>
    </row>
    <row r="43" ht="15" customHeight="1" s="335">
      <c r="A43" s="416" t="inlineStr">
        <is>
          <t>PG_BRONZE</t>
        </is>
      </c>
      <c r="B43" s="416" t="inlineStr">
        <is>
          <t>T24CORE_LD_LOANS_AND_DEPOSITS_HIS</t>
        </is>
      </c>
      <c r="C43" s="416" t="inlineStr">
        <is>
          <t>INT_RATE_TYPE</t>
        </is>
      </c>
      <c r="D43" s="416" t="inlineStr">
        <is>
          <t>TRIM(ldh.INT_RATE_TYPE)</t>
        </is>
      </c>
      <c r="E43" s="416" t="inlineStr">
        <is>
          <t>Schedule Lich Tra No</t>
        </is>
      </c>
      <c r="F43" s="416" t="inlineStr">
        <is>
          <t>Int Rate Type</t>
        </is>
      </c>
      <c r="G43" s="416" t="inlineStr">
        <is>
          <t>sk_lich_tra_no</t>
        </is>
      </c>
      <c r="H43" s="416" t="inlineStr">
        <is>
          <t>INT_RATE_TYPE</t>
        </is>
      </c>
      <c r="I43" s="482" t="inlineStr">
        <is>
          <t>VARCHAR2</t>
        </is>
      </c>
      <c r="J43" s="482" t="n">
        <v>20</v>
      </c>
      <c r="K43" s="416" t="inlineStr">
        <is>
          <t>Loại lãi suất: cố định, thả nổi</t>
        </is>
      </c>
      <c r="L43" s="416" t="n"/>
      <c r="M43" s="416">
        <f>"COMMENT ON COLUMN PG_SILVER."&amp;G43&amp;"."&amp;H43&amp;" IS '"&amp;K43&amp;"';"</f>
        <v/>
      </c>
      <c r="N43" s="416" t="inlineStr">
        <is>
          <t>LEFT JOIN PG_BRONZE.T24CORE_LD_LOANS_AND_DEPOSITS_HIS ldh ON SUBSTR(pdmv.RECID, 3, 12) = SUBSTR(ldh.RECID, 1, INSTR(ldh.RECID, ';') - 1)</t>
        </is>
      </c>
    </row>
    <row r="44" ht="15" customHeight="1" s="335">
      <c r="A44" s="416" t="inlineStr">
        <is>
          <t>PG_BRONZE</t>
        </is>
      </c>
      <c r="B44" s="416" t="inlineStr">
        <is>
          <t>T24CORE_LD_LOANS_AND_DEPOSITS_HIS</t>
        </is>
      </c>
      <c r="C44" s="416" t="inlineStr">
        <is>
          <t>INT_VALUE_DATE</t>
        </is>
      </c>
      <c r="D44" s="416" t="inlineStr">
        <is>
          <t>TO_DATE(CAST(ldh.INT_VALUE_DATE AS VARCHAR(20)), 'YYYYMMDD')</t>
        </is>
      </c>
      <c r="E44" s="416" t="inlineStr">
        <is>
          <t>Schedule Lich Tra No</t>
        </is>
      </c>
      <c r="F44" s="416" t="inlineStr">
        <is>
          <t>Int Value Date</t>
        </is>
      </c>
      <c r="G44" s="416" t="inlineStr">
        <is>
          <t>sk_lich_tra_no</t>
        </is>
      </c>
      <c r="H44" s="416" t="inlineStr">
        <is>
          <t>INT_VALUE_DATE</t>
        </is>
      </c>
      <c r="I44" s="482" t="inlineStr">
        <is>
          <t>DATE</t>
        </is>
      </c>
      <c r="J44" s="482" t="n"/>
      <c r="K44" s="416" t="inlineStr">
        <is>
          <t>Ngày thu lãi</t>
        </is>
      </c>
      <c r="L44" s="416" t="n"/>
      <c r="M44" s="416">
        <f>"COMMENT ON COLUMN PG_SILVER."&amp;G44&amp;"."&amp;H44&amp;" IS '"&amp;K44&amp;"';"</f>
        <v/>
      </c>
      <c r="N44" s="416" t="inlineStr">
        <is>
          <t>LEFT JOIN PG_BRONZE.T24CORE_LD_LOANS_AND_DEPOSITS_HIS ldh ON SUBSTR(pdmv.RECID, 3, 12) = SUBSTR(ldh.RECID, 1, INSTR(ldh.RECID, ';') - 1)</t>
        </is>
      </c>
    </row>
    <row r="45" ht="15" customHeight="1" s="335">
      <c r="A45" s="416" t="inlineStr">
        <is>
          <t>PG_BRONZE</t>
        </is>
      </c>
      <c r="B45" s="416" t="inlineStr">
        <is>
          <t>T24CORE_LD_LOANS_AND_DEPOSITS_HIS</t>
        </is>
      </c>
      <c r="C45" s="416" t="inlineStr">
        <is>
          <t>INTEREST_RATE</t>
        </is>
      </c>
      <c r="D45" s="416" t="inlineStr">
        <is>
          <t>COALESCE(CAST(ldh.INTEREST_RATE AS DECIMAL(13,7)), 0)</t>
        </is>
      </c>
      <c r="E45" s="416" t="inlineStr">
        <is>
          <t>Schedule Lich Tra No</t>
        </is>
      </c>
      <c r="F45" s="416" t="inlineStr">
        <is>
          <t>Interest Rate</t>
        </is>
      </c>
      <c r="G45" s="416" t="inlineStr">
        <is>
          <t>sk_lich_tra_no</t>
        </is>
      </c>
      <c r="H45" s="416" t="inlineStr">
        <is>
          <t>INTEREST_RATE</t>
        </is>
      </c>
      <c r="I45" s="482" t="inlineStr">
        <is>
          <t>NUMBER</t>
        </is>
      </c>
      <c r="J45" s="482" t="n">
        <v>13.7</v>
      </c>
      <c r="K45" s="416" t="inlineStr">
        <is>
          <t>Giá trị lãi suất</t>
        </is>
      </c>
      <c r="L45" s="416" t="n"/>
      <c r="M45" s="416">
        <f>"COMMENT ON COLUMN PG_SILVER."&amp;G45&amp;"."&amp;H45&amp;" IS '"&amp;K45&amp;"';"</f>
        <v/>
      </c>
      <c r="N45" s="416" t="inlineStr">
        <is>
          <t>LEFT JOIN PG_BRONZE.T24CORE_LD_LOANS_AND_DEPOSITS_HIS ldh ON SUBSTR(pdmv.RECID, 3, 12) = SUBSTR(ldh.RECID, 1, INSTR(ldh.RECID, ';') - 1)</t>
        </is>
      </c>
    </row>
    <row r="46" ht="15" customHeight="1" s="335">
      <c r="A46" s="416" t="inlineStr">
        <is>
          <t>PG_BRONZE</t>
        </is>
      </c>
      <c r="B46" s="416" t="inlineStr">
        <is>
          <t>T24CORE_LD_LOANS_AND_DEPOSITS_HIS</t>
        </is>
      </c>
      <c r="C46" s="416" t="inlineStr">
        <is>
          <t>INTEREST_SPREAD</t>
        </is>
      </c>
      <c r="D46" s="416" t="inlineStr">
        <is>
          <t>COALESCE(CAST(ldh.INTEREST_SPREAD AS DECIMAL(13,7)), 0)</t>
        </is>
      </c>
      <c r="E46" s="416" t="inlineStr">
        <is>
          <t>Schedule Lich Tra No</t>
        </is>
      </c>
      <c r="F46" s="416" t="inlineStr">
        <is>
          <t>Interest Spread</t>
        </is>
      </c>
      <c r="G46" s="416" t="inlineStr">
        <is>
          <t>sk_lich_tra_no</t>
        </is>
      </c>
      <c r="H46" s="416" t="inlineStr">
        <is>
          <t>INTEREST_SPREAD</t>
        </is>
      </c>
      <c r="I46" s="482" t="inlineStr">
        <is>
          <t>NUMBER</t>
        </is>
      </c>
      <c r="J46" s="482" t="n">
        <v>13.7</v>
      </c>
      <c r="K46" s="416" t="inlineStr">
        <is>
          <t>Biên độ lãi suất</t>
        </is>
      </c>
      <c r="L46" s="416" t="n"/>
      <c r="M46" s="416">
        <f>"COMMENT ON COLUMN PG_SILVER."&amp;G46&amp;"."&amp;H46&amp;" IS '"&amp;K46&amp;"';"</f>
        <v/>
      </c>
      <c r="N46" s="416" t="inlineStr">
        <is>
          <t>LEFT JOIN PG_BRONZE.T24CORE_LD_LOANS_AND_DEPOSITS_HIS ldh ON SUBSTR(pdmv.RECID, 3, 12) = SUBSTR(ldh.RECID, 1, INSTR(ldh.RECID, ';') - 1)</t>
        </is>
      </c>
    </row>
    <row r="47" ht="15" customHeight="1" s="335">
      <c r="A47" s="416" t="inlineStr">
        <is>
          <t>PG_BRONZE</t>
        </is>
      </c>
      <c r="B47" s="416" t="inlineStr">
        <is>
          <t>T24CORE_LD_LOANS_AND_DEPOSITS_HIS</t>
        </is>
      </c>
      <c r="C47" s="416" t="inlineStr">
        <is>
          <t>LOC_TERM</t>
        </is>
      </c>
      <c r="D47" s="416" t="inlineStr">
        <is>
          <t>TRIM(ldh.LOC_TERM)</t>
        </is>
      </c>
      <c r="E47" s="416" t="inlineStr">
        <is>
          <t>Schedule Lich Tra No</t>
        </is>
      </c>
      <c r="F47" s="416" t="inlineStr">
        <is>
          <t>Loc Term</t>
        </is>
      </c>
      <c r="G47" s="416" t="inlineStr">
        <is>
          <t>sk_lich_tra_no</t>
        </is>
      </c>
      <c r="H47" s="416" t="inlineStr">
        <is>
          <t>LOC_TERM</t>
        </is>
      </c>
      <c r="I47" s="482" t="inlineStr">
        <is>
          <t>VARCHAR2</t>
        </is>
      </c>
      <c r="J47" s="482" t="n">
        <v>100</v>
      </c>
      <c r="K47" s="416" t="inlineStr">
        <is>
          <t>Kỳ hạn</t>
        </is>
      </c>
      <c r="L47" s="416" t="n"/>
      <c r="M47" s="416">
        <f>"COMMENT ON COLUMN PG_SILVER."&amp;G47&amp;"."&amp;H47&amp;" IS '"&amp;K47&amp;"';"</f>
        <v/>
      </c>
      <c r="N47" s="416" t="inlineStr">
        <is>
          <t>LEFT JOIN PG_BRONZE.T24CORE_LD_LOANS_AND_DEPOSITS_HIS ldh ON SUBSTR(pdmv.RECID, 3, 12) = SUBSTR(ldh.RECID, 1, INSTR(ldh.RECID, ';') - 1)</t>
        </is>
      </c>
    </row>
    <row r="48" ht="15" customHeight="1" s="335">
      <c r="A48" s="416" t="inlineStr">
        <is>
          <t>PG_BRONZE</t>
        </is>
      </c>
      <c r="B48" s="416" t="inlineStr">
        <is>
          <t>T24CORE_LD_LOANS_AND_DEPOSITS_HIS</t>
        </is>
      </c>
      <c r="C48" s="416" t="inlineStr">
        <is>
          <t>MB_RM_BANCHEO</t>
        </is>
      </c>
      <c r="D48" s="416" t="inlineStr">
        <is>
          <t>TRIM(ldh.MB_RM_BANCHEO)</t>
        </is>
      </c>
      <c r="E48" s="416" t="inlineStr">
        <is>
          <t>Schedule Lich Tra No</t>
        </is>
      </c>
      <c r="F48" s="416" t="inlineStr">
        <is>
          <t>Ldh Mb Rm Bancheo</t>
        </is>
      </c>
      <c r="G48" s="416" t="inlineStr">
        <is>
          <t>sk_lich_tra_no</t>
        </is>
      </c>
      <c r="H48" s="416" t="inlineStr">
        <is>
          <t>LDH_MB_RM_BANCHEO</t>
        </is>
      </c>
      <c r="I48" s="482" t="inlineStr">
        <is>
          <t>VARCHAR2</t>
        </is>
      </c>
      <c r="J48" s="482" t="n">
        <v>100</v>
      </c>
      <c r="K48" s="416" t="inlineStr">
        <is>
          <t>ID nhân viên giới thiệu</t>
        </is>
      </c>
      <c r="L48" s="416" t="n"/>
      <c r="M48" s="416">
        <f>"COMMENT ON COLUMN PG_SILVER."&amp;G48&amp;"."&amp;H48&amp;" IS '"&amp;K48&amp;"';"</f>
        <v/>
      </c>
      <c r="N48" s="416" t="inlineStr">
        <is>
          <t>LEFT JOIN PG_BRONZE.T24CORE_LD_LOANS_AND_DEPOSITS_HIS ldh ON SUBSTR(pdmv.RECID, 3, 12) = SUBSTR(ldh.RECID, 1, INSTR(ldh.RECID, ';') - 1)</t>
        </is>
      </c>
    </row>
    <row r="49" ht="15" customHeight="1" s="335">
      <c r="A49" s="416" t="inlineStr">
        <is>
          <t>PG_BRONZE</t>
        </is>
      </c>
      <c r="B49" s="416" t="inlineStr">
        <is>
          <t>T24CORE_LD_LOANS_AND_DEPOSITS_HIS</t>
        </is>
      </c>
      <c r="C49" s="416" t="inlineStr">
        <is>
          <t>ORIG_VAL_DATE</t>
        </is>
      </c>
      <c r="D49" s="416" t="inlineStr">
        <is>
          <t>TO_DATE(CAST(ldh.ORIG_VAL_DATE AS VARCHAR(20)), 'YYYYMMDD')</t>
        </is>
      </c>
      <c r="E49" s="416" t="inlineStr">
        <is>
          <t>Schedule Lich Tra No</t>
        </is>
      </c>
      <c r="F49" s="416" t="inlineStr">
        <is>
          <t>Ldh Orig Val Date</t>
        </is>
      </c>
      <c r="G49" s="416" t="inlineStr">
        <is>
          <t>sk_lich_tra_no</t>
        </is>
      </c>
      <c r="H49" s="416" t="inlineStr">
        <is>
          <t>LDH_ORIG_VAL_DATE</t>
        </is>
      </c>
      <c r="I49" s="482" t="inlineStr">
        <is>
          <t>DATE</t>
        </is>
      </c>
      <c r="J49" s="482" t="n"/>
      <c r="K49" s="416" t="inlineStr">
        <is>
          <t>Ngày hiệu lực đầu tiên của hợp đồng</t>
        </is>
      </c>
      <c r="L49" s="416" t="n"/>
      <c r="M49" s="416">
        <f>"COMMENT ON COLUMN PG_SILVER."&amp;G49&amp;"."&amp;H49&amp;" IS '"&amp;K49&amp;"';"</f>
        <v/>
      </c>
      <c r="N49" s="416" t="inlineStr">
        <is>
          <t>LEFT JOIN PG_BRONZE.T24CORE_LD_LOANS_AND_DEPOSITS_HIS ldh ON SUBSTR(pdmv.RECID, 3, 12) = SUBSTR(ldh.RECID, 1, INSTR(ldh.RECID, ';') - 1)</t>
        </is>
      </c>
    </row>
    <row r="50" ht="15" customHeight="1" s="335">
      <c r="A50" s="416" t="inlineStr">
        <is>
          <t>PG_BRONZE</t>
        </is>
      </c>
      <c r="B50" s="416" t="inlineStr">
        <is>
          <t>T24CORE_LD_LOANS_AND_DEPOSITS_HIS</t>
        </is>
      </c>
      <c r="C50" s="416" t="inlineStr">
        <is>
          <t>PRIN_LIQ_ACCT</t>
        </is>
      </c>
      <c r="D50" s="416" t="inlineStr">
        <is>
          <t>TRIM(ldh.PRIN_LIQ_ACCT)</t>
        </is>
      </c>
      <c r="E50" s="416" t="inlineStr">
        <is>
          <t>Schedule Lich Tra No</t>
        </is>
      </c>
      <c r="F50" s="416" t="inlineStr">
        <is>
          <t>Ldh Prin Liq Acct</t>
        </is>
      </c>
      <c r="G50" s="416" t="inlineStr">
        <is>
          <t>sk_lich_tra_no</t>
        </is>
      </c>
      <c r="H50" s="416" t="inlineStr">
        <is>
          <t>LDH_PRIN_LIQ_ACCT</t>
        </is>
      </c>
      <c r="I50" s="482" t="inlineStr">
        <is>
          <t>VARCHAR2</t>
        </is>
      </c>
      <c r="J50" s="482" t="n">
        <v>100</v>
      </c>
      <c r="K50" s="416" t="inlineStr">
        <is>
          <t>tài khoản thanh toán gốc</t>
        </is>
      </c>
      <c r="L50" s="416" t="n"/>
      <c r="M50" s="416">
        <f>"COMMENT ON COLUMN PG_SILVER."&amp;G50&amp;"."&amp;H50&amp;" IS '"&amp;K50&amp;"';"</f>
        <v/>
      </c>
      <c r="N50" s="416" t="inlineStr">
        <is>
          <t>LEFT JOIN PG_BRONZE.T24CORE_LD_LOANS_AND_DEPOSITS_HIS ldh ON SUBSTR(pdmv.RECID, 3, 12) = SUBSTR(ldh.RECID, 1, INSTR(ldh.RECID, ';') - 1)</t>
        </is>
      </c>
    </row>
    <row r="51" ht="15" customHeight="1" s="335">
      <c r="A51" s="416" t="inlineStr">
        <is>
          <t>PG_BRONZE</t>
        </is>
      </c>
      <c r="B51" s="416" t="inlineStr">
        <is>
          <t>T24CORE_LD_LOANS_AND_DEPOSITS_HIS</t>
        </is>
      </c>
      <c r="C51" s="416" t="inlineStr">
        <is>
          <t>REAL_RATE</t>
        </is>
      </c>
      <c r="D51" s="416" t="inlineStr">
        <is>
          <t>COALESCE(CAST(ldh.REAL_RATE AS DECIMAL(13,7)), 0)</t>
        </is>
      </c>
      <c r="E51" s="416" t="inlineStr">
        <is>
          <t>Schedule Lich Tra No</t>
        </is>
      </c>
      <c r="F51" s="416" t="inlineStr">
        <is>
          <t>Ldh Real Rate</t>
        </is>
      </c>
      <c r="G51" s="416" t="inlineStr">
        <is>
          <t>sk_lich_tra_no</t>
        </is>
      </c>
      <c r="H51" s="416" t="inlineStr">
        <is>
          <t>LDH_REAL_RATE</t>
        </is>
      </c>
      <c r="I51" s="482" t="inlineStr">
        <is>
          <t>NUMBER</t>
        </is>
      </c>
      <c r="J51" s="482" t="n">
        <v>13.7</v>
      </c>
      <c r="K51" s="416" t="inlineStr">
        <is>
          <t>Lãi suâất thực tế</t>
        </is>
      </c>
      <c r="L51" s="416" t="n"/>
      <c r="M51" s="416">
        <f>"COMMENT ON COLUMN PG_SILVER."&amp;G51&amp;"."&amp;H51&amp;" IS '"&amp;K51&amp;"';"</f>
        <v/>
      </c>
      <c r="N51" s="416" t="inlineStr">
        <is>
          <t>LEFT JOIN PG_BRONZE.T24CORE_LD_LOANS_AND_DEPOSITS_HIS ldh ON SUBSTR(pdmv.RECID, 3, 12) = SUBSTR(ldh.RECID, 1, INSTR(ldh.RECID, ';') - 1)</t>
        </is>
      </c>
    </row>
    <row r="52" ht="15" customHeight="1" s="335">
      <c r="A52" s="416" t="inlineStr">
        <is>
          <t>PG_BRONZE</t>
        </is>
      </c>
      <c r="B52" s="416" t="inlineStr">
        <is>
          <t>T24CORE_LD_LOANS_AND_DEPOSITS_HIS</t>
        </is>
      </c>
      <c r="C52" s="416" t="inlineStr">
        <is>
          <t>RECID</t>
        </is>
      </c>
      <c r="D52" s="416" t="inlineStr">
        <is>
          <t>TRIM(ldh.RECID)</t>
        </is>
      </c>
      <c r="E52" s="416" t="inlineStr">
        <is>
          <t>Schedule Lich Tra No</t>
        </is>
      </c>
      <c r="F52" s="416" t="inlineStr">
        <is>
          <t>Ldh Recid</t>
        </is>
      </c>
      <c r="G52" s="416" t="inlineStr">
        <is>
          <t>sk_lich_tra_no</t>
        </is>
      </c>
      <c r="H52" s="416" t="inlineStr">
        <is>
          <t>LDH_RECID</t>
        </is>
      </c>
      <c r="I52" s="482" t="inlineStr">
        <is>
          <t>VARCHAR2</t>
        </is>
      </c>
      <c r="J52" s="482" t="n">
        <v>100</v>
      </c>
      <c r="K52" s="416" t="inlineStr">
        <is>
          <t>Mã Hợp đồng</t>
        </is>
      </c>
      <c r="L52" s="416" t="n"/>
      <c r="M52" s="416">
        <f>"COMMENT ON COLUMN PG_SILVER."&amp;G52&amp;"."&amp;H52&amp;" IS '"&amp;K52&amp;"';"</f>
        <v/>
      </c>
      <c r="N52" s="416" t="inlineStr">
        <is>
          <t>LEFT JOIN PG_BRONZE.T24CORE_LD_LOANS_AND_DEPOSITS_HIS ldh ON SUBSTR(pdmv.RECID, 3, 12) = SUBSTR(ldh.RECID, 1, INSTR(ldh.RECID, ';') - 1)</t>
        </is>
      </c>
    </row>
    <row r="53" ht="15" customHeight="1" s="335">
      <c r="A53" s="416" t="inlineStr">
        <is>
          <t>PG_BRONZE</t>
        </is>
      </c>
      <c r="B53" s="416" t="inlineStr">
        <is>
          <t>T24CORE_LD_LOANS_AND_DEPOSITS_HIS</t>
        </is>
      </c>
      <c r="C53" s="416" t="inlineStr">
        <is>
          <t>RECORD_STATUS</t>
        </is>
      </c>
      <c r="D53" s="416" t="inlineStr">
        <is>
          <t>TRIM(ldh.RECORD_STATUS)</t>
        </is>
      </c>
      <c r="E53" s="416" t="inlineStr">
        <is>
          <t>Schedule Lich Tra No</t>
        </is>
      </c>
      <c r="F53" s="416" t="inlineStr">
        <is>
          <t>Ldh Record Status</t>
        </is>
      </c>
      <c r="G53" s="416" t="inlineStr">
        <is>
          <t>sk_lich_tra_no</t>
        </is>
      </c>
      <c r="H53" s="416" t="inlineStr">
        <is>
          <t>LDH_RECORD_STATUS</t>
        </is>
      </c>
      <c r="I53" s="482" t="inlineStr">
        <is>
          <t>VARCHAR2</t>
        </is>
      </c>
      <c r="J53" s="482" t="n">
        <v>100</v>
      </c>
      <c r="K53" s="416" t="inlineStr">
        <is>
          <t>Trạng thái bản ghi</t>
        </is>
      </c>
      <c r="L53" s="416" t="n"/>
      <c r="M53" s="416">
        <f>"COMMENT ON COLUMN PG_SILVER."&amp;G53&amp;"."&amp;H53&amp;" IS '"&amp;K53&amp;"';"</f>
        <v/>
      </c>
      <c r="N53" s="416" t="inlineStr">
        <is>
          <t>LEFT JOIN PG_BRONZE.T24CORE_LD_LOANS_AND_DEPOSITS_HIS ldh ON SUBSTR(pdmv.RECID, 3, 12) = SUBSTR(ldh.RECID, 1, INSTR(ldh.RECID, ';') - 1)</t>
        </is>
      </c>
    </row>
    <row r="54" ht="15" customHeight="1" s="335">
      <c r="A54" s="416" t="inlineStr">
        <is>
          <t>PG_BRONZE</t>
        </is>
      </c>
      <c r="B54" s="416" t="inlineStr">
        <is>
          <t>T24CORE_LD_LOANS_AND_DEPOSITS_HIS</t>
        </is>
      </c>
      <c r="C54" s="416" t="inlineStr">
        <is>
          <t>USE_OF_LOAN</t>
        </is>
      </c>
      <c r="D54" s="416" t="inlineStr">
        <is>
          <t>TRIM(ldh.USE_OF_LOAN)</t>
        </is>
      </c>
      <c r="E54" s="416" t="inlineStr">
        <is>
          <t>Schedule Lich Tra No</t>
        </is>
      </c>
      <c r="F54" s="416" t="inlineStr">
        <is>
          <t>Ldh Use Of Loan</t>
        </is>
      </c>
      <c r="G54" s="416" t="inlineStr">
        <is>
          <t>sk_lich_tra_no</t>
        </is>
      </c>
      <c r="H54" s="416" t="inlineStr">
        <is>
          <t>LDH_USE_OF_LOAN</t>
        </is>
      </c>
      <c r="I54" s="482" t="inlineStr">
        <is>
          <t>VARCHAR2</t>
        </is>
      </c>
      <c r="J54" s="482" t="n">
        <v>100</v>
      </c>
      <c r="K54" s="416" t="inlineStr">
        <is>
          <t>Mã Mục đích vay</t>
        </is>
      </c>
      <c r="L54" s="416" t="n"/>
      <c r="M54" s="416">
        <f>"COMMENT ON COLUMN PG_SILVER."&amp;G54&amp;"."&amp;H54&amp;" IS '"&amp;K54&amp;"';"</f>
        <v/>
      </c>
      <c r="N54" s="416" t="inlineStr">
        <is>
          <t>LEFT JOIN PG_BRONZE.T24CORE_LD_LOANS_AND_DEPOSITS_HIS ldh ON SUBSTR(pdmv.RECID, 3, 12) = SUBSTR(ldh.RECID, 1, INSTR(ldh.RECID, ';') - 1)</t>
        </is>
      </c>
    </row>
    <row r="55" ht="15" customHeight="1" s="335">
      <c r="A55" s="416" t="inlineStr">
        <is>
          <t>PG_BRONZE</t>
        </is>
      </c>
      <c r="B55" s="416" t="inlineStr">
        <is>
          <t>T24CORE_LD_LOANS_AND_DEPOSITS_HIS</t>
        </is>
      </c>
      <c r="C55" s="416" t="inlineStr">
        <is>
          <t>USE_OF_LOAN_CHA</t>
        </is>
      </c>
      <c r="D55" s="416" t="inlineStr">
        <is>
          <t>TRIM(ldh.USE_OF_LOAN_CHA)</t>
        </is>
      </c>
      <c r="E55" s="416" t="inlineStr">
        <is>
          <t>Schedule Lich Tra No</t>
        </is>
      </c>
      <c r="F55" s="416" t="inlineStr">
        <is>
          <t>Ldh Use Of Loan Cha</t>
        </is>
      </c>
      <c r="G55" s="416" t="inlineStr">
        <is>
          <t>sk_lich_tra_no</t>
        </is>
      </c>
      <c r="H55" s="416" t="inlineStr">
        <is>
          <t>LDH_USE_OF_LOAN_CHA</t>
        </is>
      </c>
      <c r="I55" s="482" t="inlineStr">
        <is>
          <t>VARCHAR2</t>
        </is>
      </c>
      <c r="J55" s="482" t="n">
        <v>100</v>
      </c>
      <c r="K55" s="416" t="inlineStr">
        <is>
          <t>Mã nhóm mục đích vay</t>
        </is>
      </c>
      <c r="L55" s="416" t="n"/>
      <c r="M55" s="416">
        <f>"COMMENT ON COLUMN PG_SILVER."&amp;G55&amp;"."&amp;H55&amp;" IS '"&amp;K55&amp;"';"</f>
        <v/>
      </c>
      <c r="N55" s="416" t="inlineStr">
        <is>
          <t>LEFT JOIN PG_BRONZE.T24CORE_LD_LOANS_AND_DEPOSITS_HIS ldh ON SUBSTR(pdmv.RECID, 3, 12) = SUBSTR(ldh.RECID, 1, INSTR(ldh.RECID, ';') - 1)</t>
        </is>
      </c>
    </row>
    <row r="56" ht="15" customHeight="1" s="335">
      <c r="A56" s="416" t="inlineStr">
        <is>
          <t>PG_BRONZE</t>
        </is>
      </c>
      <c r="B56" s="416" t="inlineStr">
        <is>
          <t>T24CORE_LD_LOANS_AND_DEPOSITS_HIS</t>
        </is>
      </c>
      <c r="C56" s="416" t="inlineStr">
        <is>
          <t>VALUE_DATE</t>
        </is>
      </c>
      <c r="D56" s="416" t="inlineStr">
        <is>
          <t>TO_DATE(CAST(ldh.VALUE_DATE AS VARCHAR(20)), 'YYYYMMDD')</t>
        </is>
      </c>
      <c r="E56" s="416" t="inlineStr">
        <is>
          <t>Schedule Lich Tra No</t>
        </is>
      </c>
      <c r="F56" s="416" t="inlineStr">
        <is>
          <t>Ldh Value Date</t>
        </is>
      </c>
      <c r="G56" s="416" t="inlineStr">
        <is>
          <t>sk_lich_tra_no</t>
        </is>
      </c>
      <c r="H56" s="416" t="inlineStr">
        <is>
          <t>LDH_VALUE_DATE</t>
        </is>
      </c>
      <c r="I56" s="482" t="inlineStr">
        <is>
          <t>DATE</t>
        </is>
      </c>
      <c r="J56" s="482" t="n"/>
      <c r="K56" s="416" t="inlineStr">
        <is>
          <t>Ngày hiệu lực hợp đồng</t>
        </is>
      </c>
      <c r="L56" s="416" t="n"/>
      <c r="M56" s="416">
        <f>"COMMENT ON COLUMN PG_SILVER."&amp;G56&amp;"."&amp;H56&amp;" IS '"&amp;K56&amp;"';"</f>
        <v/>
      </c>
      <c r="N56" s="416" t="inlineStr">
        <is>
          <t>LEFT JOIN PG_BRONZE.T24CORE_LD_LOANS_AND_DEPOSITS_HIS ldh ON SUBSTR(pdmv.RECID, 3, 12) = SUBSTR(ldh.RECID, 1, INSTR(ldh.RECID, ';') - 1)</t>
        </is>
      </c>
    </row>
    <row r="57" ht="15" customHeight="1" s="335">
      <c r="A57" s="416" t="inlineStr">
        <is>
          <t>PG_BRONZE</t>
        </is>
      </c>
      <c r="B57" s="416" t="inlineStr">
        <is>
          <t>T24CORE_LD_SCHEDULE_DEFINE_MV</t>
        </is>
      </c>
      <c r="C57" s="416" t="inlineStr">
        <is>
          <t>CONTRACT_ID</t>
        </is>
      </c>
      <c r="D57" s="416" t="inlineStr">
        <is>
          <t>TRIM(sch.CONTRACT_ID)</t>
        </is>
      </c>
      <c r="E57" s="416" t="inlineStr">
        <is>
          <t>Schedule Lich Tra No</t>
        </is>
      </c>
      <c r="F57" s="416" t="inlineStr">
        <is>
          <t>Contract Id</t>
        </is>
      </c>
      <c r="G57" s="416" t="inlineStr">
        <is>
          <t>sk_lich_tra_no</t>
        </is>
      </c>
      <c r="H57" s="416" t="inlineStr">
        <is>
          <t>CONTRACT_ID</t>
        </is>
      </c>
      <c r="I57" s="482" t="inlineStr">
        <is>
          <t>VARCHAR2</t>
        </is>
      </c>
      <c r="J57" s="482" t="n">
        <v>100</v>
      </c>
      <c r="K57" s="416" t="inlineStr">
        <is>
          <t>Mã Hợp đồng</t>
        </is>
      </c>
      <c r="L57" s="416" t="n"/>
      <c r="M57" s="416">
        <f>"COMMENT ON COLUMN PG_SILVER."&amp;G57&amp;"."&amp;H57&amp;" IS '"&amp;K57&amp;"';"</f>
        <v/>
      </c>
      <c r="N57" s="416" t="inlineStr">
        <is>
          <t>LEFT JOIN PG_BRONZE.T24CORE_LD_SCHEDULE_DEFINE_MV sch ON SUBSTR(pdmv.RECID, 3) = sch.CONTRACT_ID</t>
        </is>
      </c>
    </row>
    <row r="58" ht="15" customHeight="1" s="335">
      <c r="A58" s="416" t="inlineStr">
        <is>
          <t>PG_BRONZE</t>
        </is>
      </c>
      <c r="B58" s="416" t="inlineStr">
        <is>
          <t>T24CORE_LD_SCHEDULE_DEFINE_MV</t>
        </is>
      </c>
      <c r="C58" s="416" t="inlineStr">
        <is>
          <t>PREV_SCHED_DATE</t>
        </is>
      </c>
      <c r="D58" s="416" t="inlineStr">
        <is>
          <t>TO_DATE(CAST(sch.PREV_SCHED_DATE AS VARCHAR(20)), 'YYYYMMDD')</t>
        </is>
      </c>
      <c r="E58" s="416" t="inlineStr">
        <is>
          <t>Schedule Lich Tra No</t>
        </is>
      </c>
      <c r="F58" s="416" t="inlineStr">
        <is>
          <t>Prev Sched Date</t>
        </is>
      </c>
      <c r="G58" s="416" t="inlineStr">
        <is>
          <t>sk_lich_tra_no</t>
        </is>
      </c>
      <c r="H58" s="416" t="inlineStr">
        <is>
          <t>PREV_SCHED_DATE</t>
        </is>
      </c>
      <c r="I58" s="482" t="inlineStr">
        <is>
          <t>DATE</t>
        </is>
      </c>
      <c r="J58" s="482" t="n"/>
      <c r="K58" s="416" t="inlineStr">
        <is>
          <t>Ngày thanh toán gần nhất</t>
        </is>
      </c>
      <c r="L58" s="416" t="n"/>
      <c r="M58" s="416">
        <f>"COMMENT ON COLUMN PG_SILVER."&amp;G58&amp;"."&amp;H58&amp;" IS '"&amp;K58&amp;"';"</f>
        <v/>
      </c>
      <c r="N58" s="416" t="inlineStr">
        <is>
          <t>LEFT JOIN PG_BRONZE.T24CORE_LD_SCHEDULE_DEFINE_MV sch ON SUBSTR(pdmv.RECID, 3) = sch.CONTRACT_ID</t>
        </is>
      </c>
    </row>
    <row r="59" ht="15" customHeight="1" s="335">
      <c r="A59" s="416" t="inlineStr">
        <is>
          <t>PG_BRONZE</t>
        </is>
      </c>
      <c r="B59" s="416" t="inlineStr">
        <is>
          <t>T24CORE_MB_MG_SAVING_MULTI</t>
        </is>
      </c>
      <c r="C59" s="416" t="inlineStr">
        <is>
          <t>LD_ID</t>
        </is>
      </c>
      <c r="D59" s="416" t="inlineStr">
        <is>
          <t>TRIM(mg.LD_ID)</t>
        </is>
      </c>
      <c r="E59" s="416" t="inlineStr">
        <is>
          <t>Schedule Lich Tra No</t>
        </is>
      </c>
      <c r="F59" s="416" t="inlineStr">
        <is>
          <t>Ld Id</t>
        </is>
      </c>
      <c r="G59" s="416" t="inlineStr">
        <is>
          <t>sk_lich_tra_no</t>
        </is>
      </c>
      <c r="H59" s="416" t="inlineStr">
        <is>
          <t>LD_ID</t>
        </is>
      </c>
      <c r="I59" s="482" t="inlineStr">
        <is>
          <t>VARCHAR2</t>
        </is>
      </c>
      <c r="J59" s="482" t="n">
        <v>100</v>
      </c>
      <c r="K59" s="416" t="inlineStr">
        <is>
          <t>Mã Hợp đồng</t>
        </is>
      </c>
      <c r="L59" s="416" t="n"/>
      <c r="M59" s="416">
        <f>"COMMENT ON COLUMN PG_SILVER."&amp;G59&amp;"."&amp;H59&amp;" IS '"&amp;K59&amp;"';"</f>
        <v/>
      </c>
      <c r="N59" s="416" t="inlineStr">
        <is>
          <t>LEFT JOIN PG_BRONZE.T24CORE_MB_MG_SAVING_MULTI mg ON ld.RECID = mg.LD_ID</t>
        </is>
      </c>
    </row>
    <row r="60" ht="15" customHeight="1" s="335">
      <c r="A60" s="416" t="inlineStr">
        <is>
          <t>PG_BRONZE</t>
        </is>
      </c>
      <c r="B60" s="416" t="inlineStr">
        <is>
          <t>T24CORE_MB_MG_SAVING_MULTI</t>
        </is>
      </c>
      <c r="C60" s="416" t="inlineStr">
        <is>
          <t>PRODUCTGR_CODE</t>
        </is>
      </c>
      <c r="D60" s="416" t="inlineStr">
        <is>
          <t>TRIM(mg.PRODUCTGR_CODE)</t>
        </is>
      </c>
      <c r="E60" s="416" t="inlineStr">
        <is>
          <t>Schedule Lich Tra No</t>
        </is>
      </c>
      <c r="F60" s="416" t="inlineStr">
        <is>
          <t>Mg Productgr Code</t>
        </is>
      </c>
      <c r="G60" s="416" t="inlineStr">
        <is>
          <t>sk_lich_tra_no</t>
        </is>
      </c>
      <c r="H60" s="416" t="inlineStr">
        <is>
          <t>MG_PRODUCTGR_CODE</t>
        </is>
      </c>
      <c r="I60" s="482" t="inlineStr">
        <is>
          <t>VARCHAR2</t>
        </is>
      </c>
      <c r="J60" s="482" t="n">
        <v>100</v>
      </c>
      <c r="K60" s="416" t="inlineStr">
        <is>
          <t>Mã sản phẩm</t>
        </is>
      </c>
      <c r="L60" s="416" t="n"/>
      <c r="M60" s="416">
        <f>"COMMENT ON COLUMN PG_SILVER."&amp;G60&amp;"."&amp;H60&amp;" IS '"&amp;K60&amp;"';"</f>
        <v/>
      </c>
      <c r="N60" s="416" t="inlineStr">
        <is>
          <t>LEFT JOIN PG_BRONZE.T24CORE_MB_MG_SAVING_MULTI mg ON ld.RECID = mg.LD_ID</t>
        </is>
      </c>
    </row>
    <row r="61" ht="15" customHeight="1" s="335">
      <c r="A61" s="416" t="inlineStr">
        <is>
          <t>PG_BRONZE</t>
        </is>
      </c>
      <c r="B61" s="416" t="inlineStr">
        <is>
          <t>T24CORE_PD_PAYMENT_DUE</t>
        </is>
      </c>
      <c r="C61" s="416" t="inlineStr">
        <is>
          <t>AUTHORISER</t>
        </is>
      </c>
      <c r="D61" s="416" t="inlineStr">
        <is>
          <t>TRIM(pd.AUTHORISER)</t>
        </is>
      </c>
      <c r="E61" s="416" t="inlineStr">
        <is>
          <t>Schedule Lich Tra No</t>
        </is>
      </c>
      <c r="F61" s="416" t="inlineStr">
        <is>
          <t>Authoriser</t>
        </is>
      </c>
      <c r="G61" s="416" t="inlineStr">
        <is>
          <t>sk_lich_tra_no</t>
        </is>
      </c>
      <c r="H61" s="416" t="inlineStr">
        <is>
          <t>AUTHORISER</t>
        </is>
      </c>
      <c r="I61" s="482" t="inlineStr">
        <is>
          <t>VARCHAR2</t>
        </is>
      </c>
      <c r="J61" s="482" t="n">
        <v>100</v>
      </c>
      <c r="K61" s="416" t="inlineStr">
        <is>
          <t>ID người phê duyệt</t>
        </is>
      </c>
      <c r="L61" s="416" t="n"/>
      <c r="M61" s="416">
        <f>"COMMENT ON COLUMN PG_SILVER."&amp;G61&amp;"."&amp;H61&amp;" IS '"&amp;K61&amp;"';"</f>
        <v/>
      </c>
      <c r="N61" s="416" t="inlineStr">
        <is>
          <t>LEFT JOIN PG_BRONZE.T24CORE_PD_PAYMENT_DUE pd ON pdmv.RECID = pd.RECID</t>
        </is>
      </c>
    </row>
    <row r="62" ht="15" customHeight="1" s="335">
      <c r="A62" s="416" t="inlineStr">
        <is>
          <t>PG_BRONZE</t>
        </is>
      </c>
      <c r="B62" s="416" t="inlineStr">
        <is>
          <t>T24CORE_PD_PAYMENT_DUE</t>
        </is>
      </c>
      <c r="C62" s="416" t="inlineStr">
        <is>
          <t>CREDIT_STATUS</t>
        </is>
      </c>
      <c r="D62" s="416" t="inlineStr">
        <is>
          <t>TRIM(pd.CREDIT_STATUS)</t>
        </is>
      </c>
      <c r="E62" s="416" t="inlineStr">
        <is>
          <t>Schedule Lich Tra No</t>
        </is>
      </c>
      <c r="F62" s="416" t="inlineStr">
        <is>
          <t>Pd Credit Status</t>
        </is>
      </c>
      <c r="G62" s="416" t="inlineStr">
        <is>
          <t>sk_lich_tra_no</t>
        </is>
      </c>
      <c r="H62" s="416" t="inlineStr">
        <is>
          <t>PD_CREDIT_STATUS</t>
        </is>
      </c>
      <c r="I62" s="482" t="inlineStr">
        <is>
          <t>VARCHAR2</t>
        </is>
      </c>
      <c r="J62" s="482" t="n">
        <v>100</v>
      </c>
      <c r="K62" s="416" t="inlineStr">
        <is>
          <t>Tình trạng tín dụng</t>
        </is>
      </c>
      <c r="L62" s="416" t="n"/>
      <c r="M62" s="416">
        <f>"COMMENT ON COLUMN PG_SILVER."&amp;G62&amp;"."&amp;H62&amp;" IS '"&amp;K62&amp;"';"</f>
        <v/>
      </c>
      <c r="N62" s="416" t="inlineStr">
        <is>
          <t>LEFT JOIN PG_BRONZE.T24CORE_PD_PAYMENT_DUE_HIS pdh ON pdmv.RECID = pdh.RECID AND pdh.ETL_DATE = ${ETL_DATE}</t>
        </is>
      </c>
    </row>
    <row r="63" ht="15" customHeight="1" s="335">
      <c r="A63" s="416" t="inlineStr">
        <is>
          <t>PG_BRONZE</t>
        </is>
      </c>
      <c r="B63" s="416" t="inlineStr">
        <is>
          <t>T24CORE_PD_PAYMENT_DUE</t>
        </is>
      </c>
      <c r="C63" s="416" t="inlineStr">
        <is>
          <t>CURR_NO</t>
        </is>
      </c>
      <c r="D63" s="416" t="inlineStr">
        <is>
          <t>COALESCE(CAST(pd.CURR_NO AS DECIMAL(10)), 0)</t>
        </is>
      </c>
      <c r="E63" s="416" t="inlineStr">
        <is>
          <t>Schedule Lich Tra No</t>
        </is>
      </c>
      <c r="F63" s="416" t="inlineStr">
        <is>
          <t>Pd Curr No</t>
        </is>
      </c>
      <c r="G63" s="416" t="inlineStr">
        <is>
          <t>sk_lich_tra_no</t>
        </is>
      </c>
      <c r="H63" s="416" t="inlineStr">
        <is>
          <t>PD_CURR_NO</t>
        </is>
      </c>
      <c r="I63" s="482" t="inlineStr">
        <is>
          <t>NUMBER</t>
        </is>
      </c>
      <c r="J63" s="482" t="n">
        <v>10</v>
      </c>
      <c r="K63" s="416" t="inlineStr">
        <is>
          <t>Version hiện tại của bản ghi</t>
        </is>
      </c>
      <c r="L63" s="416" t="n"/>
      <c r="M63" s="416">
        <f>"COMMENT ON COLUMN PG_SILVER."&amp;G63&amp;"."&amp;H63&amp;" IS '"&amp;K63&amp;"';"</f>
        <v/>
      </c>
      <c r="N63" s="416" t="inlineStr">
        <is>
          <t>LEFT JOIN PG_BRONZE.T24CORE_PD_PAYMENT_DUE_HIS pdh ON pdmv.RECID = pdh.RECID AND pdh.ETL_DATE = ${ETL_DATE}</t>
        </is>
      </c>
    </row>
    <row r="64" ht="15" customHeight="1" s="335">
      <c r="A64" s="416" t="inlineStr">
        <is>
          <t>PG_BRONZE</t>
        </is>
      </c>
      <c r="B64" s="416" t="inlineStr">
        <is>
          <t>T24CORE_PD_PAYMENT_DUE</t>
        </is>
      </c>
      <c r="C64" s="416" t="inlineStr">
        <is>
          <t>CUSTOMER</t>
        </is>
      </c>
      <c r="D64" s="416" t="inlineStr">
        <is>
          <t>TRIM(pd.CUSTOMER)</t>
        </is>
      </c>
      <c r="E64" s="416" t="inlineStr">
        <is>
          <t>Schedule Lich Tra No</t>
        </is>
      </c>
      <c r="F64" s="416" t="inlineStr">
        <is>
          <t>Pd Customer</t>
        </is>
      </c>
      <c r="G64" s="416" t="inlineStr">
        <is>
          <t>sk_lich_tra_no</t>
        </is>
      </c>
      <c r="H64" s="416" t="inlineStr">
        <is>
          <t>PD_CUSTOMER</t>
        </is>
      </c>
      <c r="I64" s="482" t="inlineStr">
        <is>
          <t>VARCHAR2</t>
        </is>
      </c>
      <c r="J64" s="482" t="n">
        <v>100</v>
      </c>
      <c r="K64" s="416" t="inlineStr">
        <is>
          <t>Mã Khách hàng</t>
        </is>
      </c>
      <c r="L64" s="416" t="n"/>
      <c r="M64" s="416">
        <f>"COMMENT ON COLUMN PG_SILVER."&amp;G64&amp;"."&amp;H64&amp;" IS '"&amp;K64&amp;"';"</f>
        <v/>
      </c>
      <c r="N64" s="416" t="inlineStr">
        <is>
          <t>LEFT JOIN PG_BRONZE.T24CORE_PD_PAYMENT_DUE_HIS pdh ON pdmv.RECID = pdh.RECID AND pdh.ETL_DATE = ${ETL_DATE}</t>
        </is>
      </c>
    </row>
    <row r="65" ht="15" customHeight="1" s="335">
      <c r="A65" s="416" t="inlineStr">
        <is>
          <t>PG_BRONZE</t>
        </is>
      </c>
      <c r="B65" s="416" t="inlineStr">
        <is>
          <t>T24CORE_PD_PAYMENT_DUE</t>
        </is>
      </c>
      <c r="C65" s="416" t="inlineStr">
        <is>
          <t>FLAG_STATUS</t>
        </is>
      </c>
      <c r="D65" s="416" t="inlineStr">
        <is>
          <t>TRIM(pd.FLAG_STATUS)</t>
        </is>
      </c>
      <c r="E65" s="416" t="inlineStr">
        <is>
          <t>Schedule Lich Tra No</t>
        </is>
      </c>
      <c r="F65" s="416" t="inlineStr">
        <is>
          <t>Pd Flag Status</t>
        </is>
      </c>
      <c r="G65" s="416" t="inlineStr">
        <is>
          <t>sk_lich_tra_no</t>
        </is>
      </c>
      <c r="H65" s="416" t="inlineStr">
        <is>
          <t>PD_FLAG_STATUS</t>
        </is>
      </c>
      <c r="I65" s="482" t="inlineStr">
        <is>
          <t>VARCHAR2</t>
        </is>
      </c>
      <c r="J65" s="482" t="n">
        <v>100</v>
      </c>
      <c r="K65" s="416" t="inlineStr">
        <is>
          <t>Trường FLAG_STATUS của bảng nguồn T24CORE.PD_PAYMENT_DUE</t>
        </is>
      </c>
      <c r="L65" s="416" t="n"/>
      <c r="M65" s="416">
        <f>"COMMENT ON COLUMN PG_SILVER."&amp;G65&amp;"."&amp;H65&amp;" IS '"&amp;K65&amp;"';"</f>
        <v/>
      </c>
      <c r="N65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66" ht="15" customHeight="1" s="335">
      <c r="A66" s="416" t="inlineStr">
        <is>
          <t>PG_BRONZE</t>
        </is>
      </c>
      <c r="B66" s="416" t="inlineStr">
        <is>
          <t>T24CORE_PD_PAYMENT_DUE</t>
        </is>
      </c>
      <c r="C66" s="416" t="inlineStr">
        <is>
          <t>INPUTTER</t>
        </is>
      </c>
      <c r="D66" s="416" t="inlineStr">
        <is>
          <t>TRIM(pd.INPUTTER)</t>
        </is>
      </c>
      <c r="E66" s="416" t="inlineStr">
        <is>
          <t>Schedule Lich Tra No</t>
        </is>
      </c>
      <c r="F66" s="416" t="inlineStr">
        <is>
          <t>Inputter</t>
        </is>
      </c>
      <c r="G66" s="416" t="inlineStr">
        <is>
          <t>sk_lich_tra_no</t>
        </is>
      </c>
      <c r="H66" s="416" t="inlineStr">
        <is>
          <t>INPUTTER</t>
        </is>
      </c>
      <c r="I66" s="482" t="inlineStr">
        <is>
          <t>VARCHAR2</t>
        </is>
      </c>
      <c r="J66" s="482" t="n">
        <v>100</v>
      </c>
      <c r="K66" s="416" t="inlineStr">
        <is>
          <t>ID người nhập liệu</t>
        </is>
      </c>
      <c r="L66" s="416" t="n"/>
      <c r="M66" s="416">
        <f>"COMMENT ON COLUMN PG_SILVER."&amp;G66&amp;"."&amp;H66&amp;" IS '"&amp;K66&amp;"';"</f>
        <v/>
      </c>
      <c r="N66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67" ht="15" customHeight="1" s="335">
      <c r="A67" s="416" t="inlineStr">
        <is>
          <t>PG_BRONZE</t>
        </is>
      </c>
      <c r="B67" s="416" t="inlineStr">
        <is>
          <t>T24CORE_PD_PAYMENT_DUE</t>
        </is>
      </c>
      <c r="C67" s="416" t="inlineStr">
        <is>
          <t>LOS_FAC_CODE</t>
        </is>
      </c>
      <c r="D67" s="416" t="inlineStr">
        <is>
          <t>TRIM(pd.LOS_FAC_CODE)</t>
        </is>
      </c>
      <c r="E67" s="416" t="inlineStr">
        <is>
          <t>Schedule Lich Tra No</t>
        </is>
      </c>
      <c r="F67" s="416" t="inlineStr">
        <is>
          <t>Los Fac Code</t>
        </is>
      </c>
      <c r="G67" s="416" t="inlineStr">
        <is>
          <t>sk_lich_tra_no</t>
        </is>
      </c>
      <c r="H67" s="416" t="inlineStr">
        <is>
          <t>LOS_FAC_CODE</t>
        </is>
      </c>
      <c r="I67" s="482" t="inlineStr">
        <is>
          <t>VARCHAR2</t>
        </is>
      </c>
      <c r="J67" s="482" t="n">
        <v>100</v>
      </c>
      <c r="K67" s="416" t="inlineStr">
        <is>
          <t>Số hồ sơ</t>
        </is>
      </c>
      <c r="L67" s="416" t="n"/>
      <c r="M67" s="416">
        <f>"COMMENT ON COLUMN PG_SILVER."&amp;G67&amp;"."&amp;H67&amp;" IS '"&amp;K67&amp;"';"</f>
        <v/>
      </c>
      <c r="N67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68" ht="15" customHeight="1" s="335">
      <c r="A68" s="416" t="inlineStr">
        <is>
          <t>PG_BRONZE</t>
        </is>
      </c>
      <c r="B68" s="416" t="inlineStr">
        <is>
          <t>T24CORE_PD_PAYMENT_DUE</t>
        </is>
      </c>
      <c r="C68" s="416" t="inlineStr">
        <is>
          <t>ORIGINAL_MAT</t>
        </is>
      </c>
      <c r="D68" s="416" t="inlineStr">
        <is>
          <t>TO_DATE(CAST(pd.ORIGINAL_MAT AS VARCHAR(20)), 'YYYYMMDD')</t>
        </is>
      </c>
      <c r="E68" s="416" t="inlineStr">
        <is>
          <t>Schedule Lich Tra No</t>
        </is>
      </c>
      <c r="F68" s="416" t="inlineStr">
        <is>
          <t>Pd Original Mat</t>
        </is>
      </c>
      <c r="G68" s="416" t="inlineStr">
        <is>
          <t>sk_lich_tra_no</t>
        </is>
      </c>
      <c r="H68" s="416" t="inlineStr">
        <is>
          <t>PD_ORIGINAL_MAT</t>
        </is>
      </c>
      <c r="I68" s="482" t="inlineStr">
        <is>
          <t>DATE</t>
        </is>
      </c>
      <c r="J68" s="482" t="n"/>
      <c r="K68" s="416" t="inlineStr">
        <is>
          <t>Kỳ hạn gốc</t>
        </is>
      </c>
      <c r="L68" s="416" t="n"/>
      <c r="M68" s="416">
        <f>"COMMENT ON COLUMN PG_SILVER."&amp;G68&amp;"."&amp;H68&amp;" IS '"&amp;K68&amp;"';"</f>
        <v/>
      </c>
      <c r="N68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69" ht="15" customHeight="1" s="335">
      <c r="A69" s="416" t="inlineStr">
        <is>
          <t>PG_BRONZE</t>
        </is>
      </c>
      <c r="B69" s="416" t="inlineStr">
        <is>
          <t>T24CORE_PD_PAYMENT_DUE</t>
        </is>
      </c>
      <c r="C69" s="416" t="inlineStr">
        <is>
          <t>PD_TYPE</t>
        </is>
      </c>
      <c r="D69" s="416" t="inlineStr">
        <is>
          <t>TRIM(pd.PD_TYPE)</t>
        </is>
      </c>
      <c r="E69" s="416" t="inlineStr">
        <is>
          <t>Schedule Lich Tra No</t>
        </is>
      </c>
      <c r="F69" s="416" t="inlineStr">
        <is>
          <t>Pd Pd Type</t>
        </is>
      </c>
      <c r="G69" s="416" t="inlineStr">
        <is>
          <t>sk_lich_tra_no</t>
        </is>
      </c>
      <c r="H69" s="416" t="inlineStr">
        <is>
          <t>PD_PD_TYPE</t>
        </is>
      </c>
      <c r="I69" s="482" t="inlineStr">
        <is>
          <t>VARCHAR2</t>
        </is>
      </c>
      <c r="J69" s="482" t="n">
        <v>100</v>
      </c>
      <c r="K69" s="416" t="inlineStr">
        <is>
          <t>Pd_type = 1 là các khoản phạt gốc quá hạn, lãi quá hạn đc migrate sang thành phần IN
Null là gốc, lãi quá hạn</t>
        </is>
      </c>
      <c r="L69" s="416" t="n"/>
      <c r="M69" s="416">
        <f>"COMMENT ON COLUMN PG_SILVER."&amp;G69&amp;"."&amp;H69&amp;" IS '"&amp;K69&amp;"';"</f>
        <v/>
      </c>
      <c r="N69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70" ht="15" customHeight="1" s="335">
      <c r="A70" s="416" t="inlineStr">
        <is>
          <t>PG_BRONZE</t>
        </is>
      </c>
      <c r="B70" s="416" t="inlineStr">
        <is>
          <t>T24CORE_PD_PAYMENT_DUE</t>
        </is>
      </c>
      <c r="C70" s="416" t="inlineStr">
        <is>
          <t>PE_RATE</t>
        </is>
      </c>
      <c r="D70" s="416" t="inlineStr">
        <is>
          <t>COALESCE(CAST(pd.PE_RATE AS DECIMAL(13,7)), 0)</t>
        </is>
      </c>
      <c r="E70" s="416" t="inlineStr">
        <is>
          <t>Schedule Lich Tra No</t>
        </is>
      </c>
      <c r="F70" s="416" t="inlineStr">
        <is>
          <t>Pd Pe Rate</t>
        </is>
      </c>
      <c r="G70" s="416" t="inlineStr">
        <is>
          <t>sk_lich_tra_no</t>
        </is>
      </c>
      <c r="H70" s="416" t="inlineStr">
        <is>
          <t>PD_PE_RATE</t>
        </is>
      </c>
      <c r="I70" s="482" t="inlineStr">
        <is>
          <t>NUMBER</t>
        </is>
      </c>
      <c r="J70" s="482" t="n">
        <v>13.7</v>
      </c>
      <c r="K70" s="416" t="inlineStr">
        <is>
          <t>Lãi phạt penalty rate</t>
        </is>
      </c>
      <c r="L70" s="416" t="n"/>
      <c r="M70" s="416">
        <f>"COMMENT ON COLUMN PG_SILVER."&amp;G70&amp;"."&amp;H70&amp;" IS '"&amp;K70&amp;"';"</f>
        <v/>
      </c>
      <c r="N70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71" ht="15" customHeight="1" s="335">
      <c r="A71" s="416" t="inlineStr">
        <is>
          <t>PG_BRONZE</t>
        </is>
      </c>
      <c r="B71" s="416" t="inlineStr">
        <is>
          <t>T24CORE_PD_PAYMENT_DUE</t>
        </is>
      </c>
      <c r="C71" s="416" t="inlineStr">
        <is>
          <t>PENALTY_RATE</t>
        </is>
      </c>
      <c r="D71" s="416" t="inlineStr">
        <is>
          <t>COALESCE(CAST(pd.PENALTY_RATE AS DECIMAL(13,7)), 0)</t>
        </is>
      </c>
      <c r="E71" s="416" t="inlineStr">
        <is>
          <t>Schedule Lich Tra No</t>
        </is>
      </c>
      <c r="F71" s="416" t="inlineStr">
        <is>
          <t>Pd Penalty Rate</t>
        </is>
      </c>
      <c r="G71" s="416" t="inlineStr">
        <is>
          <t>sk_lich_tra_no</t>
        </is>
      </c>
      <c r="H71" s="416" t="inlineStr">
        <is>
          <t>PD_PENALTY_RATE</t>
        </is>
      </c>
      <c r="I71" s="482" t="inlineStr">
        <is>
          <t>NUMBER</t>
        </is>
      </c>
      <c r="J71" s="482" t="n">
        <v>13.7</v>
      </c>
      <c r="K71" s="416" t="inlineStr">
        <is>
          <t>Lãi suất phạt quá hạn danh nghĩa (Penalty Rate)</t>
        </is>
      </c>
      <c r="L71" s="416" t="n"/>
      <c r="M71" s="416">
        <f>"COMMENT ON COLUMN PG_SILVER."&amp;G71&amp;"."&amp;H71&amp;" IS '"&amp;K71&amp;"';"</f>
        <v/>
      </c>
      <c r="N71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72" ht="15" customHeight="1" s="335">
      <c r="A72" s="416" t="inlineStr">
        <is>
          <t>PG_BRONZE</t>
        </is>
      </c>
      <c r="B72" s="416" t="inlineStr">
        <is>
          <t>T24CORE_PD_PAYMENT_DUE</t>
        </is>
      </c>
      <c r="C72" s="416" t="inlineStr">
        <is>
          <t>RECID</t>
        </is>
      </c>
      <c r="D72" s="416" t="inlineStr">
        <is>
          <t>TRIM(pd.RECID)</t>
        </is>
      </c>
      <c r="E72" s="416" t="inlineStr">
        <is>
          <t>Schedule Lich Tra No</t>
        </is>
      </c>
      <c r="F72" s="416" t="inlineStr">
        <is>
          <t>Pd Recid</t>
        </is>
      </c>
      <c r="G72" s="416" t="inlineStr">
        <is>
          <t>sk_lich_tra_no</t>
        </is>
      </c>
      <c r="H72" s="416" t="inlineStr">
        <is>
          <t>PD_RECID</t>
        </is>
      </c>
      <c r="I72" s="482" t="inlineStr">
        <is>
          <t>VARCHAR2</t>
        </is>
      </c>
      <c r="J72" s="482" t="n">
        <v>100</v>
      </c>
      <c r="K72" s="416" t="inlineStr">
        <is>
          <t>Mã hợp đồng</t>
        </is>
      </c>
      <c r="L72" s="416" t="n"/>
      <c r="M72" s="416">
        <f>"COMMENT ON COLUMN PG_SILVER."&amp;G72&amp;"."&amp;H72&amp;" IS '"&amp;K72&amp;"';"</f>
        <v/>
      </c>
      <c r="N72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73" ht="15" customHeight="1" s="335">
      <c r="A73" s="416" t="inlineStr">
        <is>
          <t>PG_BRONZE</t>
        </is>
      </c>
      <c r="B73" s="416" t="inlineStr">
        <is>
          <t>T24CORE_PD_PAYMENT_DUE</t>
        </is>
      </c>
      <c r="C73" s="416" t="inlineStr">
        <is>
          <t>SNQH_CHUYENDOI</t>
        </is>
      </c>
      <c r="D73" s="416" t="inlineStr">
        <is>
          <t>COALESCE(CAST(pd.SNQH_CHUYENDOI AS DECIMAL(10)), 0)</t>
        </is>
      </c>
      <c r="E73" s="416" t="inlineStr">
        <is>
          <t>Schedule Lich Tra No</t>
        </is>
      </c>
      <c r="F73" s="416" t="inlineStr">
        <is>
          <t>Snqh Chuyendoi</t>
        </is>
      </c>
      <c r="G73" s="416" t="inlineStr">
        <is>
          <t>sk_lich_tra_no</t>
        </is>
      </c>
      <c r="H73" s="416" t="inlineStr">
        <is>
          <t>SNQH_CHUYENDOI</t>
        </is>
      </c>
      <c r="I73" s="482" t="inlineStr">
        <is>
          <t>NUMBER</t>
        </is>
      </c>
      <c r="J73" s="482" t="n">
        <v>10</v>
      </c>
      <c r="K73" s="416" t="inlineStr">
        <is>
          <t>Số ngày quá hạn chuyển đổi</t>
        </is>
      </c>
      <c r="L73" s="416" t="n"/>
      <c r="M73" s="416">
        <f>"COMMENT ON COLUMN PG_SILVER."&amp;G73&amp;"."&amp;H73&amp;" IS '"&amp;K73&amp;"';"</f>
        <v/>
      </c>
      <c r="N73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74" ht="15" customHeight="1" s="335">
      <c r="A74" s="416" t="inlineStr">
        <is>
          <t>PG_BRONZE</t>
        </is>
      </c>
      <c r="B74" s="416" t="inlineStr">
        <is>
          <t>T24CORE_PD_PAYMENT_DUE</t>
        </is>
      </c>
      <c r="C74" s="416" t="inlineStr">
        <is>
          <t>USE_OF_LOAN</t>
        </is>
      </c>
      <c r="D74" s="416" t="inlineStr">
        <is>
          <t>TRIM(pd.USE_OF_LOAN)</t>
        </is>
      </c>
      <c r="E74" s="416" t="inlineStr">
        <is>
          <t>Schedule Lich Tra No</t>
        </is>
      </c>
      <c r="F74" s="416" t="inlineStr">
        <is>
          <t>Pd Use Of Loan</t>
        </is>
      </c>
      <c r="G74" s="416" t="inlineStr">
        <is>
          <t>sk_lich_tra_no</t>
        </is>
      </c>
      <c r="H74" s="416" t="inlineStr">
        <is>
          <t>PD_USE_OF_LOAN</t>
        </is>
      </c>
      <c r="I74" s="482" t="inlineStr">
        <is>
          <t>VARCHAR2</t>
        </is>
      </c>
      <c r="J74" s="482" t="n">
        <v>100</v>
      </c>
      <c r="K74" s="416" t="inlineStr">
        <is>
          <t>Mã mục đích vay</t>
        </is>
      </c>
      <c r="L74" s="416" t="n"/>
      <c r="M74" s="416">
        <f>"COMMENT ON COLUMN PG_SILVER."&amp;G74&amp;"."&amp;H74&amp;" IS '"&amp;K74&amp;"';"</f>
        <v/>
      </c>
      <c r="N74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75" ht="15" customHeight="1" s="335">
      <c r="A75" s="416" t="inlineStr">
        <is>
          <t>PG_BRONZE</t>
        </is>
      </c>
      <c r="B75" s="416" t="inlineStr">
        <is>
          <t>T24CORE_PD_PAYMENT_DUE</t>
        </is>
      </c>
      <c r="C75" s="416" t="inlineStr">
        <is>
          <t>USE_OF_LOAN_CHA</t>
        </is>
      </c>
      <c r="D75" s="416" t="inlineStr">
        <is>
          <t>TRIM(pd.USE_OF_LOAN_CHA)</t>
        </is>
      </c>
      <c r="E75" s="416" t="inlineStr">
        <is>
          <t>Schedule Lich Tra No</t>
        </is>
      </c>
      <c r="F75" s="416" t="inlineStr">
        <is>
          <t>Pd Use Of Loan Cha</t>
        </is>
      </c>
      <c r="G75" s="416" t="inlineStr">
        <is>
          <t>sk_lich_tra_no</t>
        </is>
      </c>
      <c r="H75" s="416" t="inlineStr">
        <is>
          <t>PD_USE_OF_LOAN_CHA</t>
        </is>
      </c>
      <c r="I75" s="482" t="inlineStr">
        <is>
          <t>VARCHAR2</t>
        </is>
      </c>
      <c r="J75" s="482" t="n">
        <v>100</v>
      </c>
      <c r="K75" s="416" t="inlineStr">
        <is>
          <t>Mã nhóm mục đích vay</t>
        </is>
      </c>
      <c r="L75" s="416" t="n"/>
      <c r="M75" s="416">
        <f>"COMMENT ON COLUMN PG_SILVER."&amp;G75&amp;"."&amp;H75&amp;" IS '"&amp;K75&amp;"';"</f>
        <v/>
      </c>
      <c r="N75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76" ht="15" customHeight="1" s="335">
      <c r="A76" s="416" t="inlineStr">
        <is>
          <t>PG_BRONZE</t>
        </is>
      </c>
      <c r="B76" s="416" t="inlineStr">
        <is>
          <t>T24CORE_PD_PAYMENT_DUE_HIS</t>
        </is>
      </c>
      <c r="C76" s="416" t="inlineStr">
        <is>
          <t>CURR_NO</t>
        </is>
      </c>
      <c r="D76" s="416" t="inlineStr">
        <is>
          <t>COALESCE(CAST(pdh.CURR_NO AS DECIMAL(10)), 0)</t>
        </is>
      </c>
      <c r="E76" s="416" t="inlineStr">
        <is>
          <t>Schedule Lich Tra No</t>
        </is>
      </c>
      <c r="F76" s="416" t="inlineStr">
        <is>
          <t>Pdh Curr No</t>
        </is>
      </c>
      <c r="G76" s="416" t="inlineStr">
        <is>
          <t>sk_lich_tra_no</t>
        </is>
      </c>
      <c r="H76" s="416" t="inlineStr">
        <is>
          <t>PDH_CURR_NO</t>
        </is>
      </c>
      <c r="I76" s="482" t="inlineStr">
        <is>
          <t>NUMBER</t>
        </is>
      </c>
      <c r="J76" s="482" t="n">
        <v>10</v>
      </c>
      <c r="K76" s="416" t="inlineStr">
        <is>
          <t>Trường CURR_NO của bảng nguồn T24CORE.PD_PAYMENT_DUE_HIS</t>
        </is>
      </c>
      <c r="L76" s="416" t="n"/>
      <c r="M76" s="416">
        <f>"COMMENT ON COLUMN PG_SILVER."&amp;G76&amp;"."&amp;H76&amp;" IS '"&amp;K76&amp;"';"</f>
        <v/>
      </c>
      <c r="N76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77" ht="15" customHeight="1" s="335">
      <c r="A77" s="416" t="inlineStr">
        <is>
          <t>PG_BRONZE</t>
        </is>
      </c>
      <c r="B77" s="416" t="inlineStr">
        <is>
          <t>T24CORE_PD_PAYMENT_DUE_HIS</t>
        </is>
      </c>
      <c r="C77" s="416" t="inlineStr">
        <is>
          <t>PD_TYPE</t>
        </is>
      </c>
      <c r="D77" s="416" t="inlineStr">
        <is>
          <t>TRIM(pdh.PD_TYPE)</t>
        </is>
      </c>
      <c r="E77" s="416" t="inlineStr">
        <is>
          <t>Schedule Lich Tra No</t>
        </is>
      </c>
      <c r="F77" s="416" t="inlineStr">
        <is>
          <t>Pdh Pd Type</t>
        </is>
      </c>
      <c r="G77" s="416" t="inlineStr">
        <is>
          <t>sk_lich_tra_no</t>
        </is>
      </c>
      <c r="H77" s="416" t="inlineStr">
        <is>
          <t>PDH_PD_TYPE</t>
        </is>
      </c>
      <c r="I77" s="482" t="inlineStr">
        <is>
          <t>VARCHAR2</t>
        </is>
      </c>
      <c r="J77" s="482" t="n">
        <v>100</v>
      </c>
      <c r="K77" s="416" t="inlineStr">
        <is>
          <t>Loại sản phẩm</t>
        </is>
      </c>
      <c r="L77" s="416" t="n"/>
      <c r="M77" s="416">
        <f>"COMMENT ON COLUMN PG_SILVER."&amp;G77&amp;"."&amp;H77&amp;" IS '"&amp;K77&amp;"';"</f>
        <v/>
      </c>
      <c r="N77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78" ht="15" customHeight="1" s="335">
      <c r="A78" s="416" t="inlineStr">
        <is>
          <t>PG_BRONZE</t>
        </is>
      </c>
      <c r="B78" s="416" t="inlineStr">
        <is>
          <t>T24CORE_PD_PAYMENT_DUE_HIS</t>
        </is>
      </c>
      <c r="C78" s="416" t="inlineStr">
        <is>
          <t>RECID</t>
        </is>
      </c>
      <c r="D78" s="416" t="inlineStr">
        <is>
          <t>TRIM(pdh.RECID)</t>
        </is>
      </c>
      <c r="E78" s="416" t="inlineStr">
        <is>
          <t>Schedule Lich Tra No</t>
        </is>
      </c>
      <c r="F78" s="416" t="inlineStr">
        <is>
          <t>Pdh Recid</t>
        </is>
      </c>
      <c r="G78" s="416" t="inlineStr">
        <is>
          <t>sk_lich_tra_no</t>
        </is>
      </c>
      <c r="H78" s="416" t="inlineStr">
        <is>
          <t>PDH_RECID</t>
        </is>
      </c>
      <c r="I78" s="482" t="inlineStr">
        <is>
          <t>VARCHAR2</t>
        </is>
      </c>
      <c r="J78" s="482" t="n">
        <v>100</v>
      </c>
      <c r="K78" s="416" t="inlineStr">
        <is>
          <t>Số hồ sơ</t>
        </is>
      </c>
      <c r="L78" s="416" t="n"/>
      <c r="M78" s="416">
        <f>"COMMENT ON COLUMN PG_SILVER."&amp;G78&amp;"."&amp;H78&amp;" IS '"&amp;K78&amp;"';"</f>
        <v/>
      </c>
      <c r="N78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79" ht="15" customHeight="1" s="335">
      <c r="A79" s="416" t="inlineStr">
        <is>
          <t>PG_BRONZE</t>
        </is>
      </c>
      <c r="B79" s="416" t="inlineStr">
        <is>
          <t>T24CORE_PD_PAYMENT_DUE_HIS_MV</t>
        </is>
      </c>
      <c r="C79" s="416" t="inlineStr">
        <is>
          <t>ACC_FCC</t>
        </is>
      </c>
      <c r="D79" s="416" t="inlineStr">
        <is>
          <t>TRIM(pdhmv.ACC_FCC)</t>
        </is>
      </c>
      <c r="E79" s="416" t="inlineStr">
        <is>
          <t>Schedule Lich Tra No</t>
        </is>
      </c>
      <c r="F79" s="416" t="inlineStr">
        <is>
          <t>Pdhmv Acc Fcc</t>
        </is>
      </c>
      <c r="G79" s="416" t="inlineStr">
        <is>
          <t>sk_lich_tra_no</t>
        </is>
      </c>
      <c r="H79" s="416" t="inlineStr">
        <is>
          <t>PDHMV_ACC_FCC</t>
        </is>
      </c>
      <c r="I79" s="482" t="inlineStr">
        <is>
          <t>VARCHAR2</t>
        </is>
      </c>
      <c r="J79" s="482" t="n">
        <v>100</v>
      </c>
      <c r="K79" s="416" t="inlineStr">
        <is>
          <t>Mã hợp đồng FlexCube</t>
        </is>
      </c>
      <c r="L79" s="416" t="n"/>
      <c r="M79" s="416">
        <f>"COMMENT ON COLUMN PG_SILVER."&amp;G79&amp;"."&amp;H79&amp;" IS '"&amp;K79&amp;"';"</f>
        <v/>
      </c>
      <c r="N79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80" ht="15" customHeight="1" s="335">
      <c r="A80" s="416" t="inlineStr">
        <is>
          <t>PG_BRONZE</t>
        </is>
      </c>
      <c r="B80" s="416" t="inlineStr">
        <is>
          <t>T24CORE_PD_PAYMENT_DUE_HIS_MV</t>
        </is>
      </c>
      <c r="C80" s="416" t="inlineStr">
        <is>
          <t>APPROVE_AMOUNT</t>
        </is>
      </c>
      <c r="D80" s="416" t="inlineStr">
        <is>
          <t>COALESCE(CAST(pdhmv.APPROVE_AMOUNT AS DECIMAL(25,5)), 0)</t>
        </is>
      </c>
      <c r="E80" s="416" t="inlineStr">
        <is>
          <t>Schedule Lich Tra No</t>
        </is>
      </c>
      <c r="F80" s="416" t="inlineStr">
        <is>
          <t>Pdhmv Approve Amount</t>
        </is>
      </c>
      <c r="G80" s="416" t="inlineStr">
        <is>
          <t>sk_lich_tra_no</t>
        </is>
      </c>
      <c r="H80" s="416" t="inlineStr">
        <is>
          <t>PDHMV_APPROVE_AMOUNT</t>
        </is>
      </c>
      <c r="I80" s="482" t="inlineStr">
        <is>
          <t>NUMBER</t>
        </is>
      </c>
      <c r="J80" s="482" t="n">
        <v>25.5</v>
      </c>
      <c r="K80" s="416" t="inlineStr">
        <is>
          <t>Giá trị giải ngân</t>
        </is>
      </c>
      <c r="L80" s="416" t="n"/>
      <c r="M80" s="416">
        <f>"COMMENT ON COLUMN PG_SILVER."&amp;G80&amp;"."&amp;H80&amp;" IS '"&amp;K80&amp;"';"</f>
        <v/>
      </c>
      <c r="N80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81" ht="15" customHeight="1" s="335">
      <c r="A81" s="416" t="inlineStr">
        <is>
          <t>PG_BRONZE</t>
        </is>
      </c>
      <c r="B81" s="416" t="inlineStr">
        <is>
          <t>T24CORE_PD_PAYMENT_DUE_HIS_MV</t>
        </is>
      </c>
      <c r="C81" s="416" t="inlineStr">
        <is>
          <t>CATEGORY</t>
        </is>
      </c>
      <c r="D81" s="416" t="inlineStr">
        <is>
          <t>TRIM(pdhmv.CATEGORY)</t>
        </is>
      </c>
      <c r="E81" s="416" t="inlineStr">
        <is>
          <t>Schedule Lich Tra No</t>
        </is>
      </c>
      <c r="F81" s="416" t="inlineStr">
        <is>
          <t>Pdhmv Category</t>
        </is>
      </c>
      <c r="G81" s="416" t="inlineStr">
        <is>
          <t>sk_lich_tra_no</t>
        </is>
      </c>
      <c r="H81" s="416" t="inlineStr">
        <is>
          <t>PDHMV_CATEGORY</t>
        </is>
      </c>
      <c r="I81" s="482" t="inlineStr">
        <is>
          <t>VARCHAR2</t>
        </is>
      </c>
      <c r="J81" s="482" t="n">
        <v>100</v>
      </c>
      <c r="K81" s="416" t="inlineStr">
        <is>
          <t>Mã phân loại sản phẩm vay</t>
        </is>
      </c>
      <c r="L81" s="416" t="n"/>
      <c r="M81" s="416">
        <f>"COMMENT ON COLUMN PG_SILVER."&amp;G81&amp;"."&amp;H81&amp;" IS '"&amp;K81&amp;"';"</f>
        <v/>
      </c>
      <c r="N81" s="416" t="inlineStr">
        <is>
          <t>LEFT JOIN PG_BRONZE.T24CORE_PD_PAYMENT_DUE_HIS_MV pdhmv ON pdmv.RECID = pdhmv.RECID AND pdmv.PAY_TYPE = pdhmv.PAY_TYPE AND pdhmv.FLAG_STATUS = 'LIVE' AND pdhmv.PAY_AMT_OUTS &gt; 0</t>
        </is>
      </c>
    </row>
    <row r="82" ht="15" customHeight="1" s="335">
      <c r="A82" s="416" t="inlineStr">
        <is>
          <t>PG_BRONZE</t>
        </is>
      </c>
      <c r="B82" s="416" t="inlineStr">
        <is>
          <t>T24CORE_PD_PAYMENT_DUE_HIS_MV</t>
        </is>
      </c>
      <c r="C82" s="416" t="inlineStr">
        <is>
          <t>CO_CODE</t>
        </is>
      </c>
      <c r="D82" s="416" t="inlineStr">
        <is>
          <t>TRIM(pdhmv.CO_CODE)</t>
        </is>
      </c>
      <c r="E82" s="416" t="inlineStr">
        <is>
          <t>Schedule Lich Tra No</t>
        </is>
      </c>
      <c r="F82" s="416" t="inlineStr">
        <is>
          <t>Pdhmv Co Code</t>
        </is>
      </c>
      <c r="G82" s="416" t="inlineStr">
        <is>
          <t>sk_lich_tra_no</t>
        </is>
      </c>
      <c r="H82" s="416" t="inlineStr">
        <is>
          <t>PDHMV_CO_CODE</t>
        </is>
      </c>
      <c r="I82" s="482" t="inlineStr">
        <is>
          <t>VARCHAR2</t>
        </is>
      </c>
      <c r="J82" s="482" t="n">
        <v>100</v>
      </c>
      <c r="K82" s="416" t="inlineStr">
        <is>
          <t>Mã chi nhánh</t>
        </is>
      </c>
      <c r="L82" s="416" t="n"/>
      <c r="M82" s="416">
        <f>"COMMENT ON COLUMN PG_SILVER."&amp;G82&amp;"."&amp;H82&amp;" IS '"&amp;K82&amp;"';"</f>
        <v/>
      </c>
      <c r="N82" s="416" t="inlineStr">
        <is>
          <t>UNION ALL FROM PG_BRONZE.T24CORE_PD_PAYMENT_DUE_HIS_MV pdhmv WHERE pdhmv.FLAG_STATUS = 'LIVE' AND pdhmv.PAY_AMT_OUTS &gt; 0</t>
        </is>
      </c>
    </row>
    <row r="83" ht="15" customHeight="1" s="335">
      <c r="A83" s="416" t="inlineStr">
        <is>
          <t>PG_BRONZE</t>
        </is>
      </c>
      <c r="B83" s="416" t="inlineStr">
        <is>
          <t>T24CORE_PD_PAYMENT_DUE_HIS_MV</t>
        </is>
      </c>
      <c r="C83" s="416" t="inlineStr">
        <is>
          <t>CREDIT_STATUS</t>
        </is>
      </c>
      <c r="D83" s="416" t="inlineStr">
        <is>
          <t>TRIM(pdhmv.CREDIT_STATUS)</t>
        </is>
      </c>
      <c r="E83" s="416" t="inlineStr">
        <is>
          <t>Schedule Lich Tra No</t>
        </is>
      </c>
      <c r="F83" s="416" t="inlineStr">
        <is>
          <t>Pdhmv Credit Status</t>
        </is>
      </c>
      <c r="G83" s="416" t="inlineStr">
        <is>
          <t>sk_lich_tra_no</t>
        </is>
      </c>
      <c r="H83" s="416" t="inlineStr">
        <is>
          <t>PDHMV_CREDIT_STATUS</t>
        </is>
      </c>
      <c r="I83" s="482" t="inlineStr">
        <is>
          <t>VARCHAR2</t>
        </is>
      </c>
      <c r="J83" s="482" t="n">
        <v>100</v>
      </c>
      <c r="K83" s="416" t="inlineStr">
        <is>
          <t>Nhóm nợ hợp đồng</t>
        </is>
      </c>
      <c r="L83" s="416" t="n"/>
      <c r="M83" s="416">
        <f>"COMMENT ON COLUMN PG_SILVER."&amp;G83&amp;"."&amp;H83&amp;" IS '"&amp;K83&amp;"';"</f>
        <v/>
      </c>
      <c r="N83" s="416" t="inlineStr">
        <is>
          <t>UNION ALL FROM PG_BRONZE.T24CORE_PD_PAYMENT_DUE_HIS_MV pdhmv WHERE pdhmv.FLAG_STATUS = 'LIVE' AND pdhmv.PAY_AMT_OUTS &gt; 0</t>
        </is>
      </c>
    </row>
    <row r="84" ht="15" customHeight="1" s="335">
      <c r="A84" s="416" t="inlineStr">
        <is>
          <t>PG_BRONZE</t>
        </is>
      </c>
      <c r="B84" s="416" t="inlineStr">
        <is>
          <t>T24CORE_PD_PAYMENT_DUE_HIS_MV</t>
        </is>
      </c>
      <c r="C84" s="416" t="inlineStr">
        <is>
          <t>CURR_NO</t>
        </is>
      </c>
      <c r="D84" s="416" t="inlineStr">
        <is>
          <t>COALESCE(CAST(pdhmv.CURR_NO AS DECIMAL(10)), 0)</t>
        </is>
      </c>
      <c r="E84" s="416" t="inlineStr">
        <is>
          <t>Schedule Lich Tra No</t>
        </is>
      </c>
      <c r="F84" s="416" t="inlineStr">
        <is>
          <t>Pdhmv Curr No</t>
        </is>
      </c>
      <c r="G84" s="416" t="inlineStr">
        <is>
          <t>sk_lich_tra_no</t>
        </is>
      </c>
      <c r="H84" s="416" t="inlineStr">
        <is>
          <t>PDHMV_CURR_NO</t>
        </is>
      </c>
      <c r="I84" s="482" t="inlineStr">
        <is>
          <t>NUMBER</t>
        </is>
      </c>
      <c r="J84" s="482" t="n">
        <v>10</v>
      </c>
      <c r="K84" s="416" t="inlineStr">
        <is>
          <t>Version hiện tại của bản ghi</t>
        </is>
      </c>
      <c r="L84" s="416" t="n"/>
      <c r="M84" s="416">
        <f>"COMMENT ON COLUMN PG_SILVER."&amp;G84&amp;"."&amp;H84&amp;" IS '"&amp;K84&amp;"';"</f>
        <v/>
      </c>
      <c r="N84" s="416" t="inlineStr">
        <is>
          <t>UNION ALL FROM PG_BRONZE.T24CORE_PD_PAYMENT_DUE_HIS_MV pdhmv WHERE pdhmv.FLAG_STATUS = 'LIVE' AND pdhmv.PAY_AMT_OUTS &gt; 0</t>
        </is>
      </c>
    </row>
    <row r="85" ht="15" customHeight="1" s="335">
      <c r="A85" s="416" t="inlineStr">
        <is>
          <t>PG_BRONZE</t>
        </is>
      </c>
      <c r="B85" s="416" t="inlineStr">
        <is>
          <t>T24CORE_PD_PAYMENT_DUE_HIS_MV</t>
        </is>
      </c>
      <c r="C85" s="416" t="inlineStr">
        <is>
          <t>CUSTOMER</t>
        </is>
      </c>
      <c r="D85" s="416" t="inlineStr">
        <is>
          <t>TRIM(pdhmv.CUSTOMER)</t>
        </is>
      </c>
      <c r="E85" s="416" t="inlineStr">
        <is>
          <t>Schedule Lich Tra No</t>
        </is>
      </c>
      <c r="F85" s="416" t="inlineStr">
        <is>
          <t>Pdhmv Customer</t>
        </is>
      </c>
      <c r="G85" s="416" t="inlineStr">
        <is>
          <t>sk_lich_tra_no</t>
        </is>
      </c>
      <c r="H85" s="416" t="inlineStr">
        <is>
          <t>PDHMV_CUSTOMER</t>
        </is>
      </c>
      <c r="I85" s="482" t="inlineStr">
        <is>
          <t>VARCHAR2</t>
        </is>
      </c>
      <c r="J85" s="482" t="n">
        <v>100</v>
      </c>
      <c r="K85" s="416" t="inlineStr">
        <is>
          <t>Mã khách hàng</t>
        </is>
      </c>
      <c r="L85" s="416" t="n"/>
      <c r="M85" s="416">
        <f>"COMMENT ON COLUMN PG_SILVER."&amp;G85&amp;"."&amp;H85&amp;" IS '"&amp;K85&amp;"';"</f>
        <v/>
      </c>
      <c r="N85" s="416" t="inlineStr">
        <is>
          <t>UNION ALL FROM PG_BRONZE.T24CORE_PD_PAYMENT_DUE_HIS_MV pdhmv WHERE pdhmv.FLAG_STATUS = 'LIVE' AND pdhmv.PAY_AMT_OUTS &gt; 0</t>
        </is>
      </c>
    </row>
    <row r="86" ht="15" customHeight="1" s="335">
      <c r="A86" s="416" t="inlineStr">
        <is>
          <t>PG_BRONZE</t>
        </is>
      </c>
      <c r="B86" s="416" t="inlineStr">
        <is>
          <t>T24CORE_PD_PAYMENT_DUE_HIS_MV</t>
        </is>
      </c>
      <c r="C86" s="416" t="inlineStr">
        <is>
          <t>DATE_TIME</t>
        </is>
      </c>
      <c r="D86" s="416" t="inlineStr">
        <is>
          <t>TO_DATE(CAST(pdhmv.DATE_TIME AS VARCHAR(20)), 'YYYYMMDD')</t>
        </is>
      </c>
      <c r="E86" s="416" t="inlineStr">
        <is>
          <t>Schedule Lich Tra No</t>
        </is>
      </c>
      <c r="F86" s="416" t="inlineStr">
        <is>
          <t>Pdhmv Date Time</t>
        </is>
      </c>
      <c r="G86" s="416" t="inlineStr">
        <is>
          <t>sk_lich_tra_no</t>
        </is>
      </c>
      <c r="H86" s="416" t="inlineStr">
        <is>
          <t>PDHMV_DATE_TIME</t>
        </is>
      </c>
      <c r="I86" s="482" t="inlineStr">
        <is>
          <t>DATE</t>
        </is>
      </c>
      <c r="J86" s="482" t="n"/>
      <c r="K86" s="416" t="inlineStr">
        <is>
          <t>Trường DATE_TIME của bảng nguồn T24CORE.PD_PAYMENT_DUE_HIS_MV</t>
        </is>
      </c>
      <c r="L86" s="416" t="n"/>
      <c r="M86" s="416">
        <f>"COMMENT ON COLUMN PG_SILVER."&amp;G86&amp;"."&amp;H86&amp;" IS '"&amp;K86&amp;"';"</f>
        <v/>
      </c>
      <c r="N86" s="416" t="inlineStr">
        <is>
          <t>UNION ALL FROM PG_BRONZE.T24CORE_PD_PAYMENT_DUE_HIS_MV pdhmv WHERE pdhmv.FLAG_STATUS = 'LIVE' AND pdhmv.PAY_AMT_OUTS &gt; 0</t>
        </is>
      </c>
    </row>
    <row r="87" ht="15" customHeight="1" s="335">
      <c r="A87" s="416" t="inlineStr">
        <is>
          <t>PG_BRONZE</t>
        </is>
      </c>
      <c r="B87" s="416" t="inlineStr">
        <is>
          <t>T24CORE_PD_PAYMENT_DUE_HIS_MV</t>
        </is>
      </c>
      <c r="C87" s="416" t="inlineStr">
        <is>
          <t>FINAL_DUE_DATE</t>
        </is>
      </c>
      <c r="D87" s="416" t="inlineStr">
        <is>
          <t>TO_DATE(CAST(pdhmv.FINAL_DUE_DATE AS VARCHAR(20)), 'YYYYMMDD')</t>
        </is>
      </c>
      <c r="E87" s="416" t="inlineStr">
        <is>
          <t>Schedule Lich Tra No</t>
        </is>
      </c>
      <c r="F87" s="416" t="inlineStr">
        <is>
          <t>Pdhmv Final Due Date</t>
        </is>
      </c>
      <c r="G87" s="416" t="inlineStr">
        <is>
          <t>sk_lich_tra_no</t>
        </is>
      </c>
      <c r="H87" s="416" t="inlineStr">
        <is>
          <t>PDHMV_FINAL_DUE_DATE</t>
        </is>
      </c>
      <c r="I87" s="482" t="inlineStr">
        <is>
          <t>DATE</t>
        </is>
      </c>
      <c r="J87" s="482" t="n"/>
      <c r="K87" s="416" t="inlineStr">
        <is>
          <t>Ngày trả nơ cuối khi quá hạn</t>
        </is>
      </c>
      <c r="L87" s="416" t="n"/>
      <c r="M87" s="416">
        <f>"COMMENT ON COLUMN PG_SILVER."&amp;G87&amp;"."&amp;H87&amp;" IS '"&amp;K87&amp;"';"</f>
        <v/>
      </c>
      <c r="N87" s="416" t="inlineStr">
        <is>
          <t>UNION ALL FROM PG_BRONZE.T24CORE_PD_PAYMENT_DUE_HIS_MV pdhmv WHERE pdhmv.FLAG_STATUS = 'LIVE' AND pdhmv.PAY_AMT_OUTS &gt; 0</t>
        </is>
      </c>
    </row>
    <row r="88" ht="15" customHeight="1" s="335">
      <c r="A88" s="416" t="inlineStr">
        <is>
          <t>PG_BRONZE</t>
        </is>
      </c>
      <c r="B88" s="416" t="inlineStr">
        <is>
          <t>T24CORE_PD_PAYMENT_DUE_HIS_MV</t>
        </is>
      </c>
      <c r="C88" s="416" t="inlineStr">
        <is>
          <t>FLAG_STATUS</t>
        </is>
      </c>
      <c r="D88" s="416" t="inlineStr">
        <is>
          <t>TRIM(pdhmv.FLAG_STATUS)</t>
        </is>
      </c>
      <c r="E88" s="416" t="inlineStr">
        <is>
          <t>Schedule Lich Tra No</t>
        </is>
      </c>
      <c r="F88" s="416" t="inlineStr">
        <is>
          <t>Pdhmv Flag Status</t>
        </is>
      </c>
      <c r="G88" s="416" t="inlineStr">
        <is>
          <t>sk_lich_tra_no</t>
        </is>
      </c>
      <c r="H88" s="416" t="inlineStr">
        <is>
          <t>PDHMV_FLAG_STATUS</t>
        </is>
      </c>
      <c r="I88" s="482" t="inlineStr">
        <is>
          <t>VARCHAR2</t>
        </is>
      </c>
      <c r="J88" s="482" t="n">
        <v>100</v>
      </c>
      <c r="K88" s="416" t="inlineStr">
        <is>
          <t>Cờ đánh dấu trạng thái bản ghi</t>
        </is>
      </c>
      <c r="L88" s="416" t="n"/>
      <c r="M88" s="416">
        <f>"COMMENT ON COLUMN PG_SILVER."&amp;G88&amp;"."&amp;H88&amp;" IS '"&amp;K88&amp;"';"</f>
        <v/>
      </c>
      <c r="N88" s="416" t="inlineStr">
        <is>
          <t>UNION ALL FROM PG_BRONZE.T24CORE_PD_PAYMENT_DUE_HIS_MV pdhmv WHERE pdhmv.FLAG_STATUS = 'LIVE' AND pdhmv.PAY_AMT_OUTS &gt; 0</t>
        </is>
      </c>
    </row>
    <row r="89" ht="15" customHeight="1" s="335">
      <c r="A89" s="416" t="inlineStr">
        <is>
          <t>PG_BRONZE</t>
        </is>
      </c>
      <c r="B89" s="416" t="inlineStr">
        <is>
          <t>T24CORE_PD_PAYMENT_DUE_HIS_MV</t>
        </is>
      </c>
      <c r="C89" s="416" t="inlineStr">
        <is>
          <t>ORIGINAL_MAT</t>
        </is>
      </c>
      <c r="D89" s="416" t="inlineStr">
        <is>
          <t>TO_DATE(CAST(pdhmv.ORIGINAL_MAT AS VARCHAR(20)), 'YYYYMMDD')</t>
        </is>
      </c>
      <c r="E89" s="416" t="inlineStr">
        <is>
          <t>Schedule Lich Tra No</t>
        </is>
      </c>
      <c r="F89" s="416" t="inlineStr">
        <is>
          <t>Pdhmv Original Mat</t>
        </is>
      </c>
      <c r="G89" s="416" t="inlineStr">
        <is>
          <t>sk_lich_tra_no</t>
        </is>
      </c>
      <c r="H89" s="416" t="inlineStr">
        <is>
          <t>PDHMV_ORIGINAL_MAT</t>
        </is>
      </c>
      <c r="I89" s="482" t="inlineStr">
        <is>
          <t>DATE</t>
        </is>
      </c>
      <c r="J89" s="482" t="n"/>
      <c r="K89" s="416" t="inlineStr">
        <is>
          <t>Ngày đáo hạn gốc</t>
        </is>
      </c>
      <c r="L89" s="416" t="n"/>
      <c r="M89" s="416">
        <f>"COMMENT ON COLUMN PG_SILVER."&amp;G89&amp;"."&amp;H89&amp;" IS '"&amp;K89&amp;"';"</f>
        <v/>
      </c>
      <c r="N89" s="416" t="inlineStr">
        <is>
          <t>UNION ALL FROM PG_BRONZE.T24CORE_PD_PAYMENT_DUE_HIS_MV pdhmv WHERE pdhmv.FLAG_STATUS = 'LIVE' AND pdhmv.PAY_AMT_OUTS &gt; 0</t>
        </is>
      </c>
    </row>
    <row r="90" ht="15" customHeight="1" s="335">
      <c r="A90" s="416" t="inlineStr">
        <is>
          <t>PG_BRONZE</t>
        </is>
      </c>
      <c r="B90" s="416" t="inlineStr">
        <is>
          <t>T24CORE_PD_PAYMENT_DUE_HIS_MV</t>
        </is>
      </c>
      <c r="C90" s="416" t="inlineStr">
        <is>
          <t>PAY_TYPE</t>
        </is>
      </c>
      <c r="D90" s="416" t="inlineStr">
        <is>
          <t>TRIM(pdhmv.PAY_TYPE)</t>
        </is>
      </c>
      <c r="E90" s="416" t="inlineStr">
        <is>
          <t>Schedule Lich Tra No</t>
        </is>
      </c>
      <c r="F90" s="416" t="inlineStr">
        <is>
          <t>Pdhmv Pay Type</t>
        </is>
      </c>
      <c r="G90" s="416" t="inlineStr">
        <is>
          <t>sk_lich_tra_no</t>
        </is>
      </c>
      <c r="H90" s="416" t="inlineStr">
        <is>
          <t>PDHMV_PAY_TYPE</t>
        </is>
      </c>
      <c r="I90" s="482" t="inlineStr">
        <is>
          <t>VARCHAR2</t>
        </is>
      </c>
      <c r="J90" s="482" t="n">
        <v>100</v>
      </c>
      <c r="K90" s="416" t="inlineStr">
        <is>
          <t>Loại hình thanh toán</t>
        </is>
      </c>
      <c r="L90" s="416" t="n"/>
      <c r="M90" s="416">
        <f>"COMMENT ON COLUMN PG_SILVER."&amp;G90&amp;"."&amp;H90&amp;" IS '"&amp;K90&amp;"';"</f>
        <v/>
      </c>
      <c r="N90" s="416" t="inlineStr">
        <is>
          <t>UNION ALL FROM PG_BRONZE.T24CORE_PD_PAYMENT_DUE_HIS_MV pdhmv WHERE pdhmv.FLAG_STATUS = 'LIVE' AND pdhmv.PAY_AMT_OUTS &gt; 0</t>
        </is>
      </c>
    </row>
    <row r="91" ht="15" customHeight="1" s="335">
      <c r="A91" s="416" t="inlineStr">
        <is>
          <t>PG_BRONZE</t>
        </is>
      </c>
      <c r="B91" s="416" t="inlineStr">
        <is>
          <t>T24CORE_PD_PAYMENT_DUE_HIS_MV</t>
        </is>
      </c>
      <c r="C91" s="416" t="inlineStr">
        <is>
          <t>PD_TYPE</t>
        </is>
      </c>
      <c r="D91" s="416" t="inlineStr">
        <is>
          <t>TRIM(pdhmv.PD_TYPE)</t>
        </is>
      </c>
      <c r="E91" s="416" t="inlineStr">
        <is>
          <t>Schedule Lich Tra No</t>
        </is>
      </c>
      <c r="F91" s="416" t="inlineStr">
        <is>
          <t>Pdhmv Pd Type</t>
        </is>
      </c>
      <c r="G91" s="416" t="inlineStr">
        <is>
          <t>sk_lich_tra_no</t>
        </is>
      </c>
      <c r="H91" s="416" t="inlineStr">
        <is>
          <t>PDHMV_PD_TYPE</t>
        </is>
      </c>
      <c r="I91" s="482" t="inlineStr">
        <is>
          <t>VARCHAR2</t>
        </is>
      </c>
      <c r="J91" s="482" t="n">
        <v>100</v>
      </c>
      <c r="K91" s="416" t="inlineStr">
        <is>
          <t>Loại sản phẩm</t>
        </is>
      </c>
      <c r="L91" s="416" t="n"/>
      <c r="M91" s="416">
        <f>"COMMENT ON COLUMN PG_SILVER."&amp;G91&amp;"."&amp;H91&amp;" IS '"&amp;K91&amp;"';"</f>
        <v/>
      </c>
      <c r="N91" s="416" t="inlineStr">
        <is>
          <t>UNION ALL FROM PG_BRONZE.T24CORE_PD_PAYMENT_DUE_HIS_MV pdhmv WHERE pdhmv.FLAG_STATUS = 'LIVE' AND pdhmv.PAY_AMT_OUTS &gt; 0</t>
        </is>
      </c>
    </row>
    <row r="92" ht="15" customHeight="1" s="335">
      <c r="A92" s="416" t="inlineStr">
        <is>
          <t>PG_BRONZE</t>
        </is>
      </c>
      <c r="B92" s="416" t="inlineStr">
        <is>
          <t>T24CORE_PD_PAYMENT_DUE_HIS_MV</t>
        </is>
      </c>
      <c r="C92" s="416" t="inlineStr">
        <is>
          <t>PE_RATE</t>
        </is>
      </c>
      <c r="D92" s="416" t="inlineStr">
        <is>
          <t>COALESCE(CAST(pdhmv.PE_RATE AS DECIMAL(13,7)), 0)</t>
        </is>
      </c>
      <c r="E92" s="416" t="inlineStr">
        <is>
          <t>Schedule Lich Tra No</t>
        </is>
      </c>
      <c r="F92" s="416" t="inlineStr">
        <is>
          <t>Pdhmv Pe Rate</t>
        </is>
      </c>
      <c r="G92" s="416" t="inlineStr">
        <is>
          <t>sk_lich_tra_no</t>
        </is>
      </c>
      <c r="H92" s="416" t="inlineStr">
        <is>
          <t>PDHMV_PE_RATE</t>
        </is>
      </c>
      <c r="I92" s="482" t="inlineStr">
        <is>
          <t>NUMBER</t>
        </is>
      </c>
      <c r="J92" s="482" t="n">
        <v>13.7</v>
      </c>
      <c r="K92" s="416" t="inlineStr">
        <is>
          <t>Lãi phạt penalty rate</t>
        </is>
      </c>
      <c r="L92" s="416" t="n"/>
      <c r="M92" s="416">
        <f>"COMMENT ON COLUMN PG_SILVER."&amp;G92&amp;"."&amp;H92&amp;" IS '"&amp;K92&amp;"';"</f>
        <v/>
      </c>
      <c r="N92" s="416" t="inlineStr">
        <is>
          <t>UNION ALL FROM PG_BRONZE.T24CORE_PD_PAYMENT_DUE_HIS_MV pdhmv WHERE pdhmv.FLAG_STATUS = 'LIVE' AND pdhmv.PAY_AMT_OUTS &gt; 0</t>
        </is>
      </c>
    </row>
    <row r="93" ht="15" customHeight="1" s="335">
      <c r="A93" s="416" t="inlineStr">
        <is>
          <t>PG_BRONZE</t>
        </is>
      </c>
      <c r="B93" s="416" t="inlineStr">
        <is>
          <t>T24CORE_PD_PAYMENT_DUE_HIS_MV</t>
        </is>
      </c>
      <c r="C93" s="416" t="inlineStr">
        <is>
          <t>PENALTY_RATE</t>
        </is>
      </c>
      <c r="D93" s="416" t="inlineStr">
        <is>
          <t>COALESCE(CAST(pdhmv.PENALTY_RATE AS DECIMAL(13,7)), 0)</t>
        </is>
      </c>
      <c r="E93" s="416" t="inlineStr">
        <is>
          <t>Schedule Lich Tra No</t>
        </is>
      </c>
      <c r="F93" s="416" t="inlineStr">
        <is>
          <t>Pdhmv Penalty Rate</t>
        </is>
      </c>
      <c r="G93" s="416" t="inlineStr">
        <is>
          <t>sk_lich_tra_no</t>
        </is>
      </c>
      <c r="H93" s="416" t="inlineStr">
        <is>
          <t>PDHMV_PENALTY_RATE</t>
        </is>
      </c>
      <c r="I93" s="482" t="inlineStr">
        <is>
          <t>NUMBER</t>
        </is>
      </c>
      <c r="J93" s="482" t="n">
        <v>13.7</v>
      </c>
      <c r="K93" s="416" t="inlineStr">
        <is>
          <t>Lãi suất phạt quá hạn danh nghĩa lịch sử</t>
        </is>
      </c>
      <c r="L93" s="416" t="n"/>
      <c r="M93" s="416">
        <f>"COMMENT ON COLUMN PG_SILVER."&amp;G93&amp;"."&amp;H93&amp;" IS '"&amp;K93&amp;"';"</f>
        <v/>
      </c>
      <c r="N93" s="416" t="inlineStr">
        <is>
          <t>UNION ALL FROM PG_BRONZE.T24CORE_PD_PAYMENT_DUE_HIS_MV pdhmv WHERE pdhmv.FLAG_STATUS = 'LIVE' AND pdhmv.PAY_AMT_OUTS &gt; 0</t>
        </is>
      </c>
    </row>
    <row r="94" ht="15" customHeight="1" s="335">
      <c r="A94" s="416" t="inlineStr">
        <is>
          <t>PG_BRONZE</t>
        </is>
      </c>
      <c r="B94" s="416" t="inlineStr">
        <is>
          <t>T24CORE_PD_PAYMENT_DUE_HIS_MV</t>
        </is>
      </c>
      <c r="C94" s="416" t="inlineStr">
        <is>
          <t>RECID</t>
        </is>
      </c>
      <c r="D94" s="416" t="inlineStr">
        <is>
          <t>TRIM(pdhmv.RECID)</t>
        </is>
      </c>
      <c r="E94" s="416" t="inlineStr">
        <is>
          <t>Schedule Lich Tra No</t>
        </is>
      </c>
      <c r="F94" s="416" t="inlineStr">
        <is>
          <t>Pdhmv Recid</t>
        </is>
      </c>
      <c r="G94" s="416" t="inlineStr">
        <is>
          <t>sk_lich_tra_no</t>
        </is>
      </c>
      <c r="H94" s="416" t="inlineStr">
        <is>
          <t>PDHMV_RECID</t>
        </is>
      </c>
      <c r="I94" s="482" t="inlineStr">
        <is>
          <t>VARCHAR2</t>
        </is>
      </c>
      <c r="J94" s="482" t="n">
        <v>100</v>
      </c>
      <c r="K94" s="416" t="inlineStr">
        <is>
          <t>Key bản ghi</t>
        </is>
      </c>
      <c r="L94" s="416" t="n"/>
      <c r="M94" s="416">
        <f>"COMMENT ON COLUMN PG_SILVER."&amp;G94&amp;"."&amp;H94&amp;" IS '"&amp;K94&amp;"';"</f>
        <v/>
      </c>
      <c r="N94" s="416" t="inlineStr">
        <is>
          <t>UNION ALL FROM PG_BRONZE.T24CORE_PD_PAYMENT_DUE_HIS_MV pdhmv WHERE pdhmv.FLAG_STATUS = 'LIVE' AND pdhmv.PAY_AMT_OUTS &gt; 0</t>
        </is>
      </c>
    </row>
    <row r="95" ht="15" customHeight="1" s="335">
      <c r="A95" s="416" t="inlineStr">
        <is>
          <t>PG_BRONZE</t>
        </is>
      </c>
      <c r="B95" s="416" t="inlineStr">
        <is>
          <t>T24CORE_PD_PAYMENT_DUE_HIS_MV</t>
        </is>
      </c>
      <c r="C95" s="416" t="inlineStr">
        <is>
          <t>RECORD_STATUS</t>
        </is>
      </c>
      <c r="D95" s="416" t="inlineStr">
        <is>
          <t>TRIM(pdhmv.RECORD_STATUS)</t>
        </is>
      </c>
      <c r="E95" s="416" t="inlineStr">
        <is>
          <t>Schedule Lich Tra No</t>
        </is>
      </c>
      <c r="F95" s="416" t="inlineStr">
        <is>
          <t>Pdhmv Record Status</t>
        </is>
      </c>
      <c r="G95" s="416" t="inlineStr">
        <is>
          <t>sk_lich_tra_no</t>
        </is>
      </c>
      <c r="H95" s="416" t="inlineStr">
        <is>
          <t>PDHMV_RECORD_STATUS</t>
        </is>
      </c>
      <c r="I95" s="482" t="inlineStr">
        <is>
          <t>VARCHAR2</t>
        </is>
      </c>
      <c r="J95" s="482" t="n">
        <v>100</v>
      </c>
      <c r="K95" s="416" t="inlineStr">
        <is>
          <t>Trạng thái bản ghi</t>
        </is>
      </c>
      <c r="L95" s="416" t="n"/>
      <c r="M95" s="416">
        <f>"COMMENT ON COLUMN PG_SILVER."&amp;G95&amp;"."&amp;H95&amp;" IS '"&amp;K95&amp;"';"</f>
        <v/>
      </c>
      <c r="N95" s="416" t="inlineStr">
        <is>
          <t>UNION ALL FROM PG_BRONZE.T24CORE_PD_PAYMENT_DUE_HIS_MV pdhmv WHERE pdhmv.FLAG_STATUS = 'LIVE' AND pdhmv.PAY_AMT_OUTS &gt; 0</t>
        </is>
      </c>
    </row>
    <row r="96" ht="15" customHeight="1" s="335">
      <c r="A96" s="416" t="inlineStr">
        <is>
          <t>PG_BRONZE</t>
        </is>
      </c>
      <c r="B96" s="416" t="inlineStr">
        <is>
          <t>T24CORE_PD_PAYMENT_DUE_HIS_MV</t>
        </is>
      </c>
      <c r="C96" s="416" t="inlineStr">
        <is>
          <t>REPAYMENT_ACCT</t>
        </is>
      </c>
      <c r="D96" s="416" t="inlineStr">
        <is>
          <t>TRIM(pdhmv.REPAYMENT_ACCT)</t>
        </is>
      </c>
      <c r="E96" s="416" t="inlineStr">
        <is>
          <t>Schedule Lich Tra No</t>
        </is>
      </c>
      <c r="F96" s="416" t="inlineStr">
        <is>
          <t>Pdhmv Repayment Acct</t>
        </is>
      </c>
      <c r="G96" s="416" t="inlineStr">
        <is>
          <t>sk_lich_tra_no</t>
        </is>
      </c>
      <c r="H96" s="416" t="inlineStr">
        <is>
          <t>PDHMV_REPAYMENT_ACCT</t>
        </is>
      </c>
      <c r="I96" s="482" t="inlineStr">
        <is>
          <t>VARCHAR2</t>
        </is>
      </c>
      <c r="J96" s="482" t="n">
        <v>100</v>
      </c>
      <c r="K96" s="416" t="inlineStr">
        <is>
          <t>Số tài khoản thanh toán</t>
        </is>
      </c>
      <c r="L96" s="416" t="n"/>
      <c r="M96" s="416">
        <f>"COMMENT ON COLUMN PG_SILVER."&amp;G96&amp;"."&amp;H96&amp;" IS '"&amp;K96&amp;"';"</f>
        <v/>
      </c>
      <c r="N96" s="416" t="inlineStr">
        <is>
          <t>UNION ALL FROM PG_BRONZE.T24CORE_PD_PAYMENT_DUE_HIS_MV pdhmv WHERE pdhmv.FLAG_STATUS = 'LIVE' AND pdhmv.PAY_AMT_OUTS &gt; 0</t>
        </is>
      </c>
    </row>
    <row r="97" ht="15" customHeight="1" s="335">
      <c r="A97" s="416" t="inlineStr">
        <is>
          <t>PG_BRONZE</t>
        </is>
      </c>
      <c r="B97" s="416" t="inlineStr">
        <is>
          <t>T24CORE_PD_PAYMENT_DUE_MV</t>
        </is>
      </c>
      <c r="C97" s="416" t="inlineStr">
        <is>
          <t>ACC_FCC</t>
        </is>
      </c>
      <c r="D97" s="416" t="inlineStr">
        <is>
          <t>TRIM(pdmv.ACC_FCC)</t>
        </is>
      </c>
      <c r="E97" s="416" t="inlineStr">
        <is>
          <t>Schedule Lich Tra No</t>
        </is>
      </c>
      <c r="F97" s="416" t="inlineStr">
        <is>
          <t>Acc Fcc</t>
        </is>
      </c>
      <c r="G97" s="416" t="inlineStr">
        <is>
          <t>sk_lich_tra_no</t>
        </is>
      </c>
      <c r="H97" s="416" t="inlineStr">
        <is>
          <t>ACC_FCC</t>
        </is>
      </c>
      <c r="I97" s="482" t="inlineStr">
        <is>
          <t>VARCHAR2</t>
        </is>
      </c>
      <c r="J97" s="482" t="n">
        <v>100</v>
      </c>
      <c r="K97" s="416" t="inlineStr">
        <is>
          <t>Mã hợp đồng FlexCube</t>
        </is>
      </c>
      <c r="L97" s="416" t="n"/>
      <c r="M97" s="416">
        <f>"COMMENT ON COLUMN PG_SILVER."&amp;G97&amp;"."&amp;H97&amp;" IS '"&amp;K97&amp;"';"</f>
        <v/>
      </c>
      <c r="N97" s="416" t="inlineStr">
        <is>
          <t>FROM PG_BRONZE.T24CORE_PD_PAYMENT_DUE_MV pdmv WHERE pdmv.FLAG_STATUS &lt;&gt; 'DELETE'</t>
        </is>
      </c>
    </row>
    <row r="98" ht="15" customHeight="1" s="335">
      <c r="A98" s="416" t="inlineStr">
        <is>
          <t>PG_BRONZE</t>
        </is>
      </c>
      <c r="B98" s="416" t="inlineStr">
        <is>
          <t>T24CORE_PD_PAYMENT_DUE_MV</t>
        </is>
      </c>
      <c r="C98" s="416" t="inlineStr">
        <is>
          <t>APPROVE_AMOUNT</t>
        </is>
      </c>
      <c r="D98" s="416" t="inlineStr">
        <is>
          <t>COALESCE(CAST(pdmv.APPROVE_AMOUNT AS DECIMAL(25,5)), 0)</t>
        </is>
      </c>
      <c r="E98" s="416" t="inlineStr">
        <is>
          <t>Schedule Lich Tra No</t>
        </is>
      </c>
      <c r="F98" s="416" t="inlineStr">
        <is>
          <t>Approve Amount</t>
        </is>
      </c>
      <c r="G98" s="416" t="inlineStr">
        <is>
          <t>sk_lich_tra_no</t>
        </is>
      </c>
      <c r="H98" s="416" t="inlineStr">
        <is>
          <t>APPROVE_AMOUNT</t>
        </is>
      </c>
      <c r="I98" s="482" t="inlineStr">
        <is>
          <t>NUMBER</t>
        </is>
      </c>
      <c r="J98" s="482" t="n">
        <v>25.5</v>
      </c>
      <c r="K98" s="416" t="inlineStr">
        <is>
          <t>Giá trị giải ngân</t>
        </is>
      </c>
      <c r="L98" s="416" t="n"/>
      <c r="M98" s="416">
        <f>"COMMENT ON COLUMN PG_SILVER."&amp;G98&amp;"."&amp;H98&amp;" IS '"&amp;K98&amp;"';"</f>
        <v/>
      </c>
      <c r="N98" s="416" t="inlineStr">
        <is>
          <t>FROM PG_BRONZE.T24CORE_PD_PAYMENT_DUE_MV pdmv WHERE pdmv.FLAG_STATUS &lt;&gt; 'DELETE'</t>
        </is>
      </c>
    </row>
    <row r="99" ht="15" customHeight="1" s="335">
      <c r="A99" s="416" t="inlineStr">
        <is>
          <t>PG_BRONZE</t>
        </is>
      </c>
      <c r="B99" s="416" t="inlineStr">
        <is>
          <t>T24CORE_PD_PAYMENT_DUE_MV</t>
        </is>
      </c>
      <c r="C99" s="416" t="inlineStr">
        <is>
          <t>CATEGORY</t>
        </is>
      </c>
      <c r="D99" s="416" t="inlineStr">
        <is>
          <t>TRIM(pdmv.CATEGORY)</t>
        </is>
      </c>
      <c r="E99" s="416" t="inlineStr">
        <is>
          <t>Schedule Lich Tra No</t>
        </is>
      </c>
      <c r="F99" s="416" t="inlineStr">
        <is>
          <t>Category</t>
        </is>
      </c>
      <c r="G99" s="416" t="inlineStr">
        <is>
          <t>sk_lich_tra_no</t>
        </is>
      </c>
      <c r="H99" s="416" t="inlineStr">
        <is>
          <t>CATEGORY</t>
        </is>
      </c>
      <c r="I99" s="482" t="inlineStr">
        <is>
          <t>VARCHAR2</t>
        </is>
      </c>
      <c r="J99" s="482" t="n">
        <v>100</v>
      </c>
      <c r="K99" s="416" t="inlineStr">
        <is>
          <t>Mã phân loại sản phẩm vay</t>
        </is>
      </c>
      <c r="L99" s="416" t="n"/>
      <c r="M99" s="416">
        <f>"COMMENT ON COLUMN PG_SILVER."&amp;G99&amp;"."&amp;H99&amp;" IS '"&amp;K99&amp;"';"</f>
        <v/>
      </c>
      <c r="N99" s="416" t="inlineStr">
        <is>
          <t>FROM PG_BRONZE.T24CORE_PD_PAYMENT_DUE_MV pdmv WHERE pdmv.FLAG_STATUS &lt;&gt; 'DELETE'</t>
        </is>
      </c>
    </row>
    <row r="100" ht="15" customHeight="1" s="335">
      <c r="A100" s="416" t="inlineStr">
        <is>
          <t>PG_BRONZE</t>
        </is>
      </c>
      <c r="B100" s="416" t="inlineStr">
        <is>
          <t>T24CORE_PD_PAYMENT_DUE_MV</t>
        </is>
      </c>
      <c r="C100" s="416" t="inlineStr">
        <is>
          <t>CO_CODE</t>
        </is>
      </c>
      <c r="D100" s="416" t="inlineStr">
        <is>
          <t>TRIM(pdmv.CO_CODE)</t>
        </is>
      </c>
      <c r="E100" s="416" t="inlineStr">
        <is>
          <t>Schedule Lich Tra No</t>
        </is>
      </c>
      <c r="F100" s="416" t="inlineStr">
        <is>
          <t>Co Code</t>
        </is>
      </c>
      <c r="G100" s="416" t="inlineStr">
        <is>
          <t>sk_lich_tra_no</t>
        </is>
      </c>
      <c r="H100" s="416" t="inlineStr">
        <is>
          <t>CO_CODE</t>
        </is>
      </c>
      <c r="I100" s="482" t="inlineStr">
        <is>
          <t>VARCHAR2</t>
        </is>
      </c>
      <c r="J100" s="482" t="n">
        <v>100</v>
      </c>
      <c r="K100" s="416" t="inlineStr">
        <is>
          <t>Mã chi nhánh</t>
        </is>
      </c>
      <c r="L100" s="416" t="n"/>
      <c r="M100" s="416">
        <f>"COMMENT ON COLUMN PG_SILVER."&amp;G100&amp;"."&amp;H100&amp;" IS '"&amp;K100&amp;"';"</f>
        <v/>
      </c>
      <c r="N100" s="416" t="inlineStr">
        <is>
          <t>FROM PG_BRONZE.T24CORE_PD_PAYMENT_DUE_MV pdmv WHERE pdmv.FLAG_STATUS &lt;&gt; 'DELETE'</t>
        </is>
      </c>
    </row>
    <row r="101" ht="15" customHeight="1" s="335">
      <c r="A101" s="416" t="inlineStr">
        <is>
          <t>PG_BRONZE</t>
        </is>
      </c>
      <c r="B101" s="416" t="inlineStr">
        <is>
          <t>T24CORE_PD_PAYMENT_DUE_MV</t>
        </is>
      </c>
      <c r="C101" s="416" t="inlineStr">
        <is>
          <t>COMMIT_ACTION</t>
        </is>
      </c>
      <c r="D101" s="416" t="inlineStr">
        <is>
          <t>TRIM(pdmv.COMMIT_ACTION)</t>
        </is>
      </c>
      <c r="E101" s="416" t="inlineStr">
        <is>
          <t>Schedule Lich Tra No</t>
        </is>
      </c>
      <c r="F101" s="416" t="inlineStr">
        <is>
          <t>Commit Action</t>
        </is>
      </c>
      <c r="G101" s="416" t="inlineStr">
        <is>
          <t>sk_lich_tra_no</t>
        </is>
      </c>
      <c r="H101" s="416" t="inlineStr">
        <is>
          <t>COMMIT_ACTION</t>
        </is>
      </c>
      <c r="I101" s="482" t="inlineStr">
        <is>
          <t>VARCHAR2</t>
        </is>
      </c>
      <c r="J101" s="482" t="n">
        <v>100</v>
      </c>
      <c r="K101" s="416" t="inlineStr">
        <is>
          <t>Trường COMMIT_ACTION của bảng nguồn T24CORE.PD_PAYMENT_DUE_MV</t>
        </is>
      </c>
      <c r="L101" s="416" t="n"/>
      <c r="M101" s="416">
        <f>"COMMENT ON COLUMN PG_SILVER."&amp;G101&amp;"."&amp;H101&amp;" IS '"&amp;K101&amp;"';"</f>
        <v/>
      </c>
      <c r="N101" s="416" t="inlineStr">
        <is>
          <t>FROM PG_BRONZE.T24CORE_PD_PAYMENT_DUE_MV pdmv WHERE pdmv.FLAG_STATUS &lt;&gt; 'DELETE'</t>
        </is>
      </c>
    </row>
    <row r="102" ht="15" customHeight="1" s="335">
      <c r="A102" s="416" t="inlineStr">
        <is>
          <t>PG_BRONZE</t>
        </is>
      </c>
      <c r="B102" s="416" t="inlineStr">
        <is>
          <t>T24CORE_PD_PAYMENT_DUE_MV</t>
        </is>
      </c>
      <c r="C102" s="416" t="inlineStr">
        <is>
          <t>CREDIT_STATUS</t>
        </is>
      </c>
      <c r="D102" s="416" t="inlineStr">
        <is>
          <t>TRIM(pdmv.CREDIT_STATUS)</t>
        </is>
      </c>
      <c r="E102" s="416" t="inlineStr">
        <is>
          <t>Schedule Lich Tra No</t>
        </is>
      </c>
      <c r="F102" s="416" t="inlineStr">
        <is>
          <t>Credit Status</t>
        </is>
      </c>
      <c r="G102" s="416" t="inlineStr">
        <is>
          <t>sk_lich_tra_no</t>
        </is>
      </c>
      <c r="H102" s="416" t="inlineStr">
        <is>
          <t>CREDIT_STATUS</t>
        </is>
      </c>
      <c r="I102" s="482" t="inlineStr">
        <is>
          <t>VARCHAR2</t>
        </is>
      </c>
      <c r="J102" s="482" t="n">
        <v>100</v>
      </c>
      <c r="K102" s="416" t="inlineStr">
        <is>
          <t>Nhóm nợ hợp đồng</t>
        </is>
      </c>
      <c r="L102" s="416" t="n"/>
      <c r="M102" s="416">
        <f>"COMMENT ON COLUMN PG_SILVER."&amp;G102&amp;"."&amp;H102&amp;" IS '"&amp;K102&amp;"';"</f>
        <v/>
      </c>
      <c r="N102" s="416" t="inlineStr">
        <is>
          <t>FROM PG_BRONZE.T24CORE_PD_PAYMENT_DUE_MV pdmv WHERE pdmv.FLAG_STATUS &lt;&gt; 'DELETE'</t>
        </is>
      </c>
    </row>
    <row r="103" ht="15" customHeight="1" s="335">
      <c r="A103" s="416" t="inlineStr">
        <is>
          <t>PG_BRONZE</t>
        </is>
      </c>
      <c r="B103" s="416" t="inlineStr">
        <is>
          <t>T24CORE_PD_PAYMENT_DUE_MV</t>
        </is>
      </c>
      <c r="C103" s="416" t="inlineStr">
        <is>
          <t>CURR_NO</t>
        </is>
      </c>
      <c r="D103" s="416" t="inlineStr">
        <is>
          <t>COALESCE(CAST(pdmv.CURR_NO AS DECIMAL(10)), 0)</t>
        </is>
      </c>
      <c r="E103" s="416" t="inlineStr">
        <is>
          <t>Schedule Lich Tra No</t>
        </is>
      </c>
      <c r="F103" s="416" t="inlineStr">
        <is>
          <t>Curr No</t>
        </is>
      </c>
      <c r="G103" s="416" t="inlineStr">
        <is>
          <t>sk_lich_tra_no</t>
        </is>
      </c>
      <c r="H103" s="416" t="inlineStr">
        <is>
          <t>CURR_NO</t>
        </is>
      </c>
      <c r="I103" s="482" t="inlineStr">
        <is>
          <t>NUMBER</t>
        </is>
      </c>
      <c r="J103" s="482" t="n">
        <v>10</v>
      </c>
      <c r="K103" s="416" t="inlineStr">
        <is>
          <t>Version hiện tại của bản ghi</t>
        </is>
      </c>
      <c r="L103" s="416" t="n"/>
      <c r="M103" s="416">
        <f>"COMMENT ON COLUMN PG_SILVER."&amp;G103&amp;"."&amp;H103&amp;" IS '"&amp;K103&amp;"';"</f>
        <v/>
      </c>
      <c r="N103" s="416" t="inlineStr">
        <is>
          <t>FROM PG_BRONZE.T24CORE_PD_PAYMENT_DUE_MV pdmv WHERE pdmv.FLAG_STATUS &lt;&gt; 'DELETE'</t>
        </is>
      </c>
    </row>
    <row r="104" ht="15" customHeight="1" s="335">
      <c r="A104" s="416" t="inlineStr">
        <is>
          <t>PG_BRONZE</t>
        </is>
      </c>
      <c r="B104" s="416" t="inlineStr">
        <is>
          <t>T24CORE_PD_PAYMENT_DUE_MV</t>
        </is>
      </c>
      <c r="C104" s="416" t="inlineStr">
        <is>
          <t>CUSTOMER</t>
        </is>
      </c>
      <c r="D104" s="416" t="inlineStr">
        <is>
          <t>TRIM(pdmv.CUSTOMER)</t>
        </is>
      </c>
      <c r="E104" s="416" t="inlineStr">
        <is>
          <t>Schedule Lich Tra No</t>
        </is>
      </c>
      <c r="F104" s="416" t="inlineStr">
        <is>
          <t>Customer</t>
        </is>
      </c>
      <c r="G104" s="416" t="inlineStr">
        <is>
          <t>sk_lich_tra_no</t>
        </is>
      </c>
      <c r="H104" s="416" t="inlineStr">
        <is>
          <t>CUSTOMER</t>
        </is>
      </c>
      <c r="I104" s="482" t="inlineStr">
        <is>
          <t>VARCHAR2</t>
        </is>
      </c>
      <c r="J104" s="482" t="n">
        <v>100</v>
      </c>
      <c r="K104" s="416" t="inlineStr">
        <is>
          <t>Mã khách hàng</t>
        </is>
      </c>
      <c r="L104" s="416" t="n"/>
      <c r="M104" s="416">
        <f>"COMMENT ON COLUMN PG_SILVER."&amp;G104&amp;"."&amp;H104&amp;" IS '"&amp;K104&amp;"';"</f>
        <v/>
      </c>
      <c r="N104" s="416" t="inlineStr">
        <is>
          <t>FROM PG_BRONZE.T24CORE_PD_PAYMENT_DUE_MV pdmv WHERE pdmv.FLAG_STATUS &lt;&gt; 'DELETE'</t>
        </is>
      </c>
    </row>
    <row r="105" ht="15" customHeight="1" s="335">
      <c r="A105" s="416" t="inlineStr">
        <is>
          <t>PG_BRONZE</t>
        </is>
      </c>
      <c r="B105" s="416" t="inlineStr">
        <is>
          <t>T24CORE_PD_PAYMENT_DUE_MV</t>
        </is>
      </c>
      <c r="C105" s="416" t="inlineStr">
        <is>
          <t>DATE_TIME</t>
        </is>
      </c>
      <c r="D105" s="416" t="inlineStr">
        <is>
          <t>TO_DATE(CAST(pdmv.DATE_TIME AS VARCHAR(20)), 'YYYYMMDD')</t>
        </is>
      </c>
      <c r="E105" s="416" t="inlineStr">
        <is>
          <t>Schedule Lich Tra No</t>
        </is>
      </c>
      <c r="F105" s="416" t="inlineStr">
        <is>
          <t>Date Time</t>
        </is>
      </c>
      <c r="G105" s="416" t="inlineStr">
        <is>
          <t>sk_lich_tra_no</t>
        </is>
      </c>
      <c r="H105" s="416" t="inlineStr">
        <is>
          <t>DATE_TIME</t>
        </is>
      </c>
      <c r="I105" s="482" t="inlineStr">
        <is>
          <t>DATE</t>
        </is>
      </c>
      <c r="J105" s="482" t="n"/>
      <c r="K105" s="416" t="inlineStr">
        <is>
          <t>Trường DATE_TIME của bảng nguồn T24CORE.PD_PAYMENT_DUE_MV</t>
        </is>
      </c>
      <c r="L105" s="416" t="n"/>
      <c r="M105" s="416">
        <f>"COMMENT ON COLUMN PG_SILVER."&amp;G105&amp;"."&amp;H105&amp;" IS '"&amp;K105&amp;"';"</f>
        <v/>
      </c>
      <c r="N105" s="416" t="inlineStr">
        <is>
          <t>FROM PG_BRONZE.T24CORE_PD_PAYMENT_DUE_MV pdmv WHERE pdmv.FLAG_STATUS &lt;&gt; 'DELETE'</t>
        </is>
      </c>
    </row>
    <row r="106" ht="15" customHeight="1" s="335">
      <c r="A106" s="416" t="inlineStr">
        <is>
          <t>PG_BRONZE</t>
        </is>
      </c>
      <c r="B106" s="416" t="inlineStr">
        <is>
          <t>T24CORE_PD_PAYMENT_DUE_MV</t>
        </is>
      </c>
      <c r="C106" s="416" t="inlineStr">
        <is>
          <t>FINAL_DUE_DATE</t>
        </is>
      </c>
      <c r="D106" s="416" t="inlineStr">
        <is>
          <t>TO_DATE(CAST(pdmv.FINAL_DUE_DATE AS VARCHAR(20)), 'YYYYMMDD')</t>
        </is>
      </c>
      <c r="E106" s="416" t="inlineStr">
        <is>
          <t>Schedule Lich Tra No</t>
        </is>
      </c>
      <c r="F106" s="416" t="inlineStr">
        <is>
          <t>Final Due Date</t>
        </is>
      </c>
      <c r="G106" s="416" t="inlineStr">
        <is>
          <t>sk_lich_tra_no</t>
        </is>
      </c>
      <c r="H106" s="416" t="inlineStr">
        <is>
          <t>FINAL_DUE_DATE</t>
        </is>
      </c>
      <c r="I106" s="482" t="inlineStr">
        <is>
          <t>DATE</t>
        </is>
      </c>
      <c r="J106" s="482" t="n"/>
      <c r="K106" s="416" t="inlineStr">
        <is>
          <t>Ngày trả nơ cuối khi quá hạn</t>
        </is>
      </c>
      <c r="L106" s="416" t="n"/>
      <c r="M106" s="416">
        <f>"COMMENT ON COLUMN PG_SILVER."&amp;G106&amp;"."&amp;H106&amp;" IS '"&amp;K106&amp;"';"</f>
        <v/>
      </c>
      <c r="N106" s="416" t="inlineStr">
        <is>
          <t>FROM PG_BRONZE.T24CORE_PD_PAYMENT_DUE_MV pdmv WHERE pdmv.FLAG_STATUS &lt;&gt; 'DELETE'</t>
        </is>
      </c>
    </row>
    <row r="107" ht="15" customHeight="1" s="335">
      <c r="A107" s="416" t="inlineStr">
        <is>
          <t>PG_BRONZE</t>
        </is>
      </c>
      <c r="B107" s="416" t="inlineStr">
        <is>
          <t>T24CORE_PD_PAYMENT_DUE_MV</t>
        </is>
      </c>
      <c r="C107" s="416" t="inlineStr">
        <is>
          <t>FLAG_STATUS</t>
        </is>
      </c>
      <c r="D107" s="416" t="inlineStr">
        <is>
          <t>TRIM(pdmv.FLAG_STATUS)</t>
        </is>
      </c>
      <c r="E107" s="416" t="inlineStr">
        <is>
          <t>Schedule Lich Tra No</t>
        </is>
      </c>
      <c r="F107" s="416" t="inlineStr">
        <is>
          <t>Flag Status</t>
        </is>
      </c>
      <c r="G107" s="416" t="inlineStr">
        <is>
          <t>sk_lich_tra_no</t>
        </is>
      </c>
      <c r="H107" s="416" t="inlineStr">
        <is>
          <t>FLAG_STATUS</t>
        </is>
      </c>
      <c r="I107" s="482" t="inlineStr">
        <is>
          <t>VARCHAR2</t>
        </is>
      </c>
      <c r="J107" s="482" t="n">
        <v>100</v>
      </c>
      <c r="K107" s="416" t="inlineStr">
        <is>
          <t>Cờ đánh dấu trạng thái bản ghi</t>
        </is>
      </c>
      <c r="L107" s="416" t="n"/>
      <c r="M107" s="416">
        <f>"COMMENT ON COLUMN PG_SILVER."&amp;G107&amp;"."&amp;H107&amp;" IS '"&amp;K107&amp;"';"</f>
        <v/>
      </c>
      <c r="N107" s="416" t="inlineStr">
        <is>
          <t>FROM PG_BRONZE.T24CORE_PD_PAYMENT_DUE_MV pdmv WHERE pdmv.FLAG_STATUS &lt;&gt; 'DELETE'</t>
        </is>
      </c>
    </row>
    <row r="108" ht="15" customHeight="1" s="335">
      <c r="A108" s="416" t="inlineStr">
        <is>
          <t>PG_BRONZE</t>
        </is>
      </c>
      <c r="B108" s="416" t="inlineStr">
        <is>
          <t>T24CORE_PD_PAYMENT_DUE_MV</t>
        </is>
      </c>
      <c r="C108" s="416" t="inlineStr">
        <is>
          <t>ID</t>
        </is>
      </c>
      <c r="D108" s="416" t="inlineStr">
        <is>
          <t>TRIM(pdmv.ID)</t>
        </is>
      </c>
      <c r="E108" s="416" t="inlineStr">
        <is>
          <t>Schedule Lich Tra No</t>
        </is>
      </c>
      <c r="F108" s="416" t="inlineStr">
        <is>
          <t>Id</t>
        </is>
      </c>
      <c r="G108" s="416" t="inlineStr">
        <is>
          <t>sk_lich_tra_no</t>
        </is>
      </c>
      <c r="H108" s="416" t="inlineStr">
        <is>
          <t>ID</t>
        </is>
      </c>
      <c r="I108" s="482" t="inlineStr">
        <is>
          <t>VARCHAR2</t>
        </is>
      </c>
      <c r="J108" s="482" t="n">
        <v>100</v>
      </c>
      <c r="K108" s="416" t="inlineStr">
        <is>
          <t>Mã hợp đồng</t>
        </is>
      </c>
      <c r="L108" s="416" t="n"/>
      <c r="M108" s="416">
        <f>"COMMENT ON COLUMN PG_SILVER."&amp;G108&amp;"."&amp;H108&amp;" IS '"&amp;K108&amp;"';"</f>
        <v/>
      </c>
      <c r="N108" s="416" t="inlineStr">
        <is>
          <t>FROM PG_BRONZE.T24CORE_PD_PAYMENT_DUE_MV pdmv WHERE pdmv.FLAG_STATUS &lt;&gt; 'DELETE'</t>
        </is>
      </c>
    </row>
    <row r="109" ht="15" customHeight="1" s="335">
      <c r="A109" s="416" t="inlineStr">
        <is>
          <t>PG_BRONZE</t>
        </is>
      </c>
      <c r="B109" s="416" t="inlineStr">
        <is>
          <t>T24CORE_PD_PAYMENT_DUE_MV</t>
        </is>
      </c>
      <c r="C109" s="416" t="inlineStr">
        <is>
          <t>ORIGINAL_MAT</t>
        </is>
      </c>
      <c r="D109" s="416" t="inlineStr">
        <is>
          <t>TO_DATE(CAST(pdmv.ORIGINAL_MAT AS VARCHAR(20)), 'YYYYMMDD')</t>
        </is>
      </c>
      <c r="E109" s="416" t="inlineStr">
        <is>
          <t>Schedule Lich Tra No</t>
        </is>
      </c>
      <c r="F109" s="416" t="inlineStr">
        <is>
          <t>Original Mat</t>
        </is>
      </c>
      <c r="G109" s="416" t="inlineStr">
        <is>
          <t>sk_lich_tra_no</t>
        </is>
      </c>
      <c r="H109" s="416" t="inlineStr">
        <is>
          <t>ORIGINAL_MAT</t>
        </is>
      </c>
      <c r="I109" s="482" t="inlineStr">
        <is>
          <t>DATE</t>
        </is>
      </c>
      <c r="J109" s="482" t="n"/>
      <c r="K109" s="416" t="inlineStr">
        <is>
          <t>Ngày đáo hạn gốc</t>
        </is>
      </c>
      <c r="L109" s="416" t="n"/>
      <c r="M109" s="416">
        <f>"COMMENT ON COLUMN PG_SILVER."&amp;G109&amp;"."&amp;H109&amp;" IS '"&amp;K109&amp;"';"</f>
        <v/>
      </c>
      <c r="N109" s="416" t="inlineStr">
        <is>
          <t>FROM PG_BRONZE.T24CORE_PD_PAYMENT_DUE_MV pdmv WHERE pdmv.FLAG_STATUS &lt;&gt; 'DELETE'</t>
        </is>
      </c>
    </row>
    <row r="110" ht="15" customHeight="1" s="335">
      <c r="A110" s="416" t="inlineStr">
        <is>
          <t>PG_BRONZE</t>
        </is>
      </c>
      <c r="B110" s="416" t="inlineStr">
        <is>
          <t>T24CORE_PD_PAYMENT_DUE_MV</t>
        </is>
      </c>
      <c r="C110" s="416" t="inlineStr">
        <is>
          <t>PAY_AMT_OUTS</t>
        </is>
      </c>
      <c r="D110" s="416" t="inlineStr">
        <is>
          <t>COALESCE(CAST(pdmv.PAY_AMT_OUTS AS DECIMAL(25,5)), 0)</t>
        </is>
      </c>
      <c r="E110" s="416" t="inlineStr">
        <is>
          <t>Schedule Lich Tra No</t>
        </is>
      </c>
      <c r="F110" s="416" t="inlineStr">
        <is>
          <t>Pay Amt Outs</t>
        </is>
      </c>
      <c r="G110" s="416" t="inlineStr">
        <is>
          <t>sk_lich_tra_no</t>
        </is>
      </c>
      <c r="H110" s="416" t="inlineStr">
        <is>
          <t>PAY_AMT_OUTS</t>
        </is>
      </c>
      <c r="I110" s="482" t="inlineStr">
        <is>
          <t>NUMBER</t>
        </is>
      </c>
      <c r="J110" s="482" t="n">
        <v>25.5</v>
      </c>
      <c r="K110" s="416" t="inlineStr">
        <is>
          <t>Số tiền còn lại chưa thanh toán</t>
        </is>
      </c>
      <c r="L110" s="416" t="n"/>
      <c r="M110" s="416">
        <f>"COMMENT ON COLUMN PG_SILVER."&amp;G110&amp;"."&amp;H110&amp;" IS '"&amp;K110&amp;"';"</f>
        <v/>
      </c>
      <c r="N110" s="416" t="inlineStr">
        <is>
          <t>FROM PG_BRONZE.T24CORE_PD_PAYMENT_DUE_MV pdmv WHERE pdmv.FLAG_STATUS &lt;&gt; 'DELETE'</t>
        </is>
      </c>
    </row>
    <row r="111" ht="15" customHeight="1" s="335">
      <c r="A111" s="416" t="inlineStr">
        <is>
          <t>PG_BRONZE</t>
        </is>
      </c>
      <c r="B111" s="416" t="inlineStr">
        <is>
          <t>T24CORE_PD_PAYMENT_DUE_MV</t>
        </is>
      </c>
      <c r="C111" s="416" t="inlineStr">
        <is>
          <t>PAY_TYPE</t>
        </is>
      </c>
      <c r="D111" s="416" t="inlineStr">
        <is>
          <t>TRIM(pdmv.PAY_TYPE)</t>
        </is>
      </c>
      <c r="E111" s="416" t="inlineStr">
        <is>
          <t>Schedule Lich Tra No</t>
        </is>
      </c>
      <c r="F111" s="416" t="inlineStr">
        <is>
          <t>Pay Type</t>
        </is>
      </c>
      <c r="G111" s="416" t="inlineStr">
        <is>
          <t>sk_lich_tra_no</t>
        </is>
      </c>
      <c r="H111" s="416" t="inlineStr">
        <is>
          <t>PAY_TYPE</t>
        </is>
      </c>
      <c r="I111" s="482" t="inlineStr">
        <is>
          <t>VARCHAR2</t>
        </is>
      </c>
      <c r="J111" s="482" t="n">
        <v>100</v>
      </c>
      <c r="K111" s="416" t="inlineStr">
        <is>
          <t>Loại hình thanh toán</t>
        </is>
      </c>
      <c r="L111" s="416" t="n"/>
      <c r="M111" s="416">
        <f>"COMMENT ON COLUMN PG_SILVER."&amp;G111&amp;"."&amp;H111&amp;" IS '"&amp;K111&amp;"';"</f>
        <v/>
      </c>
      <c r="N111" s="416" t="inlineStr">
        <is>
          <t>FROM PG_BRONZE.T24CORE_PD_PAYMENT_DUE_MV pdmv WHERE pdmv.FLAG_STATUS &lt;&gt; 'DELETE'</t>
        </is>
      </c>
    </row>
    <row r="112" ht="15" customHeight="1" s="335">
      <c r="A112" s="416" t="inlineStr">
        <is>
          <t>PG_BRONZE</t>
        </is>
      </c>
      <c r="B112" s="416" t="inlineStr">
        <is>
          <t>T24CORE_PD_PAYMENT_DUE_MV</t>
        </is>
      </c>
      <c r="C112" s="416" t="inlineStr">
        <is>
          <t>PAYMENT_DTE_DUE</t>
        </is>
      </c>
      <c r="D112" s="416" t="inlineStr">
        <is>
          <t>TO_DATE(CAST(pdmv.PAYMENT_DTE_DUE AS VARCHAR(20)), 'YYYYMMDD')</t>
        </is>
      </c>
      <c r="E112" s="416" t="inlineStr">
        <is>
          <t>Schedule Lich Tra No</t>
        </is>
      </c>
      <c r="F112" s="416" t="inlineStr">
        <is>
          <t>Payment Dte Due</t>
        </is>
      </c>
      <c r="G112" s="416" t="inlineStr">
        <is>
          <t>sk_lich_tra_no</t>
        </is>
      </c>
      <c r="H112" s="416" t="inlineStr">
        <is>
          <t>PAYMENT_DTE_DUE</t>
        </is>
      </c>
      <c r="I112" s="482" t="inlineStr">
        <is>
          <t>DATE</t>
        </is>
      </c>
      <c r="J112" s="482" t="n"/>
      <c r="K112" s="416" t="inlineStr">
        <is>
          <t>Hạn thanh toán</t>
        </is>
      </c>
      <c r="L112" s="416" t="n"/>
      <c r="M112" s="416">
        <f>"COMMENT ON COLUMN PG_SILVER."&amp;G112&amp;"."&amp;H112&amp;" IS '"&amp;K112&amp;"';"</f>
        <v/>
      </c>
      <c r="N112" s="416" t="inlineStr">
        <is>
          <t>FROM PG_BRONZE.T24CORE_PD_PAYMENT_DUE_MV pdmv WHERE pdmv.FLAG_STATUS &lt;&gt; 'DELETE'</t>
        </is>
      </c>
    </row>
    <row r="113" ht="15" customHeight="1" s="335">
      <c r="A113" s="416" t="inlineStr">
        <is>
          <t>PG_BRONZE</t>
        </is>
      </c>
      <c r="B113" s="416" t="inlineStr">
        <is>
          <t>T24CORE_PD_PAYMENT_DUE_MV</t>
        </is>
      </c>
      <c r="C113" s="416" t="inlineStr">
        <is>
          <t>PD_TYPE</t>
        </is>
      </c>
      <c r="D113" s="416" t="inlineStr">
        <is>
          <t>TRIM(pdmv.PD_TYPE)</t>
        </is>
      </c>
      <c r="E113" s="416" t="inlineStr">
        <is>
          <t>Schedule Lich Tra No</t>
        </is>
      </c>
      <c r="F113" s="416" t="inlineStr">
        <is>
          <t>Pd Type</t>
        </is>
      </c>
      <c r="G113" s="416" t="inlineStr">
        <is>
          <t>sk_lich_tra_no</t>
        </is>
      </c>
      <c r="H113" s="416" t="inlineStr">
        <is>
          <t>PD_TYPE</t>
        </is>
      </c>
      <c r="I113" s="482" t="inlineStr">
        <is>
          <t>VARCHAR2</t>
        </is>
      </c>
      <c r="J113" s="482" t="n">
        <v>100</v>
      </c>
      <c r="K113" s="416" t="inlineStr">
        <is>
          <t>Loại sản phẩm</t>
        </is>
      </c>
      <c r="L113" s="416" t="n"/>
      <c r="M113" s="416">
        <f>"COMMENT ON COLUMN PG_SILVER."&amp;G113&amp;"."&amp;H113&amp;" IS '"&amp;K113&amp;"';"</f>
        <v/>
      </c>
      <c r="N113" s="416" t="inlineStr">
        <is>
          <t>FROM PG_BRONZE.T24CORE_PD_PAYMENT_DUE_MV pdmv WHERE pdmv.FLAG_STATUS &lt;&gt; 'DELETE'</t>
        </is>
      </c>
    </row>
    <row r="114" ht="15" customHeight="1" s="335">
      <c r="A114" s="416" t="inlineStr">
        <is>
          <t>PG_BRONZE</t>
        </is>
      </c>
      <c r="B114" s="416" t="inlineStr">
        <is>
          <t>T24CORE_PD_PAYMENT_DUE_MV</t>
        </is>
      </c>
      <c r="C114" s="416" t="inlineStr">
        <is>
          <t>PE_RATE</t>
        </is>
      </c>
      <c r="D114" s="416" t="inlineStr">
        <is>
          <t>COALESCE(CAST(pdmv.PE_RATE AS DECIMAL(13,7)), 0)</t>
        </is>
      </c>
      <c r="E114" s="416" t="inlineStr">
        <is>
          <t>Schedule Lich Tra No</t>
        </is>
      </c>
      <c r="F114" s="416" t="inlineStr">
        <is>
          <t>Pe Rate</t>
        </is>
      </c>
      <c r="G114" s="416" t="inlineStr">
        <is>
          <t>sk_lich_tra_no</t>
        </is>
      </c>
      <c r="H114" s="416" t="inlineStr">
        <is>
          <t>PE_RATE</t>
        </is>
      </c>
      <c r="I114" s="482" t="inlineStr">
        <is>
          <t>NUMBER</t>
        </is>
      </c>
      <c r="J114" s="482" t="n">
        <v>13.7</v>
      </c>
      <c r="K114" s="416" t="inlineStr">
        <is>
          <t>Lãi phạt penalty rate</t>
        </is>
      </c>
      <c r="L114" s="416" t="n"/>
      <c r="M114" s="416">
        <f>"COMMENT ON COLUMN PG_SILVER."&amp;G114&amp;"."&amp;H114&amp;" IS '"&amp;K114&amp;"';"</f>
        <v/>
      </c>
      <c r="N114" s="416" t="inlineStr">
        <is>
          <t>FROM PG_BRONZE.T24CORE_PD_PAYMENT_DUE_MV pdmv WHERE pdmv.FLAG_STATUS &lt;&gt; 'DELETE'</t>
        </is>
      </c>
    </row>
    <row r="115" ht="15" customHeight="1" s="335">
      <c r="A115" s="416" t="inlineStr">
        <is>
          <t>PG_BRONZE</t>
        </is>
      </c>
      <c r="B115" s="416" t="inlineStr">
        <is>
          <t>T24CORE_PD_PAYMENT_DUE_MV</t>
        </is>
      </c>
      <c r="C115" s="416" t="inlineStr">
        <is>
          <t>PENALTY_RATE</t>
        </is>
      </c>
      <c r="D115" s="416" t="inlineStr">
        <is>
          <t>COALESCE(CAST(pdmv.PENALTY_RATE AS DECIMAL(13,7)), 0)</t>
        </is>
      </c>
      <c r="E115" s="416" t="inlineStr">
        <is>
          <t>Schedule Lich Tra No</t>
        </is>
      </c>
      <c r="F115" s="416" t="inlineStr">
        <is>
          <t>Penalty Rate</t>
        </is>
      </c>
      <c r="G115" s="416" t="inlineStr">
        <is>
          <t>sk_lich_tra_no</t>
        </is>
      </c>
      <c r="H115" s="416" t="inlineStr">
        <is>
          <t>PENALTY_RATE</t>
        </is>
      </c>
      <c r="I115" s="482" t="inlineStr">
        <is>
          <t>NUMBER</t>
        </is>
      </c>
      <c r="J115" s="482" t="n">
        <v>13.7</v>
      </c>
      <c r="K115" s="416" t="inlineStr">
        <is>
          <t>Lãi suất phạt quá hạn danh nghĩa (Multi-value)</t>
        </is>
      </c>
      <c r="L115" s="416" t="n"/>
      <c r="M115" s="416">
        <f>"COMMENT ON COLUMN PG_SILVER."&amp;G115&amp;"."&amp;H115&amp;" IS '"&amp;K115&amp;"';"</f>
        <v/>
      </c>
      <c r="N115" s="416" t="inlineStr">
        <is>
          <t>FROM PG_BRONZE.T24CORE_PD_PAYMENT_DUE_MV pdmv WHERE pdmv.FLAG_STATUS &lt;&gt; 'DELETE'</t>
        </is>
      </c>
    </row>
    <row r="116" ht="15" customHeight="1" s="335">
      <c r="A116" s="416" t="inlineStr">
        <is>
          <t>PG_BRONZE</t>
        </is>
      </c>
      <c r="B116" s="416" t="inlineStr">
        <is>
          <t>T24CORE_PD_PAYMENT_DUE_MV</t>
        </is>
      </c>
      <c r="C116" s="416" t="inlineStr">
        <is>
          <t>RECID</t>
        </is>
      </c>
      <c r="D116" s="416" t="inlineStr">
        <is>
          <t>TRIM(pdmv.RECID)</t>
        </is>
      </c>
      <c r="E116" s="416" t="inlineStr">
        <is>
          <t>Schedule Lich Tra No</t>
        </is>
      </c>
      <c r="F116" s="416" t="inlineStr">
        <is>
          <t>Recid</t>
        </is>
      </c>
      <c r="G116" s="416" t="inlineStr">
        <is>
          <t>sk_lich_tra_no</t>
        </is>
      </c>
      <c r="H116" s="416" t="inlineStr">
        <is>
          <t>RECID</t>
        </is>
      </c>
      <c r="I116" s="482" t="inlineStr">
        <is>
          <t>VARCHAR2</t>
        </is>
      </c>
      <c r="J116" s="482" t="n">
        <v>100</v>
      </c>
      <c r="K116" s="416" t="inlineStr">
        <is>
          <t>Key bản ghi</t>
        </is>
      </c>
      <c r="L116" s="416" t="n"/>
      <c r="M116" s="416">
        <f>"COMMENT ON COLUMN PG_SILVER."&amp;G116&amp;"."&amp;H116&amp;" IS '"&amp;K116&amp;"';"</f>
        <v/>
      </c>
      <c r="N116" s="416" t="inlineStr">
        <is>
          <t>FROM PG_BRONZE.T24CORE_PD_PAYMENT_DUE_MV pdmv WHERE pdmv.FLAG_STATUS &lt;&gt; 'DELETE'</t>
        </is>
      </c>
    </row>
    <row r="117" ht="15" customHeight="1" s="335">
      <c r="A117" s="416" t="inlineStr">
        <is>
          <t>PG_BRONZE</t>
        </is>
      </c>
      <c r="B117" s="416" t="inlineStr">
        <is>
          <t>T24CORE_PD_PAYMENT_DUE_MV</t>
        </is>
      </c>
      <c r="C117" s="416" t="inlineStr">
        <is>
          <t>RECORD_STATUS</t>
        </is>
      </c>
      <c r="D117" s="416" t="inlineStr">
        <is>
          <t>TRIM(pdmv.RECORD_STATUS)</t>
        </is>
      </c>
      <c r="E117" s="416" t="inlineStr">
        <is>
          <t>Schedule Lich Tra No</t>
        </is>
      </c>
      <c r="F117" s="416" t="inlineStr">
        <is>
          <t>Record Status</t>
        </is>
      </c>
      <c r="G117" s="416" t="inlineStr">
        <is>
          <t>sk_lich_tra_no</t>
        </is>
      </c>
      <c r="H117" s="416" t="inlineStr">
        <is>
          <t>RECORD_STATUS</t>
        </is>
      </c>
      <c r="I117" s="482" t="inlineStr">
        <is>
          <t>VARCHAR2</t>
        </is>
      </c>
      <c r="J117" s="482" t="n">
        <v>100</v>
      </c>
      <c r="K117" s="416" t="inlineStr">
        <is>
          <t>Trạng thái bản ghi</t>
        </is>
      </c>
      <c r="L117" s="416" t="n"/>
      <c r="M117" s="416">
        <f>"COMMENT ON COLUMN PG_SILVER."&amp;G117&amp;"."&amp;H117&amp;" IS '"&amp;K117&amp;"';"</f>
        <v/>
      </c>
      <c r="N117" s="416" t="inlineStr">
        <is>
          <t>FROM PG_BRONZE.T24CORE_PD_PAYMENT_DUE_MV pdmv WHERE pdmv.FLAG_STATUS &lt;&gt; 'DELETE'</t>
        </is>
      </c>
    </row>
    <row r="118" ht="15" customHeight="1" s="335">
      <c r="A118" s="416" t="inlineStr">
        <is>
          <t>PG_BRONZE</t>
        </is>
      </c>
      <c r="B118" s="416" t="inlineStr">
        <is>
          <t>T24CORE_PD_PAYMENT_DUE_MV</t>
        </is>
      </c>
      <c r="C118" s="416" t="inlineStr">
        <is>
          <t>REPAID_AMT</t>
        </is>
      </c>
      <c r="D118" s="416" t="inlineStr">
        <is>
          <t>COALESCE(CAST(pdmv.REPAID_AMT AS DECIMAL(25,5)), 0)</t>
        </is>
      </c>
      <c r="E118" s="416" t="inlineStr">
        <is>
          <t>Schedule Lich Tra No</t>
        </is>
      </c>
      <c r="F118" s="416" t="inlineStr">
        <is>
          <t>Repaid Amt</t>
        </is>
      </c>
      <c r="G118" s="416" t="inlineStr">
        <is>
          <t>sk_lich_tra_no</t>
        </is>
      </c>
      <c r="H118" s="416" t="inlineStr">
        <is>
          <t>REPAID_AMT</t>
        </is>
      </c>
      <c r="I118" s="482" t="inlineStr">
        <is>
          <t>NUMBER</t>
        </is>
      </c>
      <c r="J118" s="482" t="n">
        <v>25.5</v>
      </c>
      <c r="K118" s="416" t="inlineStr">
        <is>
          <t>Số tiền đã trả</t>
        </is>
      </c>
      <c r="L118" s="416" t="n"/>
      <c r="M118" s="416">
        <f>"COMMENT ON COLUMN PG_SILVER."&amp;G118&amp;"."&amp;H118&amp;" IS '"&amp;K118&amp;"';"</f>
        <v/>
      </c>
      <c r="N118" s="416" t="inlineStr">
        <is>
          <t>FROM PG_BRONZE.T24CORE_PD_PAYMENT_DUE_MV pdmv WHERE pdmv.FLAG_STATUS &lt;&gt; 'DELETE'</t>
        </is>
      </c>
    </row>
    <row r="119" ht="15" customHeight="1" s="335">
      <c r="A119" s="416" t="inlineStr">
        <is>
          <t>PG_BRONZE</t>
        </is>
      </c>
      <c r="B119" s="416" t="inlineStr">
        <is>
          <t>T24CORE_PD_PAYMENT_DUE_MV</t>
        </is>
      </c>
      <c r="C119" s="416" t="inlineStr">
        <is>
          <t>REPAYMENT_ACCT</t>
        </is>
      </c>
      <c r="D119" s="416" t="inlineStr">
        <is>
          <t>TRIM(pdmv.REPAYMENT_ACCT)</t>
        </is>
      </c>
      <c r="E119" s="416" t="inlineStr">
        <is>
          <t>Schedule Lich Tra No</t>
        </is>
      </c>
      <c r="F119" s="416" t="inlineStr">
        <is>
          <t>Repayment Acct</t>
        </is>
      </c>
      <c r="G119" s="416" t="inlineStr">
        <is>
          <t>sk_lich_tra_no</t>
        </is>
      </c>
      <c r="H119" s="416" t="inlineStr">
        <is>
          <t>REPAYMENT_ACCT</t>
        </is>
      </c>
      <c r="I119" s="482" t="inlineStr">
        <is>
          <t>VARCHAR2</t>
        </is>
      </c>
      <c r="J119" s="482" t="n">
        <v>100</v>
      </c>
      <c r="K119" s="416" t="inlineStr">
        <is>
          <t>Số tài khoản thanh toán</t>
        </is>
      </c>
      <c r="L119" s="416" t="n"/>
      <c r="M119" s="416">
        <f>"COMMENT ON COLUMN PG_SILVER."&amp;G119&amp;"."&amp;H119&amp;" IS '"&amp;K119&amp;"';"</f>
        <v/>
      </c>
      <c r="N119" s="416" t="inlineStr">
        <is>
          <t>LEFT JOIN PG_BRONZE.T24CORE_CUSTOMER cus ON COALESCE(pdmv.CUSTOMER, pd.CUSTOMER, ld.CUSTOMER_ID) = cus.RECID LEFT JOIN PG_BRONZE.T24CORE_SECTOR sec ON cus.SECTOR = sec.RECID</t>
        </is>
      </c>
    </row>
    <row r="120" ht="15" customHeight="1" s="335">
      <c r="A120" s="416" t="inlineStr">
        <is>
          <t>PG_BRONZE</t>
        </is>
      </c>
      <c r="B120" s="416" t="inlineStr">
        <is>
          <t>T24CORE_SECTOR</t>
        </is>
      </c>
      <c r="C120" s="416" t="inlineStr">
        <is>
          <t>CUSTOMER_TYPE</t>
        </is>
      </c>
      <c r="D120" s="416" t="inlineStr">
        <is>
          <t>TRIM(sec.CUSTOMER_TYPE)</t>
        </is>
      </c>
      <c r="E120" s="416" t="inlineStr">
        <is>
          <t>Schedule Lich Tra No</t>
        </is>
      </c>
      <c r="F120" s="416" t="inlineStr">
        <is>
          <t>Customer Type</t>
        </is>
      </c>
      <c r="G120" s="416" t="inlineStr">
        <is>
          <t>sk_lich_tra_no</t>
        </is>
      </c>
      <c r="H120" s="416" t="inlineStr">
        <is>
          <t>CUSTOMER_TYPE</t>
        </is>
      </c>
      <c r="I120" s="482" t="inlineStr">
        <is>
          <t>VARCHAR2</t>
        </is>
      </c>
      <c r="J120" s="482" t="n">
        <v>100</v>
      </c>
      <c r="K120" s="416" t="inlineStr">
        <is>
          <t>Loại khách hàng</t>
        </is>
      </c>
      <c r="L120" s="416" t="n"/>
      <c r="M120" s="416">
        <f>"COMMENT ON COLUMN PG_SILVER."&amp;G120&amp;"."&amp;H120&amp;" IS '"&amp;K120&amp;"';"</f>
        <v/>
      </c>
      <c r="N120" s="416" t="inlineStr">
        <is>
          <t>LEFT JOIN PG_BRONZE.T24CORE_CUSTOMER cus ON COALESCE(pdmv.CUSTOMER, pd.CUSTOMER, ld.CUSTOMER_ID) = cus.RECID LEFT JOIN PG_BRONZE.T24CORE_SECTOR sec ON cus.SECTOR = sec.RECID</t>
        </is>
      </c>
    </row>
    <row r="121" ht="15" customHeight="1" s="335">
      <c r="A121" s="416" t="inlineStr">
        <is>
          <t>PG_BRONZE</t>
        </is>
      </c>
      <c r="B121" s="416" t="inlineStr">
        <is>
          <t>T24CORE_SECTOR</t>
        </is>
      </c>
      <c r="C121" s="416" t="inlineStr">
        <is>
          <t>RECID</t>
        </is>
      </c>
      <c r="D121" s="416" t="inlineStr">
        <is>
          <t>TRIM(sec.RECID)</t>
        </is>
      </c>
      <c r="E121" s="416" t="inlineStr">
        <is>
          <t>Schedule Lich Tra No</t>
        </is>
      </c>
      <c r="F121" s="416" t="inlineStr">
        <is>
          <t>Sec Recid</t>
        </is>
      </c>
      <c r="G121" s="416" t="inlineStr">
        <is>
          <t>sk_lich_tra_no</t>
        </is>
      </c>
      <c r="H121" s="416" t="inlineStr">
        <is>
          <t>SEC_RECID</t>
        </is>
      </c>
      <c r="I121" s="482" t="inlineStr">
        <is>
          <t>VARCHAR2</t>
        </is>
      </c>
      <c r="J121" s="482" t="n">
        <v>100</v>
      </c>
      <c r="K121" s="416" t="inlineStr">
        <is>
          <t>Mã định danh</t>
        </is>
      </c>
      <c r="L121" s="416" t="n"/>
      <c r="M121" s="416">
        <f>"COMMENT ON COLUMN PG_SILVER."&amp;G121&amp;"."&amp;H121&amp;" IS '"&amp;K121&amp;"';"</f>
        <v/>
      </c>
      <c r="N121" s="416" t="inlineStr">
        <is>
          <t>LEFT JOIN PG_BRONZE.T24CORE_SECTOR sec ON cus.SECTOR = sec.RECID</t>
        </is>
      </c>
    </row>
    <row r="122" ht="15" customHeight="1" s="335">
      <c r="A122" s="416" t="inlineStr">
        <is>
          <t>PG_BRONZE</t>
        </is>
      </c>
      <c r="B122" s="416" t="inlineStr">
        <is>
          <t>T24CORE_STMT_ENTRY</t>
        </is>
      </c>
      <c r="C122" s="416" t="inlineStr">
        <is>
          <t>AMOUNT_FCY</t>
        </is>
      </c>
      <c r="D122" s="416" t="inlineStr">
        <is>
          <t>COALESCE(CAST(stmt.AMOUNT_FCY AS DECIMAL(25,5)), 0)</t>
        </is>
      </c>
      <c r="E122" s="416" t="inlineStr">
        <is>
          <t>Schedule Lich Tra No</t>
        </is>
      </c>
      <c r="F122" s="416" t="inlineStr">
        <is>
          <t>Amount Fcy</t>
        </is>
      </c>
      <c r="G122" s="416" t="inlineStr">
        <is>
          <t>sk_lich_tra_no</t>
        </is>
      </c>
      <c r="H122" s="416" t="inlineStr">
        <is>
          <t>AMOUNT_FCY</t>
        </is>
      </c>
      <c r="I122" s="482" t="inlineStr">
        <is>
          <t>NUMBER</t>
        </is>
      </c>
      <c r="J122" s="482" t="n">
        <v>25.5</v>
      </c>
      <c r="K122" s="416" t="inlineStr">
        <is>
          <t>Dư nợ nguyên tệ</t>
        </is>
      </c>
      <c r="L122" s="416" t="n"/>
      <c r="M122" s="416">
        <f>"COMMENT ON COLUMN PG_SILVER."&amp;G122&amp;"."&amp;H122&amp;" IS '"&amp;K122&amp;"';"</f>
        <v/>
      </c>
      <c r="N122" s="416" t="inlineStr">
        <is>
          <t>LEFT JOIN PG_BRONZE.T24CORE_STMT_ENTRY stmt ON SUBSTR(pdmv.RECID, 3) = SUBSTR(stmt.OUR_REFERENCE, 3) AND stmt.BOOKING_DATE = ${ETL_DATE}</t>
        </is>
      </c>
    </row>
    <row r="123" ht="15" customHeight="1" s="335">
      <c r="A123" s="416" t="inlineStr">
        <is>
          <t>PG_BRONZE</t>
        </is>
      </c>
      <c r="B123" s="416" t="inlineStr">
        <is>
          <t>T24CORE_STMT_ENTRY</t>
        </is>
      </c>
      <c r="C123" s="416" t="inlineStr">
        <is>
          <t>AMOUNT_LCY</t>
        </is>
      </c>
      <c r="D123" s="416" t="inlineStr">
        <is>
          <t>COALESCE(CAST(stmt.AMOUNT_LCY AS DECIMAL(25,5)), 0)</t>
        </is>
      </c>
      <c r="E123" s="416" t="inlineStr">
        <is>
          <t>Schedule Lich Tra No</t>
        </is>
      </c>
      <c r="F123" s="416" t="inlineStr">
        <is>
          <t>Amount Lcy</t>
        </is>
      </c>
      <c r="G123" s="416" t="inlineStr">
        <is>
          <t>sk_lich_tra_no</t>
        </is>
      </c>
      <c r="H123" s="416" t="inlineStr">
        <is>
          <t>AMOUNT_LCY</t>
        </is>
      </c>
      <c r="I123" s="482" t="inlineStr">
        <is>
          <t>NUMBER</t>
        </is>
      </c>
      <c r="J123" s="482" t="n">
        <v>25.5</v>
      </c>
      <c r="K123" s="416" t="inlineStr">
        <is>
          <t>Dư nợ quy đổi</t>
        </is>
      </c>
      <c r="L123" s="416" t="n"/>
      <c r="M123" s="416">
        <f>"COMMENT ON COLUMN PG_SILVER."&amp;G123&amp;"."&amp;H123&amp;" IS '"&amp;K123&amp;"';"</f>
        <v/>
      </c>
      <c r="N123" s="416" t="inlineStr">
        <is>
          <t>LEFT JOIN PG_BRONZE.T24CORE_STMT_ENTRY stmt ON SUBSTR(pdmv.RECID, 3) = SUBSTR(stmt.OUR_REFERENCE, 3) AND stmt.BOOKING_DATE = ${ETL_DATE}</t>
        </is>
      </c>
    </row>
    <row r="124" ht="15" customHeight="1" s="335">
      <c r="A124" s="416" t="inlineStr">
        <is>
          <t>PG_BRONZE</t>
        </is>
      </c>
      <c r="B124" s="416" t="inlineStr">
        <is>
          <t>T24CORE_STMT_ENTRY</t>
        </is>
      </c>
      <c r="C124" s="416" t="inlineStr">
        <is>
          <t>BOOKING_DATE</t>
        </is>
      </c>
      <c r="D124" s="416" t="inlineStr">
        <is>
          <t>TO_DATE(CAST(stmt.BOOKING_DATE AS VARCHAR(20)), 'YYYYMMDD')</t>
        </is>
      </c>
      <c r="E124" s="416" t="inlineStr">
        <is>
          <t>Schedule Lich Tra No</t>
        </is>
      </c>
      <c r="F124" s="416" t="inlineStr">
        <is>
          <t>Booking Date</t>
        </is>
      </c>
      <c r="G124" s="416" t="inlineStr">
        <is>
          <t>sk_lich_tra_no</t>
        </is>
      </c>
      <c r="H124" s="416" t="inlineStr">
        <is>
          <t>BOOKING_DATE</t>
        </is>
      </c>
      <c r="I124" s="482" t="inlineStr">
        <is>
          <t>DATE</t>
        </is>
      </c>
      <c r="J124" s="482" t="n"/>
      <c r="K124" s="416" t="inlineStr">
        <is>
          <t>Ngay but toan ghi nhan vao he thong</t>
        </is>
      </c>
      <c r="L124" s="416" t="n"/>
      <c r="M124" s="416">
        <f>"COMMENT ON COLUMN PG_SILVER."&amp;G124&amp;"."&amp;H124&amp;" IS '"&amp;K124&amp;"';"</f>
        <v/>
      </c>
      <c r="N124" s="416" t="inlineStr">
        <is>
          <t>LEFT JOIN PG_BRONZE.T24CORE_STMT_ENTRY stmt ON SUBSTR(pdmv.RECID, 3) = SUBSTR(stmt.OUR_REFERENCE, 3) AND stmt.BOOKING_DATE = ${ETL_DATE}</t>
        </is>
      </c>
    </row>
    <row r="125" ht="15" customHeight="1" s="335">
      <c r="A125" s="416" t="inlineStr">
        <is>
          <t>PG_BRONZE</t>
        </is>
      </c>
      <c r="B125" s="416" t="inlineStr">
        <is>
          <t>T24CORE_STMT_ENTRY</t>
        </is>
      </c>
      <c r="C125" s="416" t="inlineStr">
        <is>
          <t>CURRENCY</t>
        </is>
      </c>
      <c r="D125" s="416" t="inlineStr">
        <is>
          <t>TRIM(stmt.CURRENCY)</t>
        </is>
      </c>
      <c r="E125" s="416" t="inlineStr">
        <is>
          <t>Schedule Lich Tra No</t>
        </is>
      </c>
      <c r="F125" s="416" t="inlineStr">
        <is>
          <t>Stmt Currency</t>
        </is>
      </c>
      <c r="G125" s="416" t="inlineStr">
        <is>
          <t>sk_lich_tra_no</t>
        </is>
      </c>
      <c r="H125" s="416" t="inlineStr">
        <is>
          <t>STMT_CURRENCY</t>
        </is>
      </c>
      <c r="I125" s="482" t="inlineStr">
        <is>
          <t>VARCHAR2</t>
        </is>
      </c>
      <c r="J125" s="482" t="n">
        <v>100</v>
      </c>
      <c r="K125" s="416" t="inlineStr">
        <is>
          <t>Loai tien but toan</t>
        </is>
      </c>
      <c r="L125" s="416" t="n"/>
      <c r="M125" s="416">
        <f>"COMMENT ON COLUMN PG_SILVER."&amp;G125&amp;"."&amp;H125&amp;" IS '"&amp;K125&amp;"';"</f>
        <v/>
      </c>
      <c r="N125" s="416" t="inlineStr">
        <is>
          <t>LEFT JOIN PG_BRONZE.T24CORE_STMT_ENTRY stmt ON SUBSTR(pdmv.RECID, 3) = SUBSTR(stmt.OUR_REFERENCE, 3) AND stmt.BOOKING_DATE = ${ETL_DATE}</t>
        </is>
      </c>
    </row>
    <row r="126" ht="15" customHeight="1" s="335">
      <c r="A126" s="416" t="inlineStr">
        <is>
          <t>PG_BRONZE</t>
        </is>
      </c>
      <c r="B126" s="416" t="inlineStr">
        <is>
          <t>T24CORE_STMT_ENTRY</t>
        </is>
      </c>
      <c r="C126" s="416" t="inlineStr">
        <is>
          <t>OUR_REFERENCE</t>
        </is>
      </c>
      <c r="D126" s="416" t="inlineStr">
        <is>
          <t>TRIM(stmt.OUR_REFERENCE)</t>
        </is>
      </c>
      <c r="E126" s="416" t="inlineStr">
        <is>
          <t>Schedule Lich Tra No</t>
        </is>
      </c>
      <c r="F126" s="416" t="inlineStr">
        <is>
          <t>Our Reference</t>
        </is>
      </c>
      <c r="G126" s="416" t="inlineStr">
        <is>
          <t>sk_lich_tra_no</t>
        </is>
      </c>
      <c r="H126" s="416" t="inlineStr">
        <is>
          <t>OUR_REFERENCE</t>
        </is>
      </c>
      <c r="I126" s="482" t="inlineStr">
        <is>
          <t>VARCHAR2</t>
        </is>
      </c>
      <c r="J126" s="482" t="n">
        <v>100</v>
      </c>
      <c r="K126" s="416" t="inlineStr">
        <is>
          <t>Ma tham chieu</t>
        </is>
      </c>
      <c r="L126" s="416" t="n"/>
      <c r="M126" s="416">
        <f>"COMMENT ON COLUMN PG_SILVER."&amp;G126&amp;"."&amp;H126&amp;" IS '"&amp;K126&amp;"';"</f>
        <v/>
      </c>
      <c r="N126" s="416" t="inlineStr">
        <is>
          <t>LEFT JOIN PG_BRONZE.T24CORE_STMT_ENTRY stmt ON SUBSTR(pdmv.RECID, 3) = SUBSTR(stmt.OUR_REFERENCE, 3) AND stmt.BOOKING_DATE = ${ETL_DATE}</t>
        </is>
      </c>
    </row>
    <row r="127" ht="15" customHeight="1" s="335">
      <c r="A127" s="416" t="inlineStr">
        <is>
          <t>PG_BRONZE</t>
        </is>
      </c>
      <c r="B127" s="416" t="inlineStr">
        <is>
          <t>T24CORE_STMT_ENTRY</t>
        </is>
      </c>
      <c r="C127" s="416" t="inlineStr">
        <is>
          <t>RECID</t>
        </is>
      </c>
      <c r="D127" s="416" t="inlineStr">
        <is>
          <t>TRIM(stmt.RECID)</t>
        </is>
      </c>
      <c r="E127" s="416" t="inlineStr">
        <is>
          <t>Schedule Lich Tra No</t>
        </is>
      </c>
      <c r="F127" s="416" t="inlineStr">
        <is>
          <t>Stmt Recid</t>
        </is>
      </c>
      <c r="G127" s="416" t="inlineStr">
        <is>
          <t>sk_lich_tra_no</t>
        </is>
      </c>
      <c r="H127" s="416" t="inlineStr">
        <is>
          <t>STMT_RECID</t>
        </is>
      </c>
      <c r="I127" s="482" t="inlineStr">
        <is>
          <t>VARCHAR2</t>
        </is>
      </c>
      <c r="J127" s="482" t="n">
        <v>100</v>
      </c>
      <c r="K127" s="416" t="inlineStr">
        <is>
          <t>Mã giao dịch, Unique ID</t>
        </is>
      </c>
      <c r="L127" s="416" t="n"/>
      <c r="M127" s="416">
        <f>"COMMENT ON COLUMN PG_SILVER."&amp;G127&amp;"."&amp;H127&amp;" IS '"&amp;K127&amp;"';"</f>
        <v/>
      </c>
      <c r="N127" s="416" t="inlineStr">
        <is>
          <t>LEFT JOIN PG_BRONZE.T24CORE_STMT_ENTRY stmt ON SUBSTR(pdmv.RECID, 3) = SUBSTR(stmt.OUR_REFERENCE, 3) AND stmt.BOOKING_DATE = ${ETL_DATE}</t>
        </is>
      </c>
    </row>
    <row r="128" ht="15" customHeight="1" s="335">
      <c r="A128" s="416" t="inlineStr">
        <is>
          <t>PG_BRONZE</t>
        </is>
      </c>
      <c r="B128" s="416" t="inlineStr">
        <is>
          <t>T24CORE_STMT_ENTRY</t>
        </is>
      </c>
      <c r="C128" s="416" t="inlineStr">
        <is>
          <t>TRANSACTION_CODE</t>
        </is>
      </c>
      <c r="D128" s="416" t="inlineStr">
        <is>
          <t>TRIM(stmt.TRANSACTION_CODE)</t>
        </is>
      </c>
      <c r="E128" s="416" t="inlineStr">
        <is>
          <t>Schedule Lich Tra No</t>
        </is>
      </c>
      <c r="F128" s="416" t="inlineStr">
        <is>
          <t>Transaction Code</t>
        </is>
      </c>
      <c r="G128" s="416" t="inlineStr">
        <is>
          <t>sk_lich_tra_no</t>
        </is>
      </c>
      <c r="H128" s="416" t="inlineStr">
        <is>
          <t>TRANSACTION_CODE</t>
        </is>
      </c>
      <c r="I128" s="482" t="inlineStr">
        <is>
          <t>VARCHAR2</t>
        </is>
      </c>
      <c r="J128" s="482" t="n">
        <v>100</v>
      </c>
      <c r="K128" s="416" t="inlineStr">
        <is>
          <t>Mã giao dịch</t>
        </is>
      </c>
      <c r="L128" s="416" t="n"/>
      <c r="M128" s="416">
        <f>"COMMENT ON COLUMN PG_SILVER."&amp;G128&amp;"."&amp;H128&amp;" IS '"&amp;K128&amp;"';"</f>
        <v/>
      </c>
      <c r="N128" s="416" t="inlineStr">
        <is>
          <t>LEFT JOIN PG_BRONZE.T24CORE_STMT_ENTRY stmt ON SUBSTR(pdmv.RECID, 3) = SUBSTR(stmt.OUR_REFERENCE, 3) AND stmt.BOOKING_DATE = ${ETL_DATE}</t>
        </is>
      </c>
    </row>
    <row r="129" ht="15" customHeight="1" s="335">
      <c r="A129" s="416" t="inlineStr">
        <is>
          <t>PG_BRONZE</t>
        </is>
      </c>
      <c r="B129" s="416" t="inlineStr">
        <is>
          <t>T24CORE_STMT_ENTRY</t>
        </is>
      </c>
      <c r="C129" s="416" t="inlineStr">
        <is>
          <t>VALUE_DATE</t>
        </is>
      </c>
      <c r="D129" s="416" t="inlineStr">
        <is>
          <t>TO_DATE(CAST(stmt.VALUE_DATE AS VARCHAR(20)), 'YYYYMMDD')</t>
        </is>
      </c>
      <c r="E129" s="416" t="inlineStr">
        <is>
          <t>Schedule Lich Tra No</t>
        </is>
      </c>
      <c r="F129" s="416" t="inlineStr">
        <is>
          <t>Stmt Value Date</t>
        </is>
      </c>
      <c r="G129" s="416" t="inlineStr">
        <is>
          <t>sk_lich_tra_no</t>
        </is>
      </c>
      <c r="H129" s="416" t="inlineStr">
        <is>
          <t>STMT_VALUE_DATE</t>
        </is>
      </c>
      <c r="I129" s="482" t="inlineStr">
        <is>
          <t>DATE</t>
        </is>
      </c>
      <c r="J129" s="482" t="n"/>
      <c r="K129" s="416" t="inlineStr">
        <is>
          <t>Ngay Hieu luc but toan</t>
        </is>
      </c>
      <c r="L129" s="416" t="n"/>
      <c r="M129" s="416">
        <f>"COMMENT ON COLUMN PG_SILVER."&amp;G129&amp;"."&amp;H129&amp;" IS '"&amp;K129&amp;"';"</f>
        <v/>
      </c>
      <c r="N129" s="416" t="inlineStr">
        <is>
          <t>LEFT JOIN PG_BRONZE.T24CORE_STMT_ENTRY stmt ON SUBSTR(pdmv.RECID, 3) = SUBSTR(stmt.OUR_REFERENCE, 3) AND stmt.BOOKING_DATE = ${ETL_DATE}</t>
        </is>
      </c>
    </row>
    <row r="130" ht="15" customHeight="1" s="335">
      <c r="A130" s="416" t="inlineStr">
        <is>
          <t>PG_BRONZE</t>
        </is>
      </c>
      <c r="B130" s="416" t="inlineStr">
        <is>
          <t>T24CORE_PD_PAYMENT_DUE_HIS_MV</t>
        </is>
      </c>
      <c r="C130" s="416" t="inlineStr">
        <is>
          <t>PAYMENT_DTE_DUE</t>
        </is>
      </c>
      <c r="D130" s="416" t="inlineStr">
        <is>
          <t>TO_DATE(CAST(pdhmv.PAYMENT_DTE_DUE AS VARCHAR(20)), 'YYYYMMDD')</t>
        </is>
      </c>
      <c r="E130" s="416" t="inlineStr">
        <is>
          <t>sk_lich_tra_no</t>
        </is>
      </c>
      <c r="F130" s="416" t="inlineStr">
        <is>
          <t>Pdhmv Payment Date Due</t>
        </is>
      </c>
      <c r="G130" s="416" t="inlineStr">
        <is>
          <t>sk_lich_tra_no</t>
        </is>
      </c>
      <c r="H130" s="416" t="inlineStr">
        <is>
          <t>PDHMV_PAYMENT_DTE_DUE</t>
        </is>
      </c>
      <c r="I130" s="482" t="inlineStr">
        <is>
          <t>DATE</t>
        </is>
      </c>
      <c r="J130" s="482" t="n"/>
      <c r="K130" s="416" t="inlineStr">
        <is>
          <t>Hạn thanh toán lịch sử quá hạn</t>
        </is>
      </c>
      <c r="L130" s="416" t="inlineStr">
        <is>
          <t>PDHMV_PAYMENT_DTE_DUE</t>
        </is>
      </c>
      <c r="M130" s="416">
        <f>"COMMENT ON COLUMN PG_SILVER."&amp;G130&amp;"."&amp;H130&amp;" IS '"&amp;K130&amp;"';"</f>
        <v/>
      </c>
      <c r="N130" s="416" t="inlineStr">
        <is>
          <t>LEFT JOIN PG_BRONZE.T24CORE_PD_PAYMENT_DUE_HIS_MV pdhmv ON pdmv.RECID = pdhmv.RECID AND pdmv.PAY_TYPE = pdhmv.PAY_TYPE</t>
        </is>
      </c>
    </row>
    <row r="131" ht="15" customHeight="1" s="335">
      <c r="A131" s="416" t="inlineStr">
        <is>
          <t>PG_BRONZE</t>
        </is>
      </c>
      <c r="B131" s="416" t="inlineStr">
        <is>
          <t>T24CORE_PD_PAYMENT_DUE_HIS_MV</t>
        </is>
      </c>
      <c r="C131" s="416" t="inlineStr">
        <is>
          <t>PAY_AMT_OUTS</t>
        </is>
      </c>
      <c r="D131" s="416" t="inlineStr">
        <is>
          <t>COALESCE(CAST(pdhmv.PAY_AMT_OUTS AS DECIMAL(25,5)), 0)</t>
        </is>
      </c>
      <c r="E131" s="416" t="inlineStr">
        <is>
          <t>sk_lich_tra_no</t>
        </is>
      </c>
      <c r="F131" s="416" t="inlineStr">
        <is>
          <t>Pdhmv Pay Amount Outstanding</t>
        </is>
      </c>
      <c r="G131" s="416" t="inlineStr">
        <is>
          <t>sk_lich_tra_no</t>
        </is>
      </c>
      <c r="H131" s="416" t="inlineStr">
        <is>
          <t>PDHMV_PAY_AMT_OUTS</t>
        </is>
      </c>
      <c r="I131" s="482" t="inlineStr">
        <is>
          <t>NUMBER</t>
        </is>
      </c>
      <c r="J131" s="482" t="n">
        <v>25.5</v>
      </c>
      <c r="K131" s="416" t="inlineStr">
        <is>
          <t>Số tiền quá hạn còn lại chưa thanh toán</t>
        </is>
      </c>
      <c r="L131" s="416" t="inlineStr">
        <is>
          <t>PDHMV_PAY_AMT_OUTS</t>
        </is>
      </c>
      <c r="M131" s="416">
        <f>"COMMENT ON COLUMN PG_SILVER."&amp;G131&amp;"."&amp;H131&amp;" IS '"&amp;K131&amp;"';"</f>
        <v/>
      </c>
      <c r="N131" s="416" t="inlineStr">
        <is>
          <t>LEFT JOIN PG_BRONZE.T24CORE_PD_PAYMENT_DUE_HIS_MV pdhmv ON pdmv.RECID = pdhmv.RECID AND pdmv.PAY_TYPE = pdhmv.PAY_TYPE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34" min="1" max="1"/>
    <col width="34" customWidth="1" style="334" min="2" max="2"/>
    <col width="26" customWidth="1" style="334" min="3" max="3"/>
    <col width="44" customWidth="1" style="334" min="4" max="4"/>
    <col width="24" customWidth="1" style="334" min="5" max="5"/>
    <col width="26" customWidth="1" style="334" min="6" max="6"/>
    <col width="22" customWidth="1" style="334" min="7" max="7"/>
    <col width="26" customWidth="1" style="334" min="8" max="8"/>
    <col width="16" customWidth="1" style="334" min="9" max="9"/>
    <col width="12" customWidth="1" style="334" min="10" max="10"/>
    <col width="42" customWidth="1" style="334" min="11" max="11"/>
    <col width="18" customWidth="1" style="334" min="12" max="12"/>
    <col width="54" customWidth="1" style="334" min="13" max="14"/>
  </cols>
  <sheetData>
    <row r="1" ht="15" customHeight="1" s="335">
      <c r="A1" s="479" t="inlineStr">
        <is>
          <t>TYPE : SNAPSHOT (Silver Temp 2 - Business Disbursement Statement)</t>
        </is>
      </c>
    </row>
    <row r="2" ht="15" customHeight="1" s="335">
      <c r="A2" s="480" t="inlineStr">
        <is>
          <t>No</t>
        </is>
      </c>
      <c r="B2" s="480" t="inlineStr">
        <is>
          <t>System</t>
        </is>
      </c>
      <c r="C2" s="480" t="inlineStr">
        <is>
          <t>TABLE</t>
        </is>
      </c>
      <c r="D2" s="480" t="inlineStr">
        <is>
          <t>Short table</t>
        </is>
      </c>
      <c r="E2" s="480" t="inlineStr">
        <is>
          <t>Main Table</t>
        </is>
      </c>
      <c r="F2" s="480" t="inlineStr">
        <is>
          <t>Type join</t>
        </is>
      </c>
      <c r="G2" s="480" t="inlineStr">
        <is>
          <t>Condition JOIN</t>
        </is>
      </c>
      <c r="H2" s="480" t="inlineStr">
        <is>
          <t>Condition where</t>
        </is>
      </c>
    </row>
    <row r="3" ht="15" customHeight="1" s="335">
      <c r="A3" s="481" t="n">
        <v>1</v>
      </c>
      <c r="B3" s="370" t="inlineStr">
        <is>
          <t>PG_BRONZE</t>
        </is>
      </c>
      <c r="C3" s="370" t="inlineStr">
        <is>
          <t>SOURCE_SAOKE_CRB</t>
        </is>
      </c>
      <c r="D3" s="368" t="inlineStr">
        <is>
          <t>crb</t>
        </is>
      </c>
      <c r="E3" s="481" t="inlineStr">
        <is>
          <t>main</t>
        </is>
      </c>
      <c r="F3" s="481" t="n"/>
      <c r="G3" s="372" t="n"/>
      <c r="H3" s="372" t="inlineStr">
        <is>
          <t>WHERE crb.APP_CODE IN ('LD', 'PD') AND crb.TXN_DATE = ${ETL_DATE}</t>
        </is>
      </c>
    </row>
    <row r="4" ht="15" customHeight="1" s="335">
      <c r="A4" s="481" t="n">
        <v>2</v>
      </c>
      <c r="B4" s="370" t="inlineStr">
        <is>
          <t>PG_BRONZE</t>
        </is>
      </c>
      <c r="C4" s="370" t="inlineStr">
        <is>
          <t>SMY_STMT_DAILY</t>
        </is>
      </c>
      <c r="D4" s="368" t="inlineStr">
        <is>
          <t>stmt</t>
        </is>
      </c>
      <c r="E4" s="481" t="inlineStr">
        <is>
          <t>sub</t>
        </is>
      </c>
      <c r="F4" s="481" t="inlineStr">
        <is>
          <t>LEFT JOIN</t>
        </is>
      </c>
      <c r="G4" s="372" t="inlineStr">
        <is>
          <t>crb.APP_ID = stmt.OUR_REFERENCE</t>
        </is>
      </c>
      <c r="H4" s="372" t="inlineStr">
        <is>
          <t>stmt.TRANSACTION_CODE = '402' AND stmt.BOOKING_DATE = ${ETL_DATE}</t>
        </is>
      </c>
    </row>
    <row r="5" ht="15" customHeight="1" s="335">
      <c r="A5" s="481" t="n">
        <v>3</v>
      </c>
      <c r="B5" s="370" t="inlineStr">
        <is>
          <t>PG_BRONZE</t>
        </is>
      </c>
      <c r="C5" s="370" t="inlineStr">
        <is>
          <t>SOURCE_SAOKE_MVMT</t>
        </is>
      </c>
      <c r="D5" s="368" t="inlineStr">
        <is>
          <t>mvmt</t>
        </is>
      </c>
      <c r="E5" s="481" t="inlineStr">
        <is>
          <t>sub</t>
        </is>
      </c>
      <c r="F5" s="481" t="inlineStr">
        <is>
          <t>LEFT JOIN</t>
        </is>
      </c>
      <c r="G5" s="372" t="inlineStr">
        <is>
          <t>crb.APP_ID = mvmt.TRANS_REF</t>
        </is>
      </c>
      <c r="H5" s="372" t="inlineStr">
        <is>
          <t>mvmt.TXN_DATE = ${ETL_DATE}</t>
        </is>
      </c>
    </row>
    <row r="6" ht="15" customHeight="1" s="335">
      <c r="A6" s="481" t="n">
        <v>4</v>
      </c>
      <c r="B6" s="370" t="inlineStr">
        <is>
          <t>PG_BRONZE</t>
        </is>
      </c>
      <c r="C6" s="370" t="inlineStr">
        <is>
          <t>T24CORE_CUSTOMER</t>
        </is>
      </c>
      <c r="D6" s="368" t="inlineStr">
        <is>
          <t>cus</t>
        </is>
      </c>
      <c r="E6" s="481" t="inlineStr">
        <is>
          <t>sub</t>
        </is>
      </c>
      <c r="F6" s="481" t="inlineStr">
        <is>
          <t>LEFT JOIN</t>
        </is>
      </c>
      <c r="G6" s="372" t="inlineStr">
        <is>
          <t>crb.CUS_ID = cus.RECID</t>
        </is>
      </c>
      <c r="H6" s="372" t="inlineStr">
        <is>
          <t>cus.ETL_DATE = ${ETL_DATE}</t>
        </is>
      </c>
    </row>
    <row r="7" ht="15" customHeight="1" s="335">
      <c r="A7" s="481" t="n">
        <v>5</v>
      </c>
      <c r="B7" s="370" t="inlineStr">
        <is>
          <t>PG_BRONZE</t>
        </is>
      </c>
      <c r="C7" s="370" t="inlineStr">
        <is>
          <t>T24CORE_COMPANY</t>
        </is>
      </c>
      <c r="D7" s="368" t="inlineStr">
        <is>
          <t>comp</t>
        </is>
      </c>
      <c r="E7" s="481" t="inlineStr">
        <is>
          <t>sub</t>
        </is>
      </c>
      <c r="F7" s="481" t="inlineStr">
        <is>
          <t>LEFT JOIN</t>
        </is>
      </c>
      <c r="G7" s="372" t="inlineStr">
        <is>
          <t>crb.CO_CODE = comp.RECID</t>
        </is>
      </c>
      <c r="H7" s="372" t="inlineStr">
        <is>
          <t>comp.ETL_DATE = ${ETL_DATE}</t>
        </is>
      </c>
    </row>
    <row r="9" ht="15" customHeight="1" s="335">
      <c r="A9" s="480" t="inlineStr">
        <is>
          <t>Nguồn</t>
        </is>
      </c>
      <c r="B9" s="480" t="inlineStr">
        <is>
          <t>Bảng nguồn</t>
        </is>
      </c>
      <c r="C9" s="480" t="inlineStr">
        <is>
          <t>Cột nguồn</t>
        </is>
      </c>
      <c r="D9" s="480" t="inlineStr">
        <is>
          <t>Transform</t>
        </is>
      </c>
      <c r="E9" s="480" t="inlineStr">
        <is>
          <t>Entity</t>
        </is>
      </c>
      <c r="F9" s="480" t="inlineStr">
        <is>
          <t>Attribute</t>
        </is>
      </c>
      <c r="G9" s="480" t="inlineStr">
        <is>
          <t>Bảng đích</t>
        </is>
      </c>
      <c r="H9" s="480" t="inlineStr">
        <is>
          <t>Cột đích</t>
        </is>
      </c>
      <c r="I9" s="480" t="inlineStr">
        <is>
          <t>Kiểu dữ liệu</t>
        </is>
      </c>
      <c r="J9" s="480" t="inlineStr">
        <is>
          <t>Độ dài</t>
        </is>
      </c>
      <c r="K9" s="480" t="inlineStr">
        <is>
          <t>Diễn giải</t>
        </is>
      </c>
      <c r="L9" s="480" t="inlineStr">
        <is>
          <t>Glossary</t>
        </is>
      </c>
      <c r="M9" s="480" t="inlineStr">
        <is>
          <t>DDL Comment</t>
        </is>
      </c>
      <c r="N9" s="480" t="inlineStr">
        <is>
          <t>Ghi chú kỹ thuật &amp; Business Rule</t>
        </is>
      </c>
    </row>
    <row r="10" ht="15" customHeight="1" s="335">
      <c r="A10" s="416" t="inlineStr">
        <is>
          <t>PG_BRONZE</t>
        </is>
      </c>
      <c r="B10" s="416" t="inlineStr">
        <is>
          <t>SMY_STMT_DAILY</t>
        </is>
      </c>
      <c r="C10" s="416" t="inlineStr">
        <is>
          <t>NARRATIVE</t>
        </is>
      </c>
      <c r="D10" s="416" t="inlineStr">
        <is>
          <t>TRIM(stmt.NARRATIVE)</t>
        </is>
      </c>
      <c r="E10" s="416" t="inlineStr">
        <is>
          <t>Sao Ke Giai Ngan</t>
        </is>
      </c>
      <c r="F10" s="416" t="inlineStr">
        <is>
          <t>Narrative</t>
        </is>
      </c>
      <c r="G10" s="416" t="inlineStr">
        <is>
          <t>Saoke_GIAINGAN</t>
        </is>
      </c>
      <c r="H10" s="416" t="inlineStr">
        <is>
          <t>NARRATIVE</t>
        </is>
      </c>
      <c r="I10" s="482" t="inlineStr">
        <is>
          <t>VARCHAR2</t>
        </is>
      </c>
      <c r="J10" s="482" t="n">
        <v>255</v>
      </c>
      <c r="K10" s="416" t="inlineStr">
        <is>
          <t>Mô tả bút toán</t>
        </is>
      </c>
      <c r="L10" s="416" t="n"/>
      <c r="M10" s="416">
        <f>"COMMENT ON COLUMN PG_SILVER."&amp;G10&amp;"."&amp;H10&amp;" IS '"&amp;K10&amp;"';"</f>
        <v/>
      </c>
      <c r="N10" s="416" t="inlineStr">
        <is>
          <t>LEFT JOIN PG_BRONZE.SMY_STMT_DAILY stmt ON crb.APP_ID = stmt.OUR_REFERENCE AND stmt.TRANSACTION_CODE = '402'</t>
        </is>
      </c>
    </row>
    <row r="11" ht="15" customHeight="1" s="335">
      <c r="A11" s="416" t="inlineStr">
        <is>
          <t>PG_BRONZE</t>
        </is>
      </c>
      <c r="B11" s="416" t="inlineStr">
        <is>
          <t>SMY_STMT_DAILY</t>
        </is>
      </c>
      <c r="C11" s="416" t="inlineStr">
        <is>
          <t>ORIG_AMOUNT_LCY</t>
        </is>
      </c>
      <c r="D11" s="416" t="inlineStr">
        <is>
          <t>COALESCE(CAST(stmt.ORIG_AMOUNT_LCY AS DECIMAL(25,5)), 0)</t>
        </is>
      </c>
      <c r="E11" s="416" t="inlineStr">
        <is>
          <t>Sao Ke Giai Ngan</t>
        </is>
      </c>
      <c r="F11" s="416" t="inlineStr">
        <is>
          <t>Orig Amount Lcy</t>
        </is>
      </c>
      <c r="G11" s="416" t="inlineStr">
        <is>
          <t>Saoke_GIAINGAN</t>
        </is>
      </c>
      <c r="H11" s="416" t="inlineStr">
        <is>
          <t>ORIG_AMOUNT_LCY</t>
        </is>
      </c>
      <c r="I11" s="482" t="inlineStr">
        <is>
          <t>NUMBER</t>
        </is>
      </c>
      <c r="J11" s="482" t="n">
        <v>25.5</v>
      </c>
      <c r="K11" s="416" t="inlineStr">
        <is>
          <t>Giá trị hạch toán ban đầu quy đổi</t>
        </is>
      </c>
      <c r="L11" s="416" t="n"/>
      <c r="M11" s="416">
        <f>"COMMENT ON COLUMN PG_SILVER."&amp;G11&amp;"."&amp;H11&amp;" IS '"&amp;K11&amp;"';"</f>
        <v/>
      </c>
      <c r="N11" s="416" t="inlineStr">
        <is>
          <t>LEFT JOIN PG_BRONZE.SMY_STMT_DAILY stmt ON crb.APP_ID = stmt.OUR_REFERENCE AND stmt.TRANSACTION_CODE = '402'</t>
        </is>
      </c>
    </row>
    <row r="12" ht="15" customHeight="1" s="335">
      <c r="A12" s="416" t="inlineStr">
        <is>
          <t>PG_BRONZE</t>
        </is>
      </c>
      <c r="B12" s="416" t="inlineStr">
        <is>
          <t>SMY_STMT_DAILY</t>
        </is>
      </c>
      <c r="C12" s="416" t="inlineStr">
        <is>
          <t>ORIGINAL_ACCT</t>
        </is>
      </c>
      <c r="D12" s="416" t="inlineStr">
        <is>
          <t>TRIM(stmt.ORIGINAL_ACCT)</t>
        </is>
      </c>
      <c r="E12" s="416" t="inlineStr">
        <is>
          <t>Sao Ke Giai Ngan</t>
        </is>
      </c>
      <c r="F12" s="416" t="inlineStr">
        <is>
          <t>Original Acct</t>
        </is>
      </c>
      <c r="G12" s="416" t="inlineStr">
        <is>
          <t>Saoke_GIAINGAN</t>
        </is>
      </c>
      <c r="H12" s="416" t="inlineStr">
        <is>
          <t>ORIGINAL_ACCT</t>
        </is>
      </c>
      <c r="I12" s="482" t="inlineStr">
        <is>
          <t>VARCHAR2</t>
        </is>
      </c>
      <c r="J12" s="482" t="n">
        <v>100</v>
      </c>
      <c r="K12" s="416" t="inlineStr">
        <is>
          <t>Số tài khoản hạch toán ban đầu</t>
        </is>
      </c>
      <c r="L12" s="416" t="n"/>
      <c r="M12" s="416">
        <f>"COMMENT ON COLUMN PG_SILVER."&amp;G12&amp;"."&amp;H12&amp;" IS '"&amp;K12&amp;"';"</f>
        <v/>
      </c>
      <c r="N12" s="416" t="inlineStr">
        <is>
          <t>LEFT JOIN PG_BRONZE.SMY_STMT_DAILY stmt ON crb.APP_ID = stmt.OUR_REFERENCE AND stmt.TRANSACTION_CODE = '402'</t>
        </is>
      </c>
    </row>
    <row r="13" ht="15" customHeight="1" s="335">
      <c r="A13" s="416" t="inlineStr">
        <is>
          <t>PG_BRONZE</t>
        </is>
      </c>
      <c r="B13" s="416" t="inlineStr">
        <is>
          <t>SMY_STMT_DAILY</t>
        </is>
      </c>
      <c r="C13" s="416" t="inlineStr">
        <is>
          <t>ORIGINAL_AMOUNT</t>
        </is>
      </c>
      <c r="D13" s="416" t="inlineStr">
        <is>
          <t>COALESCE(CAST(stmt.ORIGINAL_AMOUNT AS DECIMAL(25,5)), 0)</t>
        </is>
      </c>
      <c r="E13" s="416" t="inlineStr">
        <is>
          <t>Sao Ke Giai Ngan</t>
        </is>
      </c>
      <c r="F13" s="416" t="inlineStr">
        <is>
          <t>Original Amount</t>
        </is>
      </c>
      <c r="G13" s="416" t="inlineStr">
        <is>
          <t>Saoke_GIAINGAN</t>
        </is>
      </c>
      <c r="H13" s="416" t="inlineStr">
        <is>
          <t>ORIGINAL_AMOUNT</t>
        </is>
      </c>
      <c r="I13" s="482" t="inlineStr">
        <is>
          <t>NUMBER</t>
        </is>
      </c>
      <c r="J13" s="482" t="n">
        <v>25.5</v>
      </c>
      <c r="K13" s="416" t="inlineStr">
        <is>
          <t>Giá trị hạch toán ban đầu nguyên tệ</t>
        </is>
      </c>
      <c r="L13" s="416" t="n"/>
      <c r="M13" s="416">
        <f>"COMMENT ON COLUMN PG_SILVER."&amp;G13&amp;"."&amp;H13&amp;" IS '"&amp;K13&amp;"';"</f>
        <v/>
      </c>
      <c r="N13" s="416" t="inlineStr">
        <is>
          <t>LEFT JOIN PG_BRONZE.SMY_STMT_DAILY stmt ON crb.APP_ID = stmt.OUR_REFERENCE AND stmt.TRANSACTION_CODE = '402'</t>
        </is>
      </c>
    </row>
    <row r="14" ht="15" customHeight="1" s="335">
      <c r="A14" s="416" t="inlineStr">
        <is>
          <t>PG_BRONZE</t>
        </is>
      </c>
      <c r="B14" s="416" t="inlineStr">
        <is>
          <t>SMY_STMT_DAILY</t>
        </is>
      </c>
      <c r="C14" s="416" t="inlineStr">
        <is>
          <t>ORIGINAL_CCY</t>
        </is>
      </c>
      <c r="D14" s="416" t="inlineStr">
        <is>
          <t>TRIM(stmt.ORIGINAL_CCY)</t>
        </is>
      </c>
      <c r="E14" s="416" t="inlineStr">
        <is>
          <t>Sao Ke Giai Ngan</t>
        </is>
      </c>
      <c r="F14" s="416" t="inlineStr">
        <is>
          <t>Original Ccy</t>
        </is>
      </c>
      <c r="G14" s="416" t="inlineStr">
        <is>
          <t>Saoke_GIAINGAN</t>
        </is>
      </c>
      <c r="H14" s="416" t="inlineStr">
        <is>
          <t>ORIGINAL_CCY</t>
        </is>
      </c>
      <c r="I14" s="482" t="inlineStr">
        <is>
          <t>VARCHAR2</t>
        </is>
      </c>
      <c r="J14" s="482" t="n">
        <v>100</v>
      </c>
      <c r="K14" s="416" t="inlineStr">
        <is>
          <t>Loại tiền giao dịch ban đầu</t>
        </is>
      </c>
      <c r="L14" s="416" t="n"/>
      <c r="M14" s="416">
        <f>"COMMENT ON COLUMN PG_SILVER."&amp;G14&amp;"."&amp;H14&amp;" IS '"&amp;K14&amp;"';"</f>
        <v/>
      </c>
      <c r="N14" s="416" t="inlineStr">
        <is>
          <t>LEFT JOIN PG_BRONZE.SMY_STMT_DAILY stmt ON crb.APP_ID = stmt.OUR_REFERENCE AND stmt.TRANSACTION_CODE = '402'</t>
        </is>
      </c>
    </row>
    <row r="15" ht="15" customHeight="1" s="335">
      <c r="A15" s="416" t="inlineStr">
        <is>
          <t>PG_BRONZE</t>
        </is>
      </c>
      <c r="B15" s="416" t="inlineStr">
        <is>
          <t>SMY_STMT_DAILY</t>
        </is>
      </c>
      <c r="C15" s="416" t="inlineStr">
        <is>
          <t>ORIGINAL_EXCH_RATE</t>
        </is>
      </c>
      <c r="D15" s="416" t="inlineStr">
        <is>
          <t>COALESCE(CAST(stmt.ORIGINAL_EXCH_RATE AS DECIMAL(13,7)), 0)</t>
        </is>
      </c>
      <c r="E15" s="416" t="inlineStr">
        <is>
          <t>Sao Ke Giai Ngan</t>
        </is>
      </c>
      <c r="F15" s="416" t="inlineStr">
        <is>
          <t>Original Exch Rate</t>
        </is>
      </c>
      <c r="G15" s="416" t="inlineStr">
        <is>
          <t>Saoke_GIAINGAN</t>
        </is>
      </c>
      <c r="H15" s="416" t="inlineStr">
        <is>
          <t>ORIGINAL_EXCH_RATE</t>
        </is>
      </c>
      <c r="I15" s="482" t="inlineStr">
        <is>
          <t>NUMBER</t>
        </is>
      </c>
      <c r="J15" s="482" t="n">
        <v>13.7</v>
      </c>
      <c r="K15" s="416" t="inlineStr">
        <is>
          <t>Tỷ giá quy đổi cho loại tiền ban đầu</t>
        </is>
      </c>
      <c r="L15" s="416" t="n"/>
      <c r="M15" s="416">
        <f>"COMMENT ON COLUMN PG_SILVER."&amp;G15&amp;"."&amp;H15&amp;" IS '"&amp;K15&amp;"';"</f>
        <v/>
      </c>
      <c r="N15" s="416" t="inlineStr">
        <is>
          <t>LEFT JOIN PG_BRONZE.SMY_STMT_DAILY stmt ON crb.APP_ID = stmt.OUR_REFERENCE AND stmt.TRANSACTION_CODE = '402'</t>
        </is>
      </c>
    </row>
    <row r="16" ht="15" customHeight="1" s="335">
      <c r="A16" s="416" t="inlineStr">
        <is>
          <t>PG_BRONZE</t>
        </is>
      </c>
      <c r="B16" s="416" t="inlineStr">
        <is>
          <t>SMY_STMT_DAILY</t>
        </is>
      </c>
      <c r="C16" s="416" t="inlineStr">
        <is>
          <t>OUR_REFERENCE</t>
        </is>
      </c>
      <c r="D16" s="416" t="inlineStr">
        <is>
          <t>TRIM(stmt.OUR_REFERENCE)</t>
        </is>
      </c>
      <c r="E16" s="416" t="inlineStr">
        <is>
          <t>Sao Ke Giai Ngan</t>
        </is>
      </c>
      <c r="F16" s="416" t="inlineStr">
        <is>
          <t>Our Reference</t>
        </is>
      </c>
      <c r="G16" s="416" t="inlineStr">
        <is>
          <t>Saoke_GIAINGAN</t>
        </is>
      </c>
      <c r="H16" s="416" t="inlineStr">
        <is>
          <t>OUR_REFERENCE</t>
        </is>
      </c>
      <c r="I16" s="482" t="inlineStr">
        <is>
          <t>VARCHAR2</t>
        </is>
      </c>
      <c r="J16" s="482" t="n">
        <v>100</v>
      </c>
      <c r="K16" s="416" t="inlineStr">
        <is>
          <t>Ma tham chieu</t>
        </is>
      </c>
      <c r="L16" s="416" t="n"/>
      <c r="M16" s="416">
        <f>"COMMENT ON COLUMN PG_SILVER."&amp;G16&amp;"."&amp;H16&amp;" IS '"&amp;K16&amp;"';"</f>
        <v/>
      </c>
      <c r="N16" s="416" t="inlineStr">
        <is>
          <t>LEFT JOIN PG_BRONZE.SMY_STMT_DAILY stmt ON crb.APP_ID = stmt.OUR_REFERENCE AND stmt.TRANSACTION_CODE = '402'</t>
        </is>
      </c>
    </row>
    <row r="17" ht="15" customHeight="1" s="335">
      <c r="A17" s="416" t="inlineStr">
        <is>
          <t>PG_BRONZE</t>
        </is>
      </c>
      <c r="B17" s="416" t="inlineStr">
        <is>
          <t>SMY_STMT_DAILY</t>
        </is>
      </c>
      <c r="C17" s="416" t="inlineStr">
        <is>
          <t>OUTSTANDING_BAL</t>
        </is>
      </c>
      <c r="D17" s="416" t="inlineStr">
        <is>
          <t>COALESCE(CAST(stmt.OUTSTANDING_BAL AS DECIMAL(25,5)), 0)</t>
        </is>
      </c>
      <c r="E17" s="416" t="inlineStr">
        <is>
          <t>Sao Ke Giai Ngan</t>
        </is>
      </c>
      <c r="F17" s="416" t="inlineStr">
        <is>
          <t>Outstanding Bal</t>
        </is>
      </c>
      <c r="G17" s="416" t="inlineStr">
        <is>
          <t>Saoke_GIAINGAN</t>
        </is>
      </c>
      <c r="H17" s="416" t="inlineStr">
        <is>
          <t>OUTSTANDING_BAL</t>
        </is>
      </c>
      <c r="I17" s="482" t="inlineStr">
        <is>
          <t>NUMBER</t>
        </is>
      </c>
      <c r="J17" s="482" t="n">
        <v>25.5</v>
      </c>
      <c r="K17" s="416" t="inlineStr">
        <is>
          <t>Dư nợ tín dụng của hợp đồng ( OUR_REFERENCE)</t>
        </is>
      </c>
      <c r="L17" s="416" t="n"/>
      <c r="M17" s="416">
        <f>"COMMENT ON COLUMN PG_SILVER."&amp;G17&amp;"."&amp;H17&amp;" IS '"&amp;K17&amp;"';"</f>
        <v/>
      </c>
      <c r="N17" s="416" t="inlineStr">
        <is>
          <t>LEFT JOIN PG_BRONZE.SMY_STMT_DAILY stmt ON crb.APP_ID = stmt.OUR_REFERENCE AND stmt.TRANSACTION_CODE = '402'</t>
        </is>
      </c>
    </row>
    <row r="18" ht="15" customHeight="1" s="335">
      <c r="A18" s="416" t="inlineStr">
        <is>
          <t>PG_BRONZE</t>
        </is>
      </c>
      <c r="B18" s="416" t="inlineStr">
        <is>
          <t>SMY_STMT_DAILY</t>
        </is>
      </c>
      <c r="C18" s="416" t="inlineStr">
        <is>
          <t>OVERRIDE</t>
        </is>
      </c>
      <c r="D18" s="416" t="inlineStr">
        <is>
          <t>TRIM(stmt.OVERRIDE)</t>
        </is>
      </c>
      <c r="E18" s="416" t="inlineStr">
        <is>
          <t>Sao Ke Giai Ngan</t>
        </is>
      </c>
      <c r="F18" s="416" t="inlineStr">
        <is>
          <t>Override</t>
        </is>
      </c>
      <c r="G18" s="416" t="inlineStr">
        <is>
          <t>Saoke_GIAINGAN</t>
        </is>
      </c>
      <c r="H18" s="416" t="inlineStr">
        <is>
          <t>OVERRIDE</t>
        </is>
      </c>
      <c r="I18" s="482" t="inlineStr">
        <is>
          <t>VARCHAR2</t>
        </is>
      </c>
      <c r="J18" s="482" t="n">
        <v>100</v>
      </c>
      <c r="K18" s="416" t="inlineStr">
        <is>
          <t>Cờ cảnh báo</t>
        </is>
      </c>
      <c r="L18" s="416" t="n"/>
      <c r="M18" s="416">
        <f>"COMMENT ON COLUMN PG_SILVER."&amp;G18&amp;"."&amp;H18&amp;" IS '"&amp;K18&amp;"';"</f>
        <v/>
      </c>
      <c r="N18" s="416" t="inlineStr">
        <is>
          <t>LEFT JOIN PG_BRONZE.SMY_STMT_DAILY stmt ON crb.APP_ID = stmt.OUR_REFERENCE AND stmt.TRANSACTION_CODE = '402'</t>
        </is>
      </c>
    </row>
    <row r="19" ht="15" customHeight="1" s="335">
      <c r="A19" s="416" t="inlineStr">
        <is>
          <t>PG_BRONZE</t>
        </is>
      </c>
      <c r="B19" s="416" t="inlineStr">
        <is>
          <t>SMY_STMT_DAILY</t>
        </is>
      </c>
      <c r="C19" s="416" t="inlineStr">
        <is>
          <t>PROCESS_FORWARD</t>
        </is>
      </c>
      <c r="D19" s="416" t="inlineStr">
        <is>
          <t>TRIM(stmt.PROCESS_FORWARD)</t>
        </is>
      </c>
      <c r="E19" s="416" t="inlineStr">
        <is>
          <t>Sao Ke Giai Ngan</t>
        </is>
      </c>
      <c r="F19" s="416" t="inlineStr">
        <is>
          <t>Process Forward</t>
        </is>
      </c>
      <c r="G19" s="416" t="inlineStr">
        <is>
          <t>Saoke_GIAINGAN</t>
        </is>
      </c>
      <c r="H19" s="416" t="inlineStr">
        <is>
          <t>PROCESS_FORWARD</t>
        </is>
      </c>
      <c r="I19" s="482" t="inlineStr">
        <is>
          <t>VARCHAR2</t>
        </is>
      </c>
      <c r="J19" s="482" t="n">
        <v>100</v>
      </c>
      <c r="K19" s="416" t="inlineStr">
        <is>
          <t>Cờ xử lý chuyển tiếp bút toán hạch toán (Process Forward)</t>
        </is>
      </c>
      <c r="L19" s="416" t="n"/>
      <c r="M19" s="416">
        <f>"COMMENT ON COLUMN PG_SILVER."&amp;G19&amp;"."&amp;H19&amp;" IS '"&amp;K19&amp;"';"</f>
        <v/>
      </c>
      <c r="N19" s="416" t="inlineStr">
        <is>
          <t>LEFT JOIN PG_BRONZE.SMY_STMT_DAILY stmt ON crb.APP_ID = stmt.OUR_REFERENCE AND stmt.TRANSACTION_CODE = '402'</t>
        </is>
      </c>
    </row>
    <row r="20" ht="15" customHeight="1" s="335">
      <c r="A20" s="416" t="inlineStr">
        <is>
          <t>PG_BRONZE</t>
        </is>
      </c>
      <c r="B20" s="416" t="inlineStr">
        <is>
          <t>SMY_STMT_DAILY</t>
        </is>
      </c>
      <c r="C20" s="416" t="inlineStr">
        <is>
          <t>PROCESSING_DATE</t>
        </is>
      </c>
      <c r="D20" s="416" t="inlineStr">
        <is>
          <t>TO_DATE(CAST(stmt.PROCESSING_DATE AS VARCHAR(20)), 'YYYYMMDD')</t>
        </is>
      </c>
      <c r="E20" s="416" t="inlineStr">
        <is>
          <t>Sao Ke Giai Ngan</t>
        </is>
      </c>
      <c r="F20" s="416" t="inlineStr">
        <is>
          <t>Processing Date</t>
        </is>
      </c>
      <c r="G20" s="416" t="inlineStr">
        <is>
          <t>Saoke_GIAINGAN</t>
        </is>
      </c>
      <c r="H20" s="416" t="inlineStr">
        <is>
          <t>PROCESSING_DATE</t>
        </is>
      </c>
      <c r="I20" s="482" t="inlineStr">
        <is>
          <t>DATE</t>
        </is>
      </c>
      <c r="J20" s="482" t="n"/>
      <c r="K20" s="416" t="inlineStr">
        <is>
          <t>Trường PROCESSING_DATE của bảng nguồn SMY.STMT_DAILY</t>
        </is>
      </c>
      <c r="L20" s="416" t="n"/>
      <c r="M20" s="416">
        <f>"COMMENT ON COLUMN PG_SILVER."&amp;G20&amp;"."&amp;H20&amp;" IS '"&amp;K20&amp;"';"</f>
        <v/>
      </c>
      <c r="N20" s="416" t="inlineStr">
        <is>
          <t>LEFT JOIN PG_BRONZE.SMY_STMT_DAILY stmt ON crb.APP_ID = stmt.OUR_REFERENCE AND stmt.TRANSACTION_CODE = '402'</t>
        </is>
      </c>
    </row>
    <row r="21" ht="15" customHeight="1" s="335">
      <c r="A21" s="416" t="inlineStr">
        <is>
          <t>PG_BRONZE</t>
        </is>
      </c>
      <c r="B21" s="416" t="inlineStr">
        <is>
          <t>SMY_STMT_DAILY</t>
        </is>
      </c>
      <c r="C21" s="416" t="inlineStr">
        <is>
          <t>PRODUCT_CATEGORY</t>
        </is>
      </c>
      <c r="D21" s="416" t="inlineStr">
        <is>
          <t>TRIM(stmt.PRODUCT_CATEGORY)</t>
        </is>
      </c>
      <c r="E21" s="416" t="inlineStr">
        <is>
          <t>Sao Ke Giai Ngan</t>
        </is>
      </c>
      <c r="F21" s="416" t="inlineStr">
        <is>
          <t>Product Category</t>
        </is>
      </c>
      <c r="G21" s="416" t="inlineStr">
        <is>
          <t>Saoke_GIAINGAN</t>
        </is>
      </c>
      <c r="H21" s="416" t="inlineStr">
        <is>
          <t>PRODUCT_CATEGORY</t>
        </is>
      </c>
      <c r="I21" s="482" t="inlineStr">
        <is>
          <t>VARCHAR2</t>
        </is>
      </c>
      <c r="J21" s="482" t="n">
        <v>100</v>
      </c>
      <c r="K21" s="416" t="inlineStr">
        <is>
          <t>Loại sản phẩm hạch toán</t>
        </is>
      </c>
      <c r="L21" s="416" t="n"/>
      <c r="M21" s="416">
        <f>"COMMENT ON COLUMN PG_SILVER."&amp;G21&amp;"."&amp;H21&amp;" IS '"&amp;K21&amp;"';"</f>
        <v/>
      </c>
      <c r="N21" s="416" t="inlineStr">
        <is>
          <t>LEFT JOIN PG_BRONZE.SMY_STMT_DAILY stmt ON crb.APP_ID = stmt.OUR_REFERENCE AND stmt.TRANSACTION_CODE = '402'</t>
        </is>
      </c>
    </row>
    <row r="22" ht="15" customHeight="1" s="335">
      <c r="A22" s="416" t="inlineStr">
        <is>
          <t>PG_BRONZE</t>
        </is>
      </c>
      <c r="B22" s="416" t="inlineStr">
        <is>
          <t>SMY_STMT_DAILY</t>
        </is>
      </c>
      <c r="C22" s="416" t="inlineStr">
        <is>
          <t>RECID</t>
        </is>
      </c>
      <c r="D22" s="416" t="inlineStr">
        <is>
          <t>TRIM(stmt.RECID)</t>
        </is>
      </c>
      <c r="E22" s="416" t="inlineStr">
        <is>
          <t>Sao Ke Giai Ngan</t>
        </is>
      </c>
      <c r="F22" s="416" t="inlineStr">
        <is>
          <t>Stmt Recid</t>
        </is>
      </c>
      <c r="G22" s="416" t="inlineStr">
        <is>
          <t>Saoke_GIAINGAN</t>
        </is>
      </c>
      <c r="H22" s="416" t="inlineStr">
        <is>
          <t>STMT_RECID</t>
        </is>
      </c>
      <c r="I22" s="482" t="inlineStr">
        <is>
          <t>VARCHAR2</t>
        </is>
      </c>
      <c r="J22" s="482" t="n">
        <v>100</v>
      </c>
      <c r="K22" s="416" t="inlineStr">
        <is>
          <t>Mã giao dịch, Unique ID</t>
        </is>
      </c>
      <c r="L22" s="416" t="n"/>
      <c r="M22" s="416">
        <f>"COMMENT ON COLUMN PG_SILVER."&amp;G22&amp;"."&amp;H22&amp;" IS '"&amp;K22&amp;"';"</f>
        <v/>
      </c>
      <c r="N22" s="416" t="inlineStr">
        <is>
          <t>LEFT JOIN PG_BRONZE.SMY_STMT_DAILY stmt ON crb.APP_ID = stmt.OUR_REFERENCE AND stmt.TRANSACTION_CODE = '402'</t>
        </is>
      </c>
    </row>
    <row r="23" ht="15" customHeight="1" s="335">
      <c r="A23" s="416" t="inlineStr">
        <is>
          <t>PG_BRONZE</t>
        </is>
      </c>
      <c r="B23" s="416" t="inlineStr">
        <is>
          <t>SMY_STMT_DAILY</t>
        </is>
      </c>
      <c r="C23" s="416" t="inlineStr">
        <is>
          <t>RECORD_STATUS</t>
        </is>
      </c>
      <c r="D23" s="416" t="inlineStr">
        <is>
          <t>TRIM(stmt.RECORD_STATUS)</t>
        </is>
      </c>
      <c r="E23" s="416" t="inlineStr">
        <is>
          <t>Sao Ke Giai Ngan</t>
        </is>
      </c>
      <c r="F23" s="416" t="inlineStr">
        <is>
          <t>Record Status</t>
        </is>
      </c>
      <c r="G23" s="416" t="inlineStr">
        <is>
          <t>Saoke_GIAINGAN</t>
        </is>
      </c>
      <c r="H23" s="416" t="inlineStr">
        <is>
          <t>RECORD_STATUS</t>
        </is>
      </c>
      <c r="I23" s="482" t="inlineStr">
        <is>
          <t>VARCHAR2</t>
        </is>
      </c>
      <c r="J23" s="482" t="n">
        <v>100</v>
      </c>
      <c r="K23" s="416" t="inlineStr">
        <is>
          <t>Trạng Thái bản ghi</t>
        </is>
      </c>
      <c r="L23" s="416" t="n"/>
      <c r="M23" s="416">
        <f>"COMMENT ON COLUMN PG_SILVER."&amp;G23&amp;"."&amp;H23&amp;" IS '"&amp;K23&amp;"';"</f>
        <v/>
      </c>
      <c r="N23" s="416" t="inlineStr">
        <is>
          <t>LEFT JOIN PG_BRONZE.SMY_STMT_DAILY stmt ON crb.APP_ID = stmt.OUR_REFERENCE AND stmt.TRANSACTION_CODE = '402'</t>
        </is>
      </c>
    </row>
    <row r="24" ht="15" customHeight="1" s="335">
      <c r="A24" s="416" t="inlineStr">
        <is>
          <t>PG_BRONZE</t>
        </is>
      </c>
      <c r="B24" s="416" t="inlineStr">
        <is>
          <t>SMY_STMT_DAILY</t>
        </is>
      </c>
      <c r="C24" s="416" t="inlineStr">
        <is>
          <t>REPAYMENT_AMT</t>
        </is>
      </c>
      <c r="D24" s="416" t="inlineStr">
        <is>
          <t>COALESCE(CAST(stmt.REPAYMENT_AMT AS DECIMAL(25,5)), 0)</t>
        </is>
      </c>
      <c r="E24" s="416" t="inlineStr">
        <is>
          <t>Sao Ke Giai Ngan</t>
        </is>
      </c>
      <c r="F24" s="416" t="inlineStr">
        <is>
          <t>Repayment Amt</t>
        </is>
      </c>
      <c r="G24" s="416" t="inlineStr">
        <is>
          <t>Saoke_GIAINGAN</t>
        </is>
      </c>
      <c r="H24" s="416" t="inlineStr">
        <is>
          <t>REPAYMENT_AMT</t>
        </is>
      </c>
      <c r="I24" s="482" t="inlineStr">
        <is>
          <t>NUMBER</t>
        </is>
      </c>
      <c r="J24" s="482" t="n">
        <v>25.5</v>
      </c>
      <c r="K24" s="416" t="inlineStr">
        <is>
          <t>Số tiền thu nợ</t>
        </is>
      </c>
      <c r="L24" s="416" t="n"/>
      <c r="M24" s="416">
        <f>"COMMENT ON COLUMN PG_SILVER."&amp;G24&amp;"."&amp;H24&amp;" IS '"&amp;K24&amp;"';"</f>
        <v/>
      </c>
      <c r="N24" s="416" t="inlineStr">
        <is>
          <t>LEFT JOIN PG_BRONZE.SMY_STMT_DAILY stmt ON crb.APP_ID = stmt.OUR_REFERENCE AND stmt.TRANSACTION_CODE = '402'</t>
        </is>
      </c>
    </row>
    <row r="25" ht="15" customHeight="1" s="335">
      <c r="A25" s="416" t="inlineStr">
        <is>
          <t>PG_BRONZE</t>
        </is>
      </c>
      <c r="B25" s="416" t="inlineStr">
        <is>
          <t>SMY_STMT_DAILY</t>
        </is>
      </c>
      <c r="C25" s="416" t="inlineStr">
        <is>
          <t>REPAYMENT_DATE</t>
        </is>
      </c>
      <c r="D25" s="416" t="inlineStr">
        <is>
          <t>TO_DATE(CAST(stmt.REPAYMENT_DATE AS VARCHAR(20)), 'YYYYMMDD')</t>
        </is>
      </c>
      <c r="E25" s="416" t="inlineStr">
        <is>
          <t>Sao Ke Giai Ngan</t>
        </is>
      </c>
      <c r="F25" s="416" t="inlineStr">
        <is>
          <t>Repayment Date</t>
        </is>
      </c>
      <c r="G25" s="416" t="inlineStr">
        <is>
          <t>Saoke_GIAINGAN</t>
        </is>
      </c>
      <c r="H25" s="416" t="inlineStr">
        <is>
          <t>REPAYMENT_DATE</t>
        </is>
      </c>
      <c r="I25" s="482" t="inlineStr">
        <is>
          <t>DATE</t>
        </is>
      </c>
      <c r="J25" s="482" t="n"/>
      <c r="K25" s="416" t="inlineStr">
        <is>
          <t>Ngày thu</t>
        </is>
      </c>
      <c r="L25" s="416" t="n"/>
      <c r="M25" s="416">
        <f>"COMMENT ON COLUMN PG_SILVER."&amp;G25&amp;"."&amp;H25&amp;" IS '"&amp;K25&amp;"';"</f>
        <v/>
      </c>
      <c r="N25" s="416" t="inlineStr">
        <is>
          <t>LEFT JOIN PG_BRONZE.SMY_STMT_DAILY stmt ON crb.APP_ID = stmt.OUR_REFERENCE AND stmt.TRANSACTION_CODE = '402'</t>
        </is>
      </c>
    </row>
    <row r="26" ht="15" customHeight="1" s="335">
      <c r="A26" s="416" t="inlineStr">
        <is>
          <t>PG_BRONZE</t>
        </is>
      </c>
      <c r="B26" s="416" t="inlineStr">
        <is>
          <t>SMY_STMT_DAILY</t>
        </is>
      </c>
      <c r="C26" s="416" t="inlineStr">
        <is>
          <t>REPAYMENT_TYPE</t>
        </is>
      </c>
      <c r="D26" s="416" t="inlineStr">
        <is>
          <t>TRIM(stmt.REPAYMENT_TYPE)</t>
        </is>
      </c>
      <c r="E26" s="416" t="inlineStr">
        <is>
          <t>Sao Ke Giai Ngan</t>
        </is>
      </c>
      <c r="F26" s="416" t="inlineStr">
        <is>
          <t>Repayment Type</t>
        </is>
      </c>
      <c r="G26" s="416" t="inlineStr">
        <is>
          <t>Saoke_GIAINGAN</t>
        </is>
      </c>
      <c r="H26" s="416" t="inlineStr">
        <is>
          <t>REPAYMENT_TYPE</t>
        </is>
      </c>
      <c r="I26" s="482" t="inlineStr">
        <is>
          <t>VARCHAR2</t>
        </is>
      </c>
      <c r="J26" s="482" t="n">
        <v>100</v>
      </c>
      <c r="K26" s="416" t="inlineStr">
        <is>
          <t>Loại thu nợ</t>
        </is>
      </c>
      <c r="L26" s="416" t="n"/>
      <c r="M26" s="416">
        <f>"COMMENT ON COLUMN PG_SILVER."&amp;G26&amp;"."&amp;H26&amp;" IS '"&amp;K26&amp;"';"</f>
        <v/>
      </c>
      <c r="N26" s="416" t="inlineStr">
        <is>
          <t>LEFT JOIN PG_BRONZE.SMY_STMT_DAILY stmt ON crb.APP_ID = stmt.OUR_REFERENCE AND stmt.TRANSACTION_CODE = '402'</t>
        </is>
      </c>
    </row>
    <row r="27" ht="15" customHeight="1" s="335">
      <c r="A27" s="416" t="inlineStr">
        <is>
          <t>PG_BRONZE</t>
        </is>
      </c>
      <c r="B27" s="416" t="inlineStr">
        <is>
          <t>SMY_STMT_DAILY</t>
        </is>
      </c>
      <c r="C27" s="416" t="inlineStr">
        <is>
          <t>STMT_ENTRY_ID</t>
        </is>
      </c>
      <c r="D27" s="416" t="inlineStr">
        <is>
          <t>TRIM(stmt.STMT_ENTRY_ID)</t>
        </is>
      </c>
      <c r="E27" s="416" t="inlineStr">
        <is>
          <t>Sao Ke Giai Ngan</t>
        </is>
      </c>
      <c r="F27" s="416" t="inlineStr">
        <is>
          <t>Stmt Entry Id</t>
        </is>
      </c>
      <c r="G27" s="416" t="inlineStr">
        <is>
          <t>Saoke_GIAINGAN</t>
        </is>
      </c>
      <c r="H27" s="416" t="inlineStr">
        <is>
          <t>STMT_ENTRY_ID</t>
        </is>
      </c>
      <c r="I27" s="482" t="inlineStr">
        <is>
          <t>VARCHAR2</t>
        </is>
      </c>
      <c r="J27" s="482" t="n">
        <v>100</v>
      </c>
      <c r="K27" s="416" t="inlineStr">
        <is>
          <t>Trường STMT_ENTRY_ID của bảng nguồn SMY.STMT_DAILY</t>
        </is>
      </c>
      <c r="L27" s="416" t="n"/>
      <c r="M27" s="416">
        <f>"COMMENT ON COLUMN PG_SILVER."&amp;G27&amp;"."&amp;H27&amp;" IS '"&amp;K27&amp;"';"</f>
        <v/>
      </c>
      <c r="N27" s="416" t="inlineStr">
        <is>
          <t>LEFT JOIN PG_BRONZE.SMY_STMT_DAILY stmt ON crb.APP_ID = stmt.OUR_REFERENCE AND stmt.TRANSACTION_CODE = '402'</t>
        </is>
      </c>
    </row>
    <row r="28" ht="15" customHeight="1" s="335">
      <c r="A28" s="416" t="inlineStr">
        <is>
          <t>PG_BRONZE</t>
        </is>
      </c>
      <c r="B28" s="416" t="inlineStr">
        <is>
          <t>SMY_STMT_DAILY</t>
        </is>
      </c>
      <c r="C28" s="416" t="inlineStr">
        <is>
          <t>STMT_NO</t>
        </is>
      </c>
      <c r="D28" s="416" t="inlineStr">
        <is>
          <t>TRIM(stmt.STMT_NO)</t>
        </is>
      </c>
      <c r="E28" s="416" t="inlineStr">
        <is>
          <t>Sao Ke Giai Ngan</t>
        </is>
      </c>
      <c r="F28" s="416" t="inlineStr">
        <is>
          <t>Stmt No</t>
        </is>
      </c>
      <c r="G28" s="416" t="inlineStr">
        <is>
          <t>Saoke_GIAINGAN</t>
        </is>
      </c>
      <c r="H28" s="416" t="inlineStr">
        <is>
          <t>STMT_NO</t>
        </is>
      </c>
      <c r="I28" s="482" t="inlineStr">
        <is>
          <t>VARCHAR2</t>
        </is>
      </c>
      <c r="J28" s="482" t="n">
        <v>100</v>
      </c>
      <c r="K28" s="416" t="inlineStr">
        <is>
          <t>Trường STMT_NO của bảng nguồn SMY.STMT_DAILY</t>
        </is>
      </c>
      <c r="L28" s="416" t="n"/>
      <c r="M28" s="416">
        <f>"COMMENT ON COLUMN PG_SILVER."&amp;G28&amp;"."&amp;H28&amp;" IS '"&amp;K28&amp;"';"</f>
        <v/>
      </c>
      <c r="N28" s="416" t="inlineStr">
        <is>
          <t>LEFT JOIN PG_BRONZE.SMY_STMT_DAILY stmt ON crb.APP_ID = stmt.OUR_REFERENCE AND stmt.TRANSACTION_CODE = '402'</t>
        </is>
      </c>
    </row>
    <row r="29" ht="15" customHeight="1" s="335">
      <c r="A29" s="416" t="inlineStr">
        <is>
          <t>PG_BRONZE</t>
        </is>
      </c>
      <c r="B29" s="416" t="inlineStr">
        <is>
          <t>SMY_STMT_DAILY</t>
        </is>
      </c>
      <c r="C29" s="416" t="inlineStr">
        <is>
          <t>SUSPENSE_CATEGORY</t>
        </is>
      </c>
      <c r="D29" s="416" t="inlineStr">
        <is>
          <t>TRIM(stmt.SUSPENSE_CATEGORY)</t>
        </is>
      </c>
      <c r="E29" s="416" t="inlineStr">
        <is>
          <t>Sao Ke Giai Ngan</t>
        </is>
      </c>
      <c r="F29" s="416" t="inlineStr">
        <is>
          <t>Suspense Category</t>
        </is>
      </c>
      <c r="G29" s="416" t="inlineStr">
        <is>
          <t>Saoke_GIAINGAN</t>
        </is>
      </c>
      <c r="H29" s="416" t="inlineStr">
        <is>
          <t>SUSPENSE_CATEGORY</t>
        </is>
      </c>
      <c r="I29" s="482" t="inlineStr">
        <is>
          <t>VARCHAR2</t>
        </is>
      </c>
      <c r="J29" s="482" t="n">
        <v>100</v>
      </c>
      <c r="K29" s="416" t="inlineStr">
        <is>
          <t>Mã Category phân loại bút toán bị treo</t>
        </is>
      </c>
      <c r="L29" s="416" t="n"/>
      <c r="M29" s="416">
        <f>"COMMENT ON COLUMN PG_SILVER."&amp;G29&amp;"."&amp;H29&amp;" IS '"&amp;K29&amp;"';"</f>
        <v/>
      </c>
      <c r="N29" s="416" t="inlineStr">
        <is>
          <t>LEFT JOIN PG_BRONZE.SMY_STMT_DAILY stmt ON crb.APP_ID = stmt.OUR_REFERENCE AND stmt.TRANSACTION_CODE = '402'</t>
        </is>
      </c>
    </row>
    <row r="30" ht="15" customHeight="1" s="335">
      <c r="A30" s="416" t="inlineStr">
        <is>
          <t>PG_BRONZE</t>
        </is>
      </c>
      <c r="B30" s="416" t="inlineStr">
        <is>
          <t>SMY_STMT_DAILY</t>
        </is>
      </c>
      <c r="C30" s="416" t="inlineStr">
        <is>
          <t>SUSPNSE_VALUE_DATE</t>
        </is>
      </c>
      <c r="D30" s="416" t="inlineStr">
        <is>
          <t>TO_DATE(CAST(stmt.SUSPNSE_VALUE_DATE AS VARCHAR(20)), 'YYYYMMDD')</t>
        </is>
      </c>
      <c r="E30" s="416" t="inlineStr">
        <is>
          <t>Sao Ke Giai Ngan</t>
        </is>
      </c>
      <c r="F30" s="416" t="inlineStr">
        <is>
          <t>Suspnse Value Date</t>
        </is>
      </c>
      <c r="G30" s="416" t="inlineStr">
        <is>
          <t>Saoke_GIAINGAN</t>
        </is>
      </c>
      <c r="H30" s="416" t="inlineStr">
        <is>
          <t>SUSPNSE_VALUE_DATE</t>
        </is>
      </c>
      <c r="I30" s="482" t="inlineStr">
        <is>
          <t>DATE</t>
        </is>
      </c>
      <c r="J30" s="482" t="n"/>
      <c r="K30" s="416" t="inlineStr">
        <is>
          <t>Ngày bút toán treo</t>
        </is>
      </c>
      <c r="L30" s="416" t="n"/>
      <c r="M30" s="416">
        <f>"COMMENT ON COLUMN PG_SILVER."&amp;G30&amp;"."&amp;H30&amp;" IS '"&amp;K30&amp;"';"</f>
        <v/>
      </c>
      <c r="N30" s="416" t="inlineStr">
        <is>
          <t>LEFT JOIN PG_BRONZE.SMY_STMT_DAILY stmt ON crb.APP_ID = stmt.OUR_REFERENCE AND stmt.TRANSACTION_CODE = '402'</t>
        </is>
      </c>
    </row>
    <row r="31" ht="15" customHeight="1" s="335">
      <c r="A31" s="416" t="inlineStr">
        <is>
          <t>PG_BRONZE</t>
        </is>
      </c>
      <c r="B31" s="416" t="inlineStr">
        <is>
          <t>SMY_STMT_DAILY</t>
        </is>
      </c>
      <c r="C31" s="416" t="inlineStr">
        <is>
          <t>SYSTEM_ID</t>
        </is>
      </c>
      <c r="D31" s="416" t="inlineStr">
        <is>
          <t>TRIM(stmt.SYSTEM_ID)</t>
        </is>
      </c>
      <c r="E31" s="416" t="inlineStr">
        <is>
          <t>Sao Ke Giai Ngan</t>
        </is>
      </c>
      <c r="F31" s="416" t="inlineStr">
        <is>
          <t>System Id</t>
        </is>
      </c>
      <c r="G31" s="416" t="inlineStr">
        <is>
          <t>Saoke_GIAINGAN</t>
        </is>
      </c>
      <c r="H31" s="416" t="inlineStr">
        <is>
          <t>SYSTEM_ID</t>
        </is>
      </c>
      <c r="I31" s="482" t="inlineStr">
        <is>
          <t>VARCHAR2</t>
        </is>
      </c>
      <c r="J31" s="482" t="n">
        <v>100</v>
      </c>
      <c r="K31" s="416" t="inlineStr">
        <is>
          <t>Mã phân hệ</t>
        </is>
      </c>
      <c r="L31" s="416" t="n"/>
      <c r="M31" s="416">
        <f>"COMMENT ON COLUMN PG_SILVER."&amp;G31&amp;"."&amp;H31&amp;" IS '"&amp;K31&amp;"';"</f>
        <v/>
      </c>
      <c r="N31" s="416" t="inlineStr">
        <is>
          <t>LEFT JOIN PG_BRONZE.SMY_STMT_DAILY stmt ON crb.APP_ID = stmt.OUR_REFERENCE AND stmt.TRANSACTION_CODE = '402'</t>
        </is>
      </c>
    </row>
    <row r="32" ht="15" customHeight="1" s="335">
      <c r="A32" s="416" t="inlineStr">
        <is>
          <t>PG_BRONZE</t>
        </is>
      </c>
      <c r="B32" s="416" t="inlineStr">
        <is>
          <t>SMY_STMT_DAILY</t>
        </is>
      </c>
      <c r="C32" s="416" t="inlineStr">
        <is>
          <t>THEIR_REFERENCE</t>
        </is>
      </c>
      <c r="D32" s="416" t="inlineStr">
        <is>
          <t>TRIM(stmt.THEIR_REFERENCE)</t>
        </is>
      </c>
      <c r="E32" s="416" t="inlineStr">
        <is>
          <t>Sao Ke Giai Ngan</t>
        </is>
      </c>
      <c r="F32" s="416" t="inlineStr">
        <is>
          <t>Their Reference</t>
        </is>
      </c>
      <c r="G32" s="416" t="inlineStr">
        <is>
          <t>Saoke_GIAINGAN</t>
        </is>
      </c>
      <c r="H32" s="416" t="inlineStr">
        <is>
          <t>THEIR_REFERENCE</t>
        </is>
      </c>
      <c r="I32" s="482" t="inlineStr">
        <is>
          <t>VARCHAR2</t>
        </is>
      </c>
      <c r="J32" s="482" t="n">
        <v>100</v>
      </c>
      <c r="K32" s="416" t="inlineStr">
        <is>
          <t>Trường THEIR_REFERENCE của bảng nguồn SMY.STMT_DAILY</t>
        </is>
      </c>
      <c r="L32" s="416" t="n"/>
      <c r="M32" s="416">
        <f>"COMMENT ON COLUMN PG_SILVER."&amp;G32&amp;"."&amp;H32&amp;" IS '"&amp;K32&amp;"';"</f>
        <v/>
      </c>
      <c r="N32" s="416" t="inlineStr">
        <is>
          <t>LEFT JOIN PG_BRONZE.SMY_STMT_DAILY stmt ON crb.APP_ID = stmt.OUR_REFERENCE AND stmt.TRANSACTION_CODE = '402'</t>
        </is>
      </c>
    </row>
    <row r="33" ht="15" customHeight="1" s="335">
      <c r="A33" s="416" t="inlineStr">
        <is>
          <t>PG_BRONZE</t>
        </is>
      </c>
      <c r="B33" s="416" t="inlineStr">
        <is>
          <t>SMY_STMT_DAILY</t>
        </is>
      </c>
      <c r="C33" s="416" t="inlineStr">
        <is>
          <t>TRANS_REFERENCE</t>
        </is>
      </c>
      <c r="D33" s="416" t="inlineStr">
        <is>
          <t>TRIM(stmt.TRANS_REFERENCE)</t>
        </is>
      </c>
      <c r="E33" s="416" t="inlineStr">
        <is>
          <t>Sao Ke Giai Ngan</t>
        </is>
      </c>
      <c r="F33" s="416" t="inlineStr">
        <is>
          <t>Trans Reference</t>
        </is>
      </c>
      <c r="G33" s="416" t="inlineStr">
        <is>
          <t>Saoke_GIAINGAN</t>
        </is>
      </c>
      <c r="H33" s="416" t="inlineStr">
        <is>
          <t>TRANS_REFERENCE</t>
        </is>
      </c>
      <c r="I33" s="482" t="inlineStr">
        <is>
          <t>VARCHAR2</t>
        </is>
      </c>
      <c r="J33" s="482" t="n">
        <v>100</v>
      </c>
      <c r="K33" s="416" t="inlineStr">
        <is>
          <t>Trường TRANS_REFERENCE của bảng nguồn SMY.STMT_DAILY</t>
        </is>
      </c>
      <c r="L33" s="416" t="n"/>
      <c r="M33" s="416">
        <f>"COMMENT ON COLUMN PG_SILVER."&amp;G33&amp;"."&amp;H33&amp;" IS '"&amp;K33&amp;"';"</f>
        <v/>
      </c>
      <c r="N33" s="416" t="inlineStr">
        <is>
          <t>LEFT JOIN PG_BRONZE.SMY_STMT_DAILY stmt ON crb.APP_ID = stmt.OUR_REFERENCE AND stmt.TRANSACTION_CODE = '402'</t>
        </is>
      </c>
    </row>
    <row r="34" ht="15" customHeight="1" s="335">
      <c r="A34" s="416" t="inlineStr">
        <is>
          <t>PG_BRONZE</t>
        </is>
      </c>
      <c r="B34" s="416" t="inlineStr">
        <is>
          <t>SMY_STMT_DAILY</t>
        </is>
      </c>
      <c r="C34" s="416" t="inlineStr">
        <is>
          <t>TRANSACTION_CODE</t>
        </is>
      </c>
      <c r="D34" s="416" t="inlineStr">
        <is>
          <t>TRIM(stmt.TRANSACTION_CODE)</t>
        </is>
      </c>
      <c r="E34" s="416" t="inlineStr">
        <is>
          <t>Sao Ke Giai Ngan</t>
        </is>
      </c>
      <c r="F34" s="416" t="inlineStr">
        <is>
          <t>Transaction Code</t>
        </is>
      </c>
      <c r="G34" s="416" t="inlineStr">
        <is>
          <t>Saoke_GIAINGAN</t>
        </is>
      </c>
      <c r="H34" s="416" t="inlineStr">
        <is>
          <t>TRANSACTION_CODE</t>
        </is>
      </c>
      <c r="I34" s="482" t="inlineStr">
        <is>
          <t>VARCHAR2</t>
        </is>
      </c>
      <c r="J34" s="482" t="n">
        <v>100</v>
      </c>
      <c r="K34" s="416" t="inlineStr">
        <is>
          <t>Mã giao dịch</t>
        </is>
      </c>
      <c r="L34" s="416" t="n"/>
      <c r="M34" s="416">
        <f>"COMMENT ON COLUMN PG_SILVER."&amp;G34&amp;"."&amp;H34&amp;" IS '"&amp;K34&amp;"';"</f>
        <v/>
      </c>
      <c r="N34" s="416" t="inlineStr">
        <is>
          <t>LEFT JOIN PG_BRONZE.SMY_STMT_DAILY stmt ON crb.APP_ID = stmt.OUR_REFERENCE AND stmt.TRANSACTION_CODE = '402'</t>
        </is>
      </c>
    </row>
    <row r="35" ht="15" customHeight="1" s="335">
      <c r="A35" s="416" t="inlineStr">
        <is>
          <t>PG_BRONZE</t>
        </is>
      </c>
      <c r="B35" s="416" t="inlineStr">
        <is>
          <t>SMY_STMT_DAILY</t>
        </is>
      </c>
      <c r="C35" s="416" t="inlineStr">
        <is>
          <t>TXN_DATE</t>
        </is>
      </c>
      <c r="D35" s="416" t="inlineStr">
        <is>
          <t>TO_DATE(CAST(stmt.TXN_DATE AS VARCHAR(20)), 'YYYYMMDD')</t>
        </is>
      </c>
      <c r="E35" s="416" t="inlineStr">
        <is>
          <t>Sao Ke Giai Ngan</t>
        </is>
      </c>
      <c r="F35" s="416" t="inlineStr">
        <is>
          <t>Stmt Txn Date</t>
        </is>
      </c>
      <c r="G35" s="416" t="inlineStr">
        <is>
          <t>Saoke_GIAINGAN</t>
        </is>
      </c>
      <c r="H35" s="416" t="inlineStr">
        <is>
          <t>STMT_TXN_DATE</t>
        </is>
      </c>
      <c r="I35" s="482" t="inlineStr">
        <is>
          <t>DATE</t>
        </is>
      </c>
      <c r="J35" s="482" t="n"/>
      <c r="K35" s="416" t="inlineStr">
        <is>
          <t>Trường TXN_DATE của bảng nguồn SMY.STMT_DAILY</t>
        </is>
      </c>
      <c r="L35" s="416" t="n"/>
      <c r="M35" s="416">
        <f>"COMMENT ON COLUMN PG_SILVER."&amp;G35&amp;"."&amp;H35&amp;" IS '"&amp;K35&amp;"';"</f>
        <v/>
      </c>
      <c r="N35" s="416" t="inlineStr">
        <is>
          <t>LEFT JOIN PG_BRONZE.SMY_STMT_DAILY stmt ON crb.APP_ID = stmt.OUR_REFERENCE AND stmt.TRANSACTION_CODE = '402'</t>
        </is>
      </c>
    </row>
    <row r="36" ht="15" customHeight="1" s="335">
      <c r="A36" s="416" t="inlineStr">
        <is>
          <t>PG_BRONZE</t>
        </is>
      </c>
      <c r="B36" s="416" t="inlineStr">
        <is>
          <t>SMY_STMT_DAILY</t>
        </is>
      </c>
      <c r="C36" s="416" t="inlineStr">
        <is>
          <t>VALUE_DATE</t>
        </is>
      </c>
      <c r="D36" s="416" t="inlineStr">
        <is>
          <t>TO_DATE(CAST(stmt.VALUE_DATE AS VARCHAR(20)), 'YYYYMMDD')</t>
        </is>
      </c>
      <c r="E36" s="416" t="inlineStr">
        <is>
          <t>Sao Ke Giai Ngan</t>
        </is>
      </c>
      <c r="F36" s="416" t="inlineStr">
        <is>
          <t>Value Date</t>
        </is>
      </c>
      <c r="G36" s="416" t="inlineStr">
        <is>
          <t>Saoke_GIAINGAN</t>
        </is>
      </c>
      <c r="H36" s="416" t="inlineStr">
        <is>
          <t>VALUE_DATE</t>
        </is>
      </c>
      <c r="I36" s="482" t="inlineStr">
        <is>
          <t>DATE</t>
        </is>
      </c>
      <c r="J36" s="482" t="n"/>
      <c r="K36" s="416" t="inlineStr">
        <is>
          <t>Ngay Hieu luc but toan</t>
        </is>
      </c>
      <c r="L36" s="416" t="n"/>
      <c r="M36" s="416">
        <f>"COMMENT ON COLUMN PG_SILVER."&amp;G36&amp;"."&amp;H36&amp;" IS '"&amp;K36&amp;"';"</f>
        <v/>
      </c>
      <c r="N36" s="416" t="inlineStr">
        <is>
          <t>LEFT JOIN PG_BRONZE.SMY_STMT_DAILY stmt ON crb.APP_ID = stmt.OUR_REFERENCE AND stmt.TRANSACTION_CODE = '402'</t>
        </is>
      </c>
    </row>
    <row r="37" ht="15" customHeight="1" s="335">
      <c r="A37" s="416" t="inlineStr">
        <is>
          <t>PG_BRONZE</t>
        </is>
      </c>
      <c r="B37" s="416" t="inlineStr">
        <is>
          <t>SOURCE_SAOKE_CRB</t>
        </is>
      </c>
      <c r="C37" s="416" t="inlineStr">
        <is>
          <t>ACC_FCC</t>
        </is>
      </c>
      <c r="D37" s="416" t="inlineStr">
        <is>
          <t>TRIM(crb.ACC_FCC)</t>
        </is>
      </c>
      <c r="E37" s="416" t="inlineStr">
        <is>
          <t>Sao Ke Giai Ngan</t>
        </is>
      </c>
      <c r="F37" s="416" t="inlineStr">
        <is>
          <t>Acc Fcc</t>
        </is>
      </c>
      <c r="G37" s="416" t="inlineStr">
        <is>
          <t>Saoke_GIAINGAN</t>
        </is>
      </c>
      <c r="H37" s="416" t="inlineStr">
        <is>
          <t>ACC_FCC</t>
        </is>
      </c>
      <c r="I37" s="482" t="inlineStr">
        <is>
          <t>VARCHAR2</t>
        </is>
      </c>
      <c r="J37" s="482" t="n">
        <v>100</v>
      </c>
      <c r="K37" s="416" t="inlineStr">
        <is>
          <t>Mã hợp đồng FlexCube</t>
        </is>
      </c>
      <c r="L37" s="416" t="n"/>
      <c r="M37" s="416">
        <f>"COMMENT ON COLUMN PG_SILVER."&amp;G37&amp;"."&amp;H37&amp;" IS '"&amp;K37&amp;"';"</f>
        <v/>
      </c>
      <c r="N37" s="416" t="inlineStr">
        <is>
          <t>FROM PG_BRONZE.SOURCE_SAOKE_CRB crb WHERE crb.APP_CODE IN ('LD', 'PD') AND crb.TXN_DATE = ${ETL_DATE}</t>
        </is>
      </c>
    </row>
    <row r="38" ht="15" customHeight="1" s="335">
      <c r="A38" s="416" t="inlineStr">
        <is>
          <t>PG_BRONZE</t>
        </is>
      </c>
      <c r="B38" s="416" t="inlineStr">
        <is>
          <t>SOURCE_SAOKE_CRB</t>
        </is>
      </c>
      <c r="C38" s="416" t="inlineStr">
        <is>
          <t>AMOUNT_CUR</t>
        </is>
      </c>
      <c r="D38" s="416" t="inlineStr">
        <is>
          <t>COALESCE(CAST(crb.AMOUNT_CUR AS DECIMAL(25,5)), 0)</t>
        </is>
      </c>
      <c r="E38" s="416" t="inlineStr">
        <is>
          <t>Sao Ke Giai Ngan</t>
        </is>
      </c>
      <c r="F38" s="416" t="inlineStr">
        <is>
          <t>Amount Cur</t>
        </is>
      </c>
      <c r="G38" s="416" t="inlineStr">
        <is>
          <t>Saoke_GIAINGAN</t>
        </is>
      </c>
      <c r="H38" s="416" t="inlineStr">
        <is>
          <t>AMOUNT_CUR</t>
        </is>
      </c>
      <c r="I38" s="482" t="inlineStr">
        <is>
          <t>NUMBER</t>
        </is>
      </c>
      <c r="J38" s="482" t="n">
        <v>25.5</v>
      </c>
      <c r="K38" s="416" t="inlineStr">
        <is>
          <t>Số tiền dự thu</t>
        </is>
      </c>
      <c r="L38" s="416" t="n"/>
      <c r="M38" s="416">
        <f>"COMMENT ON COLUMN PG_SILVER."&amp;G38&amp;"."&amp;H38&amp;" IS '"&amp;K38&amp;"';"</f>
        <v/>
      </c>
      <c r="N38" s="416" t="inlineStr">
        <is>
          <t>FROM PG_BRONZE.SOURCE_SAOKE_CRB crb WHERE crb.APP_CODE IN ('LD', 'PD') AND crb.TXN_DATE = ${ETL_DATE}</t>
        </is>
      </c>
    </row>
    <row r="39" ht="15" customHeight="1" s="335">
      <c r="A39" s="416" t="inlineStr">
        <is>
          <t>PG_BRONZE</t>
        </is>
      </c>
      <c r="B39" s="416" t="inlineStr">
        <is>
          <t>SOURCE_SAOKE_CRB</t>
        </is>
      </c>
      <c r="C39" s="416" t="inlineStr">
        <is>
          <t>AMOUNT_LCY</t>
        </is>
      </c>
      <c r="D39" s="416" t="inlineStr">
        <is>
          <t>COALESCE(CAST(crb.AMOUNT_LCY AS DECIMAL(25,5)), 0)</t>
        </is>
      </c>
      <c r="E39" s="416" t="inlineStr">
        <is>
          <t>Sao Ke Giai Ngan</t>
        </is>
      </c>
      <c r="F39" s="416" t="inlineStr">
        <is>
          <t>Amount Lcy</t>
        </is>
      </c>
      <c r="G39" s="416" t="inlineStr">
        <is>
          <t>Saoke_GIAINGAN</t>
        </is>
      </c>
      <c r="H39" s="416" t="inlineStr">
        <is>
          <t>AMOUNT_LCY</t>
        </is>
      </c>
      <c r="I39" s="482" t="inlineStr">
        <is>
          <t>NUMBER</t>
        </is>
      </c>
      <c r="J39" s="482" t="n">
        <v>25.5</v>
      </c>
      <c r="K39" s="416" t="inlineStr">
        <is>
          <t>Dư Nợ quy đổi</t>
        </is>
      </c>
      <c r="L39" s="416" t="n"/>
      <c r="M39" s="416">
        <f>"COMMENT ON COLUMN PG_SILVER."&amp;G39&amp;"."&amp;H39&amp;" IS '"&amp;K39&amp;"';"</f>
        <v/>
      </c>
      <c r="N39" s="416" t="inlineStr">
        <is>
          <t>FROM PG_BRONZE.SOURCE_SAOKE_CRB crb WHERE crb.APP_CODE IN ('LD', 'PD') AND crb.TXN_DATE = ${ETL_DATE}</t>
        </is>
      </c>
    </row>
    <row r="40" ht="15" customHeight="1" s="335">
      <c r="A40" s="416" t="inlineStr">
        <is>
          <t>PG_BRONZE</t>
        </is>
      </c>
      <c r="B40" s="416" t="inlineStr">
        <is>
          <t>SOURCE_SAOKE_CRB</t>
        </is>
      </c>
      <c r="C40" s="416" t="inlineStr">
        <is>
          <t>APP_CODE</t>
        </is>
      </c>
      <c r="D40" s="416" t="inlineStr">
        <is>
          <t>TRIM(crb.APP_CODE)</t>
        </is>
      </c>
      <c r="E40" s="416" t="inlineStr">
        <is>
          <t>Sao Ke Giai Ngan</t>
        </is>
      </c>
      <c r="F40" s="416" t="inlineStr">
        <is>
          <t>App Code</t>
        </is>
      </c>
      <c r="G40" s="416" t="inlineStr">
        <is>
          <t>Saoke_GIAINGAN</t>
        </is>
      </c>
      <c r="H40" s="416" t="inlineStr">
        <is>
          <t>APP_CODE</t>
        </is>
      </c>
      <c r="I40" s="482" t="inlineStr">
        <is>
          <t>VARCHAR2</t>
        </is>
      </c>
      <c r="J40" s="482" t="n">
        <v>100</v>
      </c>
      <c r="K40" s="416" t="inlineStr">
        <is>
          <t>Mã phân hệ: LD, MD, AC, PD</t>
        </is>
      </c>
      <c r="L40" s="416" t="n"/>
      <c r="M40" s="416">
        <f>"COMMENT ON COLUMN PG_SILVER."&amp;G40&amp;"."&amp;H40&amp;" IS '"&amp;K40&amp;"';"</f>
        <v/>
      </c>
      <c r="N40" s="416" t="inlineStr">
        <is>
          <t>FROM PG_BRONZE.SOURCE_SAOKE_CRB crb WHERE crb.APP_CODE IN ('LD', 'PD') AND crb.TXN_DATE = ${ETL_DATE}</t>
        </is>
      </c>
    </row>
    <row r="41" ht="15" customHeight="1" s="335">
      <c r="A41" s="416" t="inlineStr">
        <is>
          <t>PG_BRONZE</t>
        </is>
      </c>
      <c r="B41" s="416" t="inlineStr">
        <is>
          <t>SOURCE_SAOKE_CRB</t>
        </is>
      </c>
      <c r="C41" s="416" t="inlineStr">
        <is>
          <t>APP_ID</t>
        </is>
      </c>
      <c r="D41" s="416" t="inlineStr">
        <is>
          <t>TRIM(crb.APP_ID)</t>
        </is>
      </c>
      <c r="E41" s="416" t="inlineStr">
        <is>
          <t>Sao Ke Giai Ngan</t>
        </is>
      </c>
      <c r="F41" s="416" t="inlineStr">
        <is>
          <t>App Id</t>
        </is>
      </c>
      <c r="G41" s="416" t="inlineStr">
        <is>
          <t>Saoke_GIAINGAN</t>
        </is>
      </c>
      <c r="H41" s="416" t="inlineStr">
        <is>
          <t>APP_ID</t>
        </is>
      </c>
      <c r="I41" s="482" t="inlineStr">
        <is>
          <t>VARCHAR2</t>
        </is>
      </c>
      <c r="J41" s="482" t="n">
        <v>100</v>
      </c>
      <c r="K41" s="416" t="inlineStr">
        <is>
          <t>Mã hợp đồng</t>
        </is>
      </c>
      <c r="L41" s="416" t="n"/>
      <c r="M41" s="416">
        <f>"COMMENT ON COLUMN PG_SILVER."&amp;G41&amp;"."&amp;H41&amp;" IS '"&amp;K41&amp;"';"</f>
        <v/>
      </c>
      <c r="N41" s="416" t="inlineStr">
        <is>
          <t>FROM PG_BRONZE.SOURCE_SAOKE_CRB crb WHERE crb.APP_CODE IN ('LD', 'PD') AND crb.TXN_DATE = ${ETL_DATE}</t>
        </is>
      </c>
    </row>
    <row r="42" ht="15" customHeight="1" s="335">
      <c r="A42" s="416" t="inlineStr">
        <is>
          <t>PG_BRONZE</t>
        </is>
      </c>
      <c r="B42" s="416" t="inlineStr">
        <is>
          <t>T24CORE_CUSTOMER</t>
        </is>
      </c>
      <c r="C42" s="416" t="inlineStr">
        <is>
          <t>ASSET_CLASS</t>
        </is>
      </c>
      <c r="D42" s="416" t="inlineStr">
        <is>
          <t>TRIM(cus.ASSET_CLASS)</t>
        </is>
      </c>
      <c r="E42" s="416" t="inlineStr">
        <is>
          <t>Sao Ke Giai Ngan</t>
        </is>
      </c>
      <c r="F42" s="416" t="inlineStr">
        <is>
          <t>Asset Class</t>
        </is>
      </c>
      <c r="G42" s="416" t="inlineStr">
        <is>
          <t>Saoke_GIAINGAN</t>
        </is>
      </c>
      <c r="H42" s="416" t="inlineStr">
        <is>
          <t>ASSET_CLASS</t>
        </is>
      </c>
      <c r="I42" s="482" t="inlineStr">
        <is>
          <t>VARCHAR2</t>
        </is>
      </c>
      <c r="J42" s="482" t="n">
        <v>100</v>
      </c>
      <c r="K42" s="416" t="inlineStr">
        <is>
          <t>Nhóm nợ khách hàng Core tính</t>
        </is>
      </c>
      <c r="L42" s="416" t="n"/>
      <c r="M42" s="416">
        <f>"COMMENT ON COLUMN PG_SILVER."&amp;G42&amp;"."&amp;H42&amp;" IS '"&amp;K42&amp;"';"</f>
        <v/>
      </c>
      <c r="N42" s="416" t="inlineStr">
        <is>
          <t>LEFT JOIN PG_BRONZE.T24CORE_CUSTOMER cus ON crb.CUS_ID = cus.RECID</t>
        </is>
      </c>
    </row>
    <row r="43" ht="15" customHeight="1" s="335">
      <c r="A43" s="416" t="inlineStr">
        <is>
          <t>PG_BRONZE</t>
        </is>
      </c>
      <c r="B43" s="416" t="inlineStr">
        <is>
          <t>SOURCE_SAOKE_CRB</t>
        </is>
      </c>
      <c r="C43" s="416" t="inlineStr">
        <is>
          <t>ASSET_TYPE</t>
        </is>
      </c>
      <c r="D43" s="416" t="inlineStr">
        <is>
          <t>TRIM(crb.ASSET_TYPE)</t>
        </is>
      </c>
      <c r="E43" s="416" t="inlineStr">
        <is>
          <t>Sao Ke Giai Ngan</t>
        </is>
      </c>
      <c r="F43" s="416" t="inlineStr">
        <is>
          <t>Asset Type</t>
        </is>
      </c>
      <c r="G43" s="416" t="inlineStr">
        <is>
          <t>Saoke_GIAINGAN</t>
        </is>
      </c>
      <c r="H43" s="416" t="inlineStr">
        <is>
          <t>ASSET_TYPE</t>
        </is>
      </c>
      <c r="I43" s="482" t="inlineStr">
        <is>
          <t>VARCHAR2</t>
        </is>
      </c>
      <c r="J43" s="482" t="n">
        <v>100</v>
      </c>
      <c r="K43" s="416" t="inlineStr">
        <is>
          <t>Loại dư nợ, hạch toán</t>
        </is>
      </c>
      <c r="L43" s="416" t="n"/>
      <c r="M43" s="416">
        <f>"COMMENT ON COLUMN PG_SILVER."&amp;G43&amp;"."&amp;H43&amp;" IS '"&amp;K43&amp;"';"</f>
        <v/>
      </c>
      <c r="N43" s="416" t="inlineStr">
        <is>
          <t>FROM PG_BRONZE.SOURCE_SAOKE_CRB crb WHERE crb.APP_CODE IN ('LD', 'PD') AND crb.TXN_DATE = ${ETL_DATE}</t>
        </is>
      </c>
    </row>
    <row r="44" ht="15" customHeight="1" s="335">
      <c r="A44" s="416" t="inlineStr">
        <is>
          <t>PG_BRONZE</t>
        </is>
      </c>
      <c r="B44" s="416" t="inlineStr">
        <is>
          <t>SOURCE_SAOKE_CRB</t>
        </is>
      </c>
      <c r="C44" s="416" t="inlineStr">
        <is>
          <t>CATEG_CODE</t>
        </is>
      </c>
      <c r="D44" s="416" t="inlineStr">
        <is>
          <t>TRIM(crb.CATEG_CODE)</t>
        </is>
      </c>
      <c r="E44" s="416" t="inlineStr">
        <is>
          <t>Sao Ke Giai Ngan</t>
        </is>
      </c>
      <c r="F44" s="416" t="inlineStr">
        <is>
          <t>Categ Code</t>
        </is>
      </c>
      <c r="G44" s="416" t="inlineStr">
        <is>
          <t>Saoke_GIAINGAN</t>
        </is>
      </c>
      <c r="H44" s="416" t="inlineStr">
        <is>
          <t>CATEG_CODE</t>
        </is>
      </c>
      <c r="I44" s="482" t="inlineStr">
        <is>
          <t>VARCHAR2</t>
        </is>
      </c>
      <c r="J44" s="482" t="n">
        <v>100</v>
      </c>
      <c r="K44" s="416" t="inlineStr">
        <is>
          <t>Mã phân loại sản phẩm</t>
        </is>
      </c>
      <c r="L44" s="416" t="n"/>
      <c r="M44" s="416">
        <f>"COMMENT ON COLUMN PG_SILVER."&amp;G44&amp;"."&amp;H44&amp;" IS '"&amp;K44&amp;"';"</f>
        <v/>
      </c>
      <c r="N44" s="416" t="inlineStr">
        <is>
          <t>FROM PG_BRONZE.SOURCE_SAOKE_CRB crb WHERE crb.APP_CODE IN ('LD', 'PD') AND crb.TXN_DATE = ${ETL_DATE}</t>
        </is>
      </c>
    </row>
    <row r="45" ht="15" customHeight="1" s="335">
      <c r="A45" s="416" t="inlineStr">
        <is>
          <t>PG_BRONZE</t>
        </is>
      </c>
      <c r="B45" s="416" t="inlineStr">
        <is>
          <t>SOURCE_SAOKE_CRB</t>
        </is>
      </c>
      <c r="C45" s="416" t="inlineStr">
        <is>
          <t>CO_CODE</t>
        </is>
      </c>
      <c r="D45" s="416" t="inlineStr">
        <is>
          <t>TRIM(crb.CO_CODE)</t>
        </is>
      </c>
      <c r="E45" s="416" t="inlineStr">
        <is>
          <t>Sao Ke Giai Ngan</t>
        </is>
      </c>
      <c r="F45" s="416" t="inlineStr">
        <is>
          <t>Co Code</t>
        </is>
      </c>
      <c r="G45" s="416" t="inlineStr">
        <is>
          <t>Saoke_GIAINGAN</t>
        </is>
      </c>
      <c r="H45" s="416" t="inlineStr">
        <is>
          <t>CO_CODE</t>
        </is>
      </c>
      <c r="I45" s="482" t="inlineStr">
        <is>
          <t>VARCHAR2</t>
        </is>
      </c>
      <c r="J45" s="482" t="n">
        <v>100</v>
      </c>
      <c r="K45" s="416" t="inlineStr">
        <is>
          <t>Mã chi nhánh hạch toán</t>
        </is>
      </c>
      <c r="L45" s="416" t="n"/>
      <c r="M45" s="416">
        <f>"COMMENT ON COLUMN PG_SILVER."&amp;G45&amp;"."&amp;H45&amp;" IS '"&amp;K45&amp;"';"</f>
        <v/>
      </c>
      <c r="N45" s="416" t="inlineStr">
        <is>
          <t>FROM PG_BRONZE.SOURCE_SAOKE_CRB crb WHERE crb.APP_CODE IN ('LD', 'PD') AND crb.TXN_DATE = ${ETL_DATE}</t>
        </is>
      </c>
    </row>
    <row r="46" ht="15" customHeight="1" s="335">
      <c r="A46" s="416" t="inlineStr">
        <is>
          <t>PG_BRONZE</t>
        </is>
      </c>
      <c r="B46" s="416" t="inlineStr">
        <is>
          <t>SOURCE_SAOKE_CRB</t>
        </is>
      </c>
      <c r="C46" s="416" t="inlineStr">
        <is>
          <t>CURR</t>
        </is>
      </c>
      <c r="D46" s="416" t="inlineStr">
        <is>
          <t>TRIM(crb.CURR)</t>
        </is>
      </c>
      <c r="E46" s="416" t="inlineStr">
        <is>
          <t>Sao Ke Giai Ngan</t>
        </is>
      </c>
      <c r="F46" s="416" t="inlineStr">
        <is>
          <t>Curr</t>
        </is>
      </c>
      <c r="G46" s="416" t="inlineStr">
        <is>
          <t>Saoke_GIAINGAN</t>
        </is>
      </c>
      <c r="H46" s="416" t="inlineStr">
        <is>
          <t>CURR</t>
        </is>
      </c>
      <c r="I46" s="482" t="inlineStr">
        <is>
          <t>VARCHAR2</t>
        </is>
      </c>
      <c r="J46" s="482" t="n">
        <v>100</v>
      </c>
      <c r="K46" s="416" t="inlineStr">
        <is>
          <t>Loại tiền</t>
        </is>
      </c>
      <c r="L46" s="416" t="n"/>
      <c r="M46" s="416">
        <f>"COMMENT ON COLUMN PG_SILVER."&amp;G46&amp;"."&amp;H46&amp;" IS '"&amp;K46&amp;"';"</f>
        <v/>
      </c>
      <c r="N46" s="416" t="inlineStr">
        <is>
          <t>FROM PG_BRONZE.SOURCE_SAOKE_CRB crb WHERE crb.APP_CODE IN ('LD', 'PD') AND crb.TXN_DATE = ${ETL_DATE}</t>
        </is>
      </c>
    </row>
    <row r="47" ht="15" customHeight="1" s="335">
      <c r="A47" s="416" t="inlineStr">
        <is>
          <t>PG_BRONZE</t>
        </is>
      </c>
      <c r="B47" s="416" t="inlineStr">
        <is>
          <t>SOURCE_SAOKE_CRB</t>
        </is>
      </c>
      <c r="C47" s="416" t="inlineStr">
        <is>
          <t>CUS_ID</t>
        </is>
      </c>
      <c r="D47" s="416" t="inlineStr">
        <is>
          <t>TRIM(crb.CUS_ID)</t>
        </is>
      </c>
      <c r="E47" s="416" t="inlineStr">
        <is>
          <t>Sao Ke Giai Ngan</t>
        </is>
      </c>
      <c r="F47" s="416" t="inlineStr">
        <is>
          <t>Cus Id</t>
        </is>
      </c>
      <c r="G47" s="416" t="inlineStr">
        <is>
          <t>Saoke_GIAINGAN</t>
        </is>
      </c>
      <c r="H47" s="416" t="inlineStr">
        <is>
          <t>CUS_ID</t>
        </is>
      </c>
      <c r="I47" s="482" t="inlineStr">
        <is>
          <t>VARCHAR2</t>
        </is>
      </c>
      <c r="J47" s="482" t="n">
        <v>100</v>
      </c>
      <c r="K47" s="416" t="inlineStr">
        <is>
          <t>Mã khách hàng</t>
        </is>
      </c>
      <c r="L47" s="416" t="n"/>
      <c r="M47" s="416">
        <f>"COMMENT ON COLUMN PG_SILVER."&amp;G47&amp;"."&amp;H47&amp;" IS '"&amp;K47&amp;"';"</f>
        <v/>
      </c>
      <c r="N47" s="416" t="inlineStr">
        <is>
          <t>FROM PG_BRONZE.SOURCE_SAOKE_CRB crb WHERE crb.APP_CODE IN ('LD', 'PD') AND crb.TXN_DATE = ${ETL_DATE}</t>
        </is>
      </c>
    </row>
    <row r="48" ht="15" customHeight="1" s="335">
      <c r="A48" s="416" t="inlineStr">
        <is>
          <t>PG_BRONZE</t>
        </is>
      </c>
      <c r="B48" s="416" t="inlineStr">
        <is>
          <t>SOURCE_SAOKE_CRB</t>
        </is>
      </c>
      <c r="C48" s="416" t="inlineStr">
        <is>
          <t>DATE</t>
        </is>
      </c>
      <c r="D48" s="416" t="inlineStr">
        <is>
          <t>TO_DATE(CAST(crb.DATE AS VARCHAR(20)), 'YYYYMMDD')</t>
        </is>
      </c>
      <c r="E48" s="416" t="inlineStr">
        <is>
          <t>Sao Ke Giai Ngan</t>
        </is>
      </c>
      <c r="F48" s="416" t="inlineStr">
        <is>
          <t>Date</t>
        </is>
      </c>
      <c r="G48" s="416" t="inlineStr">
        <is>
          <t>Saoke_GIAINGAN</t>
        </is>
      </c>
      <c r="H48" s="416" t="inlineStr">
        <is>
          <t>DATE</t>
        </is>
      </c>
      <c r="I48" s="482" t="inlineStr">
        <is>
          <t>DATE</t>
        </is>
      </c>
      <c r="J48" s="482" t="n"/>
      <c r="K48" s="416" t="inlineStr">
        <is>
          <t>Ngày giao dịch YYYYMMDD</t>
        </is>
      </c>
      <c r="L48" s="416" t="n"/>
      <c r="M48" s="416">
        <f>"COMMENT ON COLUMN PG_SILVER."&amp;G48&amp;"."&amp;H48&amp;" IS '"&amp;K48&amp;"';"</f>
        <v/>
      </c>
      <c r="N48" s="416" t="inlineStr">
        <is>
          <t>FROM PG_BRONZE.SOURCE_SAOKE_CRB crb WHERE crb.APP_CODE IN ('LD', 'PD') AND crb.TXN_DATE = ${ETL_DATE}</t>
        </is>
      </c>
    </row>
    <row r="49" ht="15" customHeight="1" s="335">
      <c r="A49" s="416" t="inlineStr">
        <is>
          <t>PG_BRONZE</t>
        </is>
      </c>
      <c r="B49" s="416" t="inlineStr">
        <is>
          <t>SOURCE_SAOKE_CRB</t>
        </is>
      </c>
      <c r="C49" s="416" t="inlineStr">
        <is>
          <t>LOC_TERM</t>
        </is>
      </c>
      <c r="D49" s="416" t="inlineStr">
        <is>
          <t>TRIM(crb.LOC_TERM)</t>
        </is>
      </c>
      <c r="E49" s="416" t="inlineStr">
        <is>
          <t>Sao Ke Giai Ngan</t>
        </is>
      </c>
      <c r="F49" s="416" t="inlineStr">
        <is>
          <t>Loc Term</t>
        </is>
      </c>
      <c r="G49" s="416" t="inlineStr">
        <is>
          <t>Saoke_GIAINGAN</t>
        </is>
      </c>
      <c r="H49" s="416" t="inlineStr">
        <is>
          <t>LOC_TERM</t>
        </is>
      </c>
      <c r="I49" s="482" t="inlineStr">
        <is>
          <t>VARCHAR2</t>
        </is>
      </c>
      <c r="J49" s="482" t="n">
        <v>100</v>
      </c>
      <c r="K49" s="416" t="inlineStr">
        <is>
          <t>Trường LOC_TERM của bảng nguồn SOURCE.SAOKE_CRB</t>
        </is>
      </c>
      <c r="L49" s="416" t="n"/>
      <c r="M49" s="416">
        <f>"COMMENT ON COLUMN PG_SILVER."&amp;G49&amp;"."&amp;H49&amp;" IS '"&amp;K49&amp;"';"</f>
        <v/>
      </c>
      <c r="N49" s="416" t="inlineStr">
        <is>
          <t>FROM PG_BRONZE.SOURCE_SAOKE_CRB crb WHERE crb.APP_CODE IN ('LD', 'PD') AND crb.TXN_DATE = ${ETL_DATE}</t>
        </is>
      </c>
    </row>
    <row r="50" ht="15" customHeight="1" s="335">
      <c r="A50" s="416" t="inlineStr">
        <is>
          <t>PG_BRONZE</t>
        </is>
      </c>
      <c r="B50" s="416" t="inlineStr">
        <is>
          <t>SOURCE_SAOKE_CRB</t>
        </is>
      </c>
      <c r="C50" s="416" t="inlineStr">
        <is>
          <t>MAT_DATE</t>
        </is>
      </c>
      <c r="D50" s="416" t="inlineStr">
        <is>
          <t>TO_DATE(CAST(crb.MAT_DATE AS VARCHAR(20)), 'YYYYMMDD')</t>
        </is>
      </c>
      <c r="E50" s="416" t="inlineStr">
        <is>
          <t>Sao Ke Giai Ngan</t>
        </is>
      </c>
      <c r="F50" s="416" t="inlineStr">
        <is>
          <t>Mat Date</t>
        </is>
      </c>
      <c r="G50" s="416" t="inlineStr">
        <is>
          <t>Saoke_GIAINGAN</t>
        </is>
      </c>
      <c r="H50" s="416" t="inlineStr">
        <is>
          <t>MAT_DATE</t>
        </is>
      </c>
      <c r="I50" s="482" t="inlineStr">
        <is>
          <t>DATE</t>
        </is>
      </c>
      <c r="J50" s="482" t="n"/>
      <c r="K50" s="416" t="inlineStr">
        <is>
          <t>Ngày đáo hạn hợp đồng</t>
        </is>
      </c>
      <c r="L50" s="416" t="n"/>
      <c r="M50" s="416">
        <f>"COMMENT ON COLUMN PG_SILVER."&amp;G50&amp;"."&amp;H50&amp;" IS '"&amp;K50&amp;"';"</f>
        <v/>
      </c>
      <c r="N50" s="416" t="inlineStr">
        <is>
          <t>FROM PG_BRONZE.SOURCE_SAOKE_CRB crb WHERE crb.APP_CODE IN ('LD', 'PD') AND crb.TXN_DATE = ${ETL_DATE}</t>
        </is>
      </c>
    </row>
    <row r="51" ht="15" customHeight="1" s="335">
      <c r="A51" s="416" t="inlineStr">
        <is>
          <t>PG_BRONZE</t>
        </is>
      </c>
      <c r="B51" s="416" t="inlineStr">
        <is>
          <t>SOURCE_SAOKE_CRB</t>
        </is>
      </c>
      <c r="C51" s="416" t="inlineStr">
        <is>
          <t>SBV_CODE</t>
        </is>
      </c>
      <c r="D51" s="416" t="inlineStr">
        <is>
          <t>TRIM(crb.SBV_CODE)</t>
        </is>
      </c>
      <c r="E51" s="416" t="inlineStr">
        <is>
          <t>Sao Ke Giai Ngan</t>
        </is>
      </c>
      <c r="F51" s="416" t="inlineStr">
        <is>
          <t>Sbv Code</t>
        </is>
      </c>
      <c r="G51" s="416" t="inlineStr">
        <is>
          <t>Saoke_GIAINGAN</t>
        </is>
      </c>
      <c r="H51" s="416" t="inlineStr">
        <is>
          <t>SBV_CODE</t>
        </is>
      </c>
      <c r="I51" s="482" t="inlineStr">
        <is>
          <t>VARCHAR2</t>
        </is>
      </c>
      <c r="J51" s="482" t="n">
        <v>100</v>
      </c>
      <c r="K51" s="416" t="inlineStr">
        <is>
          <t>Mã hạch toán theo SBV</t>
        </is>
      </c>
      <c r="L51" s="416" t="n"/>
      <c r="M51" s="416">
        <f>"COMMENT ON COLUMN PG_SILVER."&amp;G51&amp;"."&amp;H51&amp;" IS '"&amp;K51&amp;"';"</f>
        <v/>
      </c>
      <c r="N51" s="416" t="inlineStr">
        <is>
          <t>FROM PG_BRONZE.SOURCE_SAOKE_CRB crb WHERE crb.APP_CODE IN ('LD', 'PD') AND crb.TXN_DATE = ${ETL_DATE}</t>
        </is>
      </c>
    </row>
    <row r="52" ht="15" customHeight="1" s="335">
      <c r="A52" s="416" t="inlineStr">
        <is>
          <t>PG_BRONZE</t>
        </is>
      </c>
      <c r="B52" s="416" t="inlineStr">
        <is>
          <t>SOURCE_SAOKE_CRB</t>
        </is>
      </c>
      <c r="C52" s="416" t="inlineStr">
        <is>
          <t>SUB_PRO</t>
        </is>
      </c>
      <c r="D52" s="416" t="inlineStr">
        <is>
          <t>TRIM(crb.SUB_PRO)</t>
        </is>
      </c>
      <c r="E52" s="416" t="inlineStr">
        <is>
          <t>Sao Ke Giai Ngan</t>
        </is>
      </c>
      <c r="F52" s="416" t="inlineStr">
        <is>
          <t>Sub Pro</t>
        </is>
      </c>
      <c r="G52" s="416" t="inlineStr">
        <is>
          <t>Saoke_GIAINGAN</t>
        </is>
      </c>
      <c r="H52" s="416" t="inlineStr">
        <is>
          <t>SUB_PRO</t>
        </is>
      </c>
      <c r="I52" s="482" t="inlineStr">
        <is>
          <t>VARCHAR2</t>
        </is>
      </c>
      <c r="J52" s="482" t="n">
        <v>100</v>
      </c>
      <c r="K52" s="416" t="inlineStr">
        <is>
          <t>Mã sản phẩm con</t>
        </is>
      </c>
      <c r="L52" s="416" t="n"/>
      <c r="M52" s="416">
        <f>"COMMENT ON COLUMN PG_SILVER."&amp;G52&amp;"."&amp;H52&amp;" IS '"&amp;K52&amp;"';"</f>
        <v/>
      </c>
      <c r="N52" s="416" t="inlineStr">
        <is>
          <t>FROM PG_BRONZE.SOURCE_SAOKE_CRB crb WHERE crb.APP_CODE IN ('LD', 'PD') AND crb.TXN_DATE = ${ETL_DATE}</t>
        </is>
      </c>
    </row>
    <row r="53" ht="15" customHeight="1" s="335">
      <c r="A53" s="416" t="inlineStr">
        <is>
          <t>PG_BRONZE</t>
        </is>
      </c>
      <c r="B53" s="416" t="inlineStr">
        <is>
          <t>SOURCE_SAOKE_CRB</t>
        </is>
      </c>
      <c r="C53" s="416" t="inlineStr">
        <is>
          <t>TXN_DATE</t>
        </is>
      </c>
      <c r="D53" s="416" t="inlineStr">
        <is>
          <t>TO_DATE(CAST(crb.TXN_DATE AS VARCHAR(20)), 'YYYYMMDD')</t>
        </is>
      </c>
      <c r="E53" s="416" t="inlineStr">
        <is>
          <t>Sao Ke Giai Ngan</t>
        </is>
      </c>
      <c r="F53" s="416" t="inlineStr">
        <is>
          <t>Txn Date</t>
        </is>
      </c>
      <c r="G53" s="416" t="inlineStr">
        <is>
          <t>Saoke_GIAINGAN</t>
        </is>
      </c>
      <c r="H53" s="416" t="inlineStr">
        <is>
          <t>TXN_DATE</t>
        </is>
      </c>
      <c r="I53" s="482" t="inlineStr">
        <is>
          <t>DATE</t>
        </is>
      </c>
      <c r="J53" s="482" t="n"/>
      <c r="K53" s="416" t="inlineStr">
        <is>
          <t>Ngày giao dịch</t>
        </is>
      </c>
      <c r="L53" s="416" t="n"/>
      <c r="M53" s="416">
        <f>"COMMENT ON COLUMN PG_SILVER."&amp;G53&amp;"."&amp;H53&amp;" IS '"&amp;K53&amp;"';"</f>
        <v/>
      </c>
      <c r="N53" s="416" t="inlineStr">
        <is>
          <t>FROM PG_BRONZE.SOURCE_SAOKE_CRB crb WHERE crb.APP_CODE IN ('LD', 'PD') AND crb.TXN_DATE = ${ETL_DATE}</t>
        </is>
      </c>
    </row>
    <row r="54" ht="15" customHeight="1" s="335">
      <c r="A54" s="416" t="inlineStr">
        <is>
          <t>PG_BRONZE</t>
        </is>
      </c>
      <c r="B54" s="416" t="inlineStr">
        <is>
          <t>SOURCE_SAOKE_CRB</t>
        </is>
      </c>
      <c r="C54" s="416" t="inlineStr">
        <is>
          <t>VAL_DATE</t>
        </is>
      </c>
      <c r="D54" s="416" t="inlineStr">
        <is>
          <t>TO_DATE(CAST(crb.VAL_DATE AS VARCHAR(20)), 'YYYYMMDD')</t>
        </is>
      </c>
      <c r="E54" s="416" t="inlineStr">
        <is>
          <t>Sao Ke Giai Ngan</t>
        </is>
      </c>
      <c r="F54" s="416" t="inlineStr">
        <is>
          <t>Val Date</t>
        </is>
      </c>
      <c r="G54" s="416" t="inlineStr">
        <is>
          <t>Saoke_GIAINGAN</t>
        </is>
      </c>
      <c r="H54" s="416" t="inlineStr">
        <is>
          <t>VAL_DATE</t>
        </is>
      </c>
      <c r="I54" s="482" t="inlineStr">
        <is>
          <t>DATE</t>
        </is>
      </c>
      <c r="J54" s="482" t="n"/>
      <c r="K54" s="416" t="inlineStr">
        <is>
          <t>Ngày hiệu lực hợp đồng</t>
        </is>
      </c>
      <c r="L54" s="416" t="n"/>
      <c r="M54" s="416">
        <f>"COMMENT ON COLUMN PG_SILVER."&amp;G54&amp;"."&amp;H54&amp;" IS '"&amp;K54&amp;"';"</f>
        <v/>
      </c>
      <c r="N54" s="416" t="inlineStr">
        <is>
          <t>FROM PG_BRONZE.SOURCE_SAOKE_CRB crb WHERE crb.APP_CODE IN ('LD', 'PD') AND crb.TXN_DATE = ${ETL_DATE}</t>
        </is>
      </c>
    </row>
    <row r="55" ht="15" customHeight="1" s="335">
      <c r="A55" s="416" t="inlineStr">
        <is>
          <t>PG_BRONZE</t>
        </is>
      </c>
      <c r="B55" s="416" t="inlineStr">
        <is>
          <t>SOURCE_SAOKE_MVMT</t>
        </is>
      </c>
      <c r="C55" s="416" t="inlineStr">
        <is>
          <t>SBV_CODE</t>
        </is>
      </c>
      <c r="D55" s="416" t="inlineStr">
        <is>
          <t>TRIM(mvmt.SBV_CODE)</t>
        </is>
      </c>
      <c r="E55" s="416" t="inlineStr">
        <is>
          <t>Sao Ke Giai Ngan</t>
        </is>
      </c>
      <c r="F55" s="416" t="inlineStr">
        <is>
          <t>Mvmt Sbv Code</t>
        </is>
      </c>
      <c r="G55" s="416" t="inlineStr">
        <is>
          <t>Saoke_GIAINGAN</t>
        </is>
      </c>
      <c r="H55" s="416" t="inlineStr">
        <is>
          <t>MVMT_SBV_CODE</t>
        </is>
      </c>
      <c r="I55" s="482" t="inlineStr">
        <is>
          <t>VARCHAR2</t>
        </is>
      </c>
      <c r="J55" s="482" t="n">
        <v>100</v>
      </c>
      <c r="K55" s="416" t="inlineStr">
        <is>
          <t>Mã hạch toán theo SBV</t>
        </is>
      </c>
      <c r="L55" s="416" t="n"/>
      <c r="M55" s="416">
        <f>"COMMENT ON COLUMN PG_SILVER."&amp;G55&amp;"."&amp;H55&amp;" IS '"&amp;K55&amp;"';"</f>
        <v/>
      </c>
      <c r="N55" s="416" t="inlineStr">
        <is>
          <t>LEFT JOIN PG_BRONZE.SOURCE_SAOKE_MVMT mvmt ON crb.APP_ID = mvmt.TRANS_REF</t>
        </is>
      </c>
    </row>
    <row r="56" ht="15" customHeight="1" s="335">
      <c r="A56" s="416" t="inlineStr">
        <is>
          <t>PG_BRONZE</t>
        </is>
      </c>
      <c r="B56" s="416" t="inlineStr">
        <is>
          <t>SOURCE_SAOKE_MVMT</t>
        </is>
      </c>
      <c r="C56" s="416" t="inlineStr">
        <is>
          <t>TRANS_REF</t>
        </is>
      </c>
      <c r="D56" s="416" t="inlineStr">
        <is>
          <t>TRIM(mvmt.TRANS_REF)</t>
        </is>
      </c>
      <c r="E56" s="416" t="inlineStr">
        <is>
          <t>Sao Ke Giai Ngan</t>
        </is>
      </c>
      <c r="F56" s="416" t="inlineStr">
        <is>
          <t>Trans Ref</t>
        </is>
      </c>
      <c r="G56" s="416" t="inlineStr">
        <is>
          <t>Saoke_GIAINGAN</t>
        </is>
      </c>
      <c r="H56" s="416" t="inlineStr">
        <is>
          <t>TRANS_REF</t>
        </is>
      </c>
      <c r="I56" s="482" t="inlineStr">
        <is>
          <t>VARCHAR2</t>
        </is>
      </c>
      <c r="J56" s="482" t="n">
        <v>100</v>
      </c>
      <c r="K56" s="416" t="inlineStr">
        <is>
          <t>Mã tham chiếu giao dịch</t>
        </is>
      </c>
      <c r="L56" s="416" t="n"/>
      <c r="M56" s="416">
        <f>"COMMENT ON COLUMN PG_SILVER."&amp;G56&amp;"."&amp;H56&amp;" IS '"&amp;K56&amp;"';"</f>
        <v/>
      </c>
      <c r="N56" s="416" t="inlineStr">
        <is>
          <t>LEFT JOIN PG_BRONZE.SOURCE_SAOKE_MVMT mvmt ON crb.APP_ID = mvmt.TRANS_REF</t>
        </is>
      </c>
    </row>
    <row r="57" ht="15" customHeight="1" s="335">
      <c r="A57" s="416" t="inlineStr">
        <is>
          <t>PG_BRONZE</t>
        </is>
      </c>
      <c r="B57" s="416" t="inlineStr">
        <is>
          <t>SOURCE_SAOKE_MVMT</t>
        </is>
      </c>
      <c r="C57" s="416" t="inlineStr">
        <is>
          <t>TXN_DATE</t>
        </is>
      </c>
      <c r="D57" s="416" t="inlineStr">
        <is>
          <t>TO_DATE(CAST(mvmt.TXN_DATE AS VARCHAR(20)), 'YYYYMMDD')</t>
        </is>
      </c>
      <c r="E57" s="416" t="inlineStr">
        <is>
          <t>Sao Ke Giai Ngan</t>
        </is>
      </c>
      <c r="F57" s="416" t="inlineStr">
        <is>
          <t>Mvmt Txn Date</t>
        </is>
      </c>
      <c r="G57" s="416" t="inlineStr">
        <is>
          <t>Saoke_GIAINGAN</t>
        </is>
      </c>
      <c r="H57" s="416" t="inlineStr">
        <is>
          <t>MVMT_TXN_DATE</t>
        </is>
      </c>
      <c r="I57" s="482" t="inlineStr">
        <is>
          <t>DATE</t>
        </is>
      </c>
      <c r="J57" s="482" t="n"/>
      <c r="K57" s="416" t="inlineStr">
        <is>
          <t>Ngày thực hiện giao dịch</t>
        </is>
      </c>
      <c r="L57" s="416" t="n"/>
      <c r="M57" s="416">
        <f>"COMMENT ON COLUMN PG_SILVER."&amp;G57&amp;"."&amp;H57&amp;" IS '"&amp;K57&amp;"';"</f>
        <v/>
      </c>
      <c r="N57" s="416" t="inlineStr">
        <is>
          <t>LEFT JOIN PG_BRONZE.SOURCE_SAOKE_MVMT mvmt ON crb.APP_ID = mvmt.TRANS_REF</t>
        </is>
      </c>
    </row>
    <row r="58" ht="15" customHeight="1" s="335">
      <c r="A58" s="416" t="inlineStr">
        <is>
          <t>PG_BRONZE</t>
        </is>
      </c>
      <c r="B58" s="416" t="inlineStr">
        <is>
          <t>T24CORE_COMPANY</t>
        </is>
      </c>
      <c r="C58" s="416" t="inlineStr">
        <is>
          <t>COMPANY_NAME</t>
        </is>
      </c>
      <c r="D58" s="416" t="inlineStr">
        <is>
          <t>TRIM(comp.COMPANY_NAME)</t>
        </is>
      </c>
      <c r="E58" s="416" t="inlineStr">
        <is>
          <t>Sao Ke Giai Ngan</t>
        </is>
      </c>
      <c r="F58" s="416" t="inlineStr">
        <is>
          <t>Company Name</t>
        </is>
      </c>
      <c r="G58" s="416" t="inlineStr">
        <is>
          <t>Saoke_GIAINGAN</t>
        </is>
      </c>
      <c r="H58" s="416" t="inlineStr">
        <is>
          <t>COMPANY_NAME</t>
        </is>
      </c>
      <c r="I58" s="482" t="inlineStr">
        <is>
          <t>VARCHAR2</t>
        </is>
      </c>
      <c r="J58" s="482" t="n">
        <v>255</v>
      </c>
      <c r="K58" s="416" t="inlineStr">
        <is>
          <t>Tên chi nhánh</t>
        </is>
      </c>
      <c r="L58" s="416" t="n"/>
      <c r="M58" s="416">
        <f>"COMMENT ON COLUMN PG_SILVER."&amp;G58&amp;"."&amp;H58&amp;" IS '"&amp;K58&amp;"';"</f>
        <v/>
      </c>
      <c r="N58" s="416" t="inlineStr">
        <is>
          <t>LEFT JOIN PG_BRONZE.T24CORE_COMPANY comp ON crb.CO_CODE = comp.RECID</t>
        </is>
      </c>
    </row>
    <row r="59" ht="15" customHeight="1" s="335">
      <c r="A59" s="416" t="inlineStr">
        <is>
          <t>PG_BRONZE</t>
        </is>
      </c>
      <c r="B59" s="416" t="inlineStr">
        <is>
          <t>T24CORE_COMPANY</t>
        </is>
      </c>
      <c r="C59" s="416" t="inlineStr">
        <is>
          <t>RECID</t>
        </is>
      </c>
      <c r="D59" s="416" t="inlineStr">
        <is>
          <t>TRIM(comp.RECID)</t>
        </is>
      </c>
      <c r="E59" s="416" t="inlineStr">
        <is>
          <t>Sao Ke Giai Ngan</t>
        </is>
      </c>
      <c r="F59" s="416" t="inlineStr">
        <is>
          <t>Comp Recid</t>
        </is>
      </c>
      <c r="G59" s="416" t="inlineStr">
        <is>
          <t>Saoke_GIAINGAN</t>
        </is>
      </c>
      <c r="H59" s="416" t="inlineStr">
        <is>
          <t>COMP_RECID</t>
        </is>
      </c>
      <c r="I59" s="482" t="inlineStr">
        <is>
          <t>VARCHAR2</t>
        </is>
      </c>
      <c r="J59" s="482" t="n">
        <v>100</v>
      </c>
      <c r="K59" s="416" t="inlineStr">
        <is>
          <t>Mã chi nhánh</t>
        </is>
      </c>
      <c r="L59" s="416" t="n"/>
      <c r="M59" s="416">
        <f>"COMMENT ON COLUMN PG_SILVER."&amp;G59&amp;"."&amp;H59&amp;" IS '"&amp;K59&amp;"';"</f>
        <v/>
      </c>
      <c r="N59" s="416" t="inlineStr">
        <is>
          <t>LEFT JOIN PG_BRONZE.T24CORE_COMPANY comp ON crb.CO_CODE = comp.RECID</t>
        </is>
      </c>
    </row>
    <row r="60" ht="15" customHeight="1" s="335">
      <c r="A60" s="416" t="inlineStr">
        <is>
          <t>PG_BRONZE</t>
        </is>
      </c>
      <c r="B60" s="416" t="inlineStr">
        <is>
          <t>T24CORE_CUSTOMER</t>
        </is>
      </c>
      <c r="C60" s="416" t="inlineStr">
        <is>
          <t>ACCOUNT_OFFICER</t>
        </is>
      </c>
      <c r="D60" s="416" t="inlineStr">
        <is>
          <t>TRIM(cus.ACCOUNT_OFFICER)</t>
        </is>
      </c>
      <c r="E60" s="416" t="inlineStr">
        <is>
          <t>Sao Ke Giai Ngan</t>
        </is>
      </c>
      <c r="F60" s="416" t="inlineStr">
        <is>
          <t>Account Officer</t>
        </is>
      </c>
      <c r="G60" s="416" t="inlineStr">
        <is>
          <t>Saoke_GIAINGAN</t>
        </is>
      </c>
      <c r="H60" s="416" t="inlineStr">
        <is>
          <t>ACCOUNT_OFFICER</t>
        </is>
      </c>
      <c r="I60" s="482" t="inlineStr">
        <is>
          <t>VARCHAR2</t>
        </is>
      </c>
      <c r="J60" s="482" t="n">
        <v>100</v>
      </c>
      <c r="K60" s="416" t="inlineStr">
        <is>
          <t>Mã nhân viên hạch toán</t>
        </is>
      </c>
      <c r="L60" s="416" t="n"/>
      <c r="M60" s="416">
        <f>"COMMENT ON COLUMN PG_SILVER."&amp;G60&amp;"."&amp;H60&amp;" IS '"&amp;K60&amp;"';"</f>
        <v/>
      </c>
      <c r="N60" s="416" t="inlineStr">
        <is>
          <t>LEFT JOIN PG_BRONZE.T24CORE_CUSTOMER cus ON crb.CUS_ID = cus.RECID</t>
        </is>
      </c>
    </row>
    <row r="61" ht="15" customHeight="1" s="335">
      <c r="A61" s="416" t="inlineStr">
        <is>
          <t>PG_BRONZE</t>
        </is>
      </c>
      <c r="B61" s="416" t="inlineStr">
        <is>
          <t>T24CORE_CUSTOMER</t>
        </is>
      </c>
      <c r="C61" s="416" t="inlineStr">
        <is>
          <t>ACTIVE_STATUS</t>
        </is>
      </c>
      <c r="D61" s="416" t="inlineStr">
        <is>
          <t>TRIM(cus.ACTIVE_STATUS)</t>
        </is>
      </c>
      <c r="E61" s="416" t="inlineStr">
        <is>
          <t>Sao Ke Giai Ngan</t>
        </is>
      </c>
      <c r="F61" s="416" t="inlineStr">
        <is>
          <t>Active Status</t>
        </is>
      </c>
      <c r="G61" s="416" t="inlineStr">
        <is>
          <t>Saoke_GIAINGAN</t>
        </is>
      </c>
      <c r="H61" s="416" t="inlineStr">
        <is>
          <t>ACTIVE_STATUS</t>
        </is>
      </c>
      <c r="I61" s="482" t="inlineStr">
        <is>
          <t>VARCHAR2</t>
        </is>
      </c>
      <c r="J61" s="482" t="n">
        <v>100</v>
      </c>
      <c r="K61" s="416" t="inlineStr">
        <is>
          <t>Trạng thái bản ghi</t>
        </is>
      </c>
      <c r="L61" s="416" t="n"/>
      <c r="M61" s="416">
        <f>"COMMENT ON COLUMN PG_SILVER."&amp;G61&amp;"."&amp;H61&amp;" IS '"&amp;K61&amp;"';"</f>
        <v/>
      </c>
      <c r="N61" s="416" t="inlineStr">
        <is>
          <t>LEFT JOIN PG_BRONZE.T24CORE_CUSTOMER cus ON crb.CUS_ID = cus.RECID</t>
        </is>
      </c>
    </row>
    <row r="62" ht="15" customHeight="1" s="335">
      <c r="A62" s="416" t="inlineStr">
        <is>
          <t>PG_BRONZE</t>
        </is>
      </c>
      <c r="B62" s="416" t="inlineStr">
        <is>
          <t>T24CORE_CUSTOMER</t>
        </is>
      </c>
      <c r="C62" s="416" t="inlineStr">
        <is>
          <t>AML_CHECK</t>
        </is>
      </c>
      <c r="D62" s="416" t="inlineStr">
        <is>
          <t>TRIM(cus.AML_CHECK)</t>
        </is>
      </c>
      <c r="E62" s="416" t="inlineStr">
        <is>
          <t>Sao Ke Giai Ngan</t>
        </is>
      </c>
      <c r="F62" s="416" t="inlineStr">
        <is>
          <t>Aml Check</t>
        </is>
      </c>
      <c r="G62" s="416" t="inlineStr">
        <is>
          <t>Saoke_GIAINGAN</t>
        </is>
      </c>
      <c r="H62" s="416" t="inlineStr">
        <is>
          <t>AML_CHECK</t>
        </is>
      </c>
      <c r="I62" s="482" t="inlineStr">
        <is>
          <t>VARCHAR2</t>
        </is>
      </c>
      <c r="J62" s="482" t="n">
        <v>100</v>
      </c>
      <c r="K62" s="416" t="inlineStr">
        <is>
          <t>Liên quan tới hệ thống Phòng Chống rửa tiền</t>
        </is>
      </c>
      <c r="L62" s="416" t="n"/>
      <c r="M62" s="416">
        <f>"COMMENT ON COLUMN PG_SILVER."&amp;G62&amp;"."&amp;H62&amp;" IS '"&amp;K62&amp;"';"</f>
        <v/>
      </c>
      <c r="N62" s="416" t="inlineStr">
        <is>
          <t>LEFT JOIN PG_BRONZE.T24CORE_CUSTOMER cus ON crb.CUS_ID = cus.RECID</t>
        </is>
      </c>
    </row>
    <row r="63" ht="15" customHeight="1" s="335">
      <c r="A63" s="416" t="inlineStr">
        <is>
          <t>PG_BRONZE</t>
        </is>
      </c>
      <c r="B63" s="416" t="inlineStr">
        <is>
          <t>T24CORE_CUSTOMER</t>
        </is>
      </c>
      <c r="C63" s="416" t="inlineStr">
        <is>
          <t>AML_RESULT</t>
        </is>
      </c>
      <c r="D63" s="416" t="inlineStr">
        <is>
          <t>TRIM(cus.AML_RESULT)</t>
        </is>
      </c>
      <c r="E63" s="416" t="inlineStr">
        <is>
          <t>Sao Ke Giai Ngan</t>
        </is>
      </c>
      <c r="F63" s="416" t="inlineStr">
        <is>
          <t>Aml Result</t>
        </is>
      </c>
      <c r="G63" s="416" t="inlineStr">
        <is>
          <t>Saoke_GIAINGAN</t>
        </is>
      </c>
      <c r="H63" s="416" t="inlineStr">
        <is>
          <t>AML_RESULT</t>
        </is>
      </c>
      <c r="I63" s="482" t="inlineStr">
        <is>
          <t>VARCHAR2</t>
        </is>
      </c>
      <c r="J63" s="482" t="n">
        <v>100</v>
      </c>
      <c r="K63" s="416" t="inlineStr">
        <is>
          <t>Liên quan tới hệ thống Phòng Chống rửa tiền</t>
        </is>
      </c>
      <c r="L63" s="416" t="n"/>
      <c r="M63" s="416">
        <f>"COMMENT ON COLUMN PG_SILVER."&amp;G63&amp;"."&amp;H63&amp;" IS '"&amp;K63&amp;"';"</f>
        <v/>
      </c>
      <c r="N63" s="416" t="inlineStr">
        <is>
          <t>LEFT JOIN PG_BRONZE.T24CORE_CUSTOMER cus ON crb.CUS_ID = cus.RECID</t>
        </is>
      </c>
    </row>
    <row r="64" ht="15" customHeight="1" s="335">
      <c r="A64" s="416" t="inlineStr">
        <is>
          <t>PG_BRONZE</t>
        </is>
      </c>
      <c r="B64" s="416" t="inlineStr">
        <is>
          <t>T24CORE_CUSTOMER</t>
        </is>
      </c>
      <c r="C64" s="416" t="inlineStr">
        <is>
          <t>BDATE_LEGAL</t>
        </is>
      </c>
      <c r="D64" s="416" t="inlineStr">
        <is>
          <t>TO_DATE(CAST(cus.BDATE_LEGAL AS VARCHAR(20)), 'YYYYMMDD')</t>
        </is>
      </c>
      <c r="E64" s="416" t="inlineStr">
        <is>
          <t>Sao Ke Giai Ngan</t>
        </is>
      </c>
      <c r="F64" s="416" t="inlineStr">
        <is>
          <t>Bdate Legal</t>
        </is>
      </c>
      <c r="G64" s="416" t="inlineStr">
        <is>
          <t>Saoke_GIAINGAN</t>
        </is>
      </c>
      <c r="H64" s="416" t="inlineStr">
        <is>
          <t>BDATE_LEGAL</t>
        </is>
      </c>
      <c r="I64" s="482" t="inlineStr">
        <is>
          <t>DATE</t>
        </is>
      </c>
      <c r="J64" s="482" t="n"/>
      <c r="K64" s="416" t="inlineStr">
        <is>
          <t>Ngày sinh của người đại diện theo pháp luật</t>
        </is>
      </c>
      <c r="L64" s="416" t="n"/>
      <c r="M64" s="416">
        <f>"COMMENT ON COLUMN PG_SILVER."&amp;G64&amp;"."&amp;H64&amp;" IS '"&amp;K64&amp;"';"</f>
        <v/>
      </c>
      <c r="N64" s="416" t="inlineStr">
        <is>
          <t>LEFT JOIN PG_BRONZE.T24CORE_CUSTOMER cus ON crb.CUS_ID = cus.RECID</t>
        </is>
      </c>
    </row>
    <row r="65" ht="15" customHeight="1" s="335">
      <c r="A65" s="416" t="inlineStr">
        <is>
          <t>PG_BRONZE</t>
        </is>
      </c>
      <c r="B65" s="416" t="inlineStr">
        <is>
          <t>T24CORE_CUSTOMER</t>
        </is>
      </c>
      <c r="C65" s="416" t="inlineStr">
        <is>
          <t>BDAY_DIRECTOR</t>
        </is>
      </c>
      <c r="D65" s="416" t="inlineStr">
        <is>
          <t>TO_DATE(CAST(cus.BDAY_DIRECTOR AS VARCHAR(20)), 'YYYYMMDD')</t>
        </is>
      </c>
      <c r="E65" s="416" t="inlineStr">
        <is>
          <t>Sao Ke Giai Ngan</t>
        </is>
      </c>
      <c r="F65" s="416" t="inlineStr">
        <is>
          <t>Bday Director</t>
        </is>
      </c>
      <c r="G65" s="416" t="inlineStr">
        <is>
          <t>Saoke_GIAINGAN</t>
        </is>
      </c>
      <c r="H65" s="416" t="inlineStr">
        <is>
          <t>BDAY_DIRECTOR</t>
        </is>
      </c>
      <c r="I65" s="482" t="inlineStr">
        <is>
          <t>DATE</t>
        </is>
      </c>
      <c r="J65" s="482" t="n"/>
      <c r="K65" s="416" t="inlineStr">
        <is>
          <t>Ngày sinh giám đốc công ty</t>
        </is>
      </c>
      <c r="L65" s="416" t="n"/>
      <c r="M65" s="416">
        <f>"COMMENT ON COLUMN PG_SILVER."&amp;G65&amp;"."&amp;H65&amp;" IS '"&amp;K65&amp;"';"</f>
        <v/>
      </c>
      <c r="N65" s="416" t="inlineStr">
        <is>
          <t>LEFT JOIN PG_BRONZE.T24CORE_CUSTOMER cus ON crb.CUS_ID = cus.RECID</t>
        </is>
      </c>
    </row>
    <row r="66" ht="15" customHeight="1" s="335">
      <c r="A66" s="416" t="inlineStr">
        <is>
          <t>PG_BRONZE</t>
        </is>
      </c>
      <c r="B66" s="416" t="inlineStr">
        <is>
          <t>T24CORE_CUSTOMER</t>
        </is>
      </c>
      <c r="C66" s="416" t="inlineStr">
        <is>
          <t>BIRTH_INCORP_DATE</t>
        </is>
      </c>
      <c r="D66" s="416" t="inlineStr">
        <is>
          <t>TO_DATE(CAST(cus.BIRTH_INCORP_DATE AS VARCHAR(20)), 'YYYYMMDD')</t>
        </is>
      </c>
      <c r="E66" s="416" t="inlineStr">
        <is>
          <t>Sao Ke Giai Ngan</t>
        </is>
      </c>
      <c r="F66" s="416" t="inlineStr">
        <is>
          <t>Birth Incorp Date</t>
        </is>
      </c>
      <c r="G66" s="416" t="inlineStr">
        <is>
          <t>Saoke_GIAINGAN</t>
        </is>
      </c>
      <c r="H66" s="416" t="inlineStr">
        <is>
          <t>BIRTH_INCORP_DATE</t>
        </is>
      </c>
      <c r="I66" s="482" t="inlineStr">
        <is>
          <t>DATE</t>
        </is>
      </c>
      <c r="J66" s="482" t="n"/>
      <c r="K66" s="416" t="inlineStr">
        <is>
          <t>Ngày thành lập doanh nghiệp</t>
        </is>
      </c>
      <c r="L66" s="416" t="n"/>
      <c r="M66" s="416">
        <f>"COMMENT ON COLUMN PG_SILVER."&amp;G66&amp;"."&amp;H66&amp;" IS '"&amp;K66&amp;"';"</f>
        <v/>
      </c>
      <c r="N66" s="416" t="inlineStr">
        <is>
          <t>LEFT JOIN PG_BRONZE.T24CORE_CUSTOMER cus ON crb.CUS_ID = cus.RECID</t>
        </is>
      </c>
    </row>
    <row r="67" ht="15" customHeight="1" s="335">
      <c r="A67" s="416" t="inlineStr">
        <is>
          <t>PG_BRONZE</t>
        </is>
      </c>
      <c r="B67" s="416" t="inlineStr">
        <is>
          <t>T24CORE_CUSTOMER</t>
        </is>
      </c>
      <c r="C67" s="416" t="inlineStr">
        <is>
          <t>CO_CODE</t>
        </is>
      </c>
      <c r="D67" s="416" t="inlineStr">
        <is>
          <t>TRIM(cus.CO_CODE)</t>
        </is>
      </c>
      <c r="E67" s="416" t="inlineStr">
        <is>
          <t>Sao Ke Giai Ngan</t>
        </is>
      </c>
      <c r="F67" s="416" t="inlineStr">
        <is>
          <t>Cus Co Code</t>
        </is>
      </c>
      <c r="G67" s="416" t="inlineStr">
        <is>
          <t>Saoke_GIAINGAN</t>
        </is>
      </c>
      <c r="H67" s="416" t="inlineStr">
        <is>
          <t>CUS_CO_CODE</t>
        </is>
      </c>
      <c r="I67" s="482" t="inlineStr">
        <is>
          <t>VARCHAR2</t>
        </is>
      </c>
      <c r="J67" s="482" t="n">
        <v>100</v>
      </c>
      <c r="K67" s="416" t="inlineStr">
        <is>
          <t>Mã chi nhánh quản lý khách hàng</t>
        </is>
      </c>
      <c r="L67" s="416" t="n"/>
      <c r="M67" s="416">
        <f>"COMMENT ON COLUMN PG_SILVER."&amp;G67&amp;"."&amp;H67&amp;" IS '"&amp;K67&amp;"';"</f>
        <v/>
      </c>
      <c r="N67" s="416" t="inlineStr">
        <is>
          <t>LEFT JOIN PG_BRONZE.T24CORE_CUSTOMER cus ON crb.CUS_ID = cus.RECID</t>
        </is>
      </c>
    </row>
    <row r="68" ht="15" customHeight="1" s="335">
      <c r="A68" s="416" t="inlineStr">
        <is>
          <t>PG_BRONZE</t>
        </is>
      </c>
      <c r="B68" s="416" t="inlineStr">
        <is>
          <t>T24CORE_CUSTOMER</t>
        </is>
      </c>
      <c r="C68" s="416" t="inlineStr">
        <is>
          <t>COMPANY_BOOK</t>
        </is>
      </c>
      <c r="D68" s="416" t="inlineStr">
        <is>
          <t>TRIM(cus.COMPANY_BOOK)</t>
        </is>
      </c>
      <c r="E68" s="416" t="inlineStr">
        <is>
          <t>Sao Ke Giai Ngan</t>
        </is>
      </c>
      <c r="F68" s="416" t="inlineStr">
        <is>
          <t>Company Book</t>
        </is>
      </c>
      <c r="G68" s="416" t="inlineStr">
        <is>
          <t>Saoke_GIAINGAN</t>
        </is>
      </c>
      <c r="H68" s="416" t="inlineStr">
        <is>
          <t>COMPANY_BOOK</t>
        </is>
      </c>
      <c r="I68" s="482" t="inlineStr">
        <is>
          <t>VARCHAR2</t>
        </is>
      </c>
      <c r="J68" s="482" t="n">
        <v>100</v>
      </c>
      <c r="K68" s="416" t="inlineStr">
        <is>
          <t>Mã chi nhánh mở CIF</t>
        </is>
      </c>
      <c r="L68" s="416" t="n"/>
      <c r="M68" s="416">
        <f>"COMMENT ON COLUMN PG_SILVER."&amp;G68&amp;"."&amp;H68&amp;" IS '"&amp;K68&amp;"';"</f>
        <v/>
      </c>
      <c r="N68" s="416" t="inlineStr">
        <is>
          <t>LEFT JOIN PG_BRONZE.T24CORE_CUSTOMER cus ON crb.CUS_ID = cus.RECID</t>
        </is>
      </c>
    </row>
    <row r="69" ht="15" customHeight="1" s="335">
      <c r="A69" s="416" t="inlineStr">
        <is>
          <t>PG_BRONZE</t>
        </is>
      </c>
      <c r="B69" s="416" t="inlineStr">
        <is>
          <t>T24CORE_CUSTOMER</t>
        </is>
      </c>
      <c r="C69" s="416" t="inlineStr">
        <is>
          <t>CONTACT_DATE</t>
        </is>
      </c>
      <c r="D69" s="416" t="inlineStr">
        <is>
          <t>TO_DATE(CAST(cus.CONTACT_DATE AS VARCHAR(20)), 'YYYYMMDD')</t>
        </is>
      </c>
      <c r="E69" s="416" t="inlineStr">
        <is>
          <t>Sao Ke Giai Ngan</t>
        </is>
      </c>
      <c r="F69" s="416" t="inlineStr">
        <is>
          <t>Contact Date</t>
        </is>
      </c>
      <c r="G69" s="416" t="inlineStr">
        <is>
          <t>Saoke_GIAINGAN</t>
        </is>
      </c>
      <c r="H69" s="416" t="inlineStr">
        <is>
          <t>CONTACT_DATE</t>
        </is>
      </c>
      <c r="I69" s="482" t="inlineStr">
        <is>
          <t>DATE</t>
        </is>
      </c>
      <c r="J69" s="482" t="n"/>
      <c r="K69" s="416" t="inlineStr">
        <is>
          <t>Ngày khách hàng liên hệ/mở CIF</t>
        </is>
      </c>
      <c r="L69" s="416" t="n"/>
      <c r="M69" s="416">
        <f>"COMMENT ON COLUMN PG_SILVER."&amp;G69&amp;"."&amp;H69&amp;" IS '"&amp;K69&amp;"';"</f>
        <v/>
      </c>
      <c r="N69" s="416" t="inlineStr">
        <is>
          <t>LEFT JOIN PG_BRONZE.T24CORE_CUSTOMER cus ON crb.CUS_ID = cus.RECID</t>
        </is>
      </c>
    </row>
    <row r="70" ht="15" customHeight="1" s="335">
      <c r="A70" s="416" t="inlineStr">
        <is>
          <t>PG_BRONZE</t>
        </is>
      </c>
      <c r="B70" s="416" t="inlineStr">
        <is>
          <t>T24CORE_CUSTOMER</t>
        </is>
      </c>
      <c r="C70" s="416" t="inlineStr">
        <is>
          <t>CONTACT_PERSON</t>
        </is>
      </c>
      <c r="D70" s="416" t="inlineStr">
        <is>
          <t>TRIM(cus.CONTACT_PERSON)</t>
        </is>
      </c>
      <c r="E70" s="416" t="inlineStr">
        <is>
          <t>Sao Ke Giai Ngan</t>
        </is>
      </c>
      <c r="F70" s="416" t="inlineStr">
        <is>
          <t>Contact Person</t>
        </is>
      </c>
      <c r="G70" s="416" t="inlineStr">
        <is>
          <t>Saoke_GIAINGAN</t>
        </is>
      </c>
      <c r="H70" s="416" t="inlineStr">
        <is>
          <t>CONTACT_PERSON</t>
        </is>
      </c>
      <c r="I70" s="482" t="inlineStr">
        <is>
          <t>VARCHAR2</t>
        </is>
      </c>
      <c r="J70" s="482" t="n">
        <v>100</v>
      </c>
      <c r="K70" s="416" t="inlineStr">
        <is>
          <t>Họ tên người liên hệ của khách hàng doanh nghiệp</t>
        </is>
      </c>
      <c r="L70" s="416" t="n"/>
      <c r="M70" s="416">
        <f>"COMMENT ON COLUMN PG_SILVER."&amp;G70&amp;"."&amp;H70&amp;" IS '"&amp;K70&amp;"';"</f>
        <v/>
      </c>
      <c r="N70" s="416" t="inlineStr">
        <is>
          <t>LEFT JOIN PG_BRONZE.T24CORE_CUSTOMER cus ON crb.CUS_ID = cus.RECID</t>
        </is>
      </c>
    </row>
    <row r="71" ht="15" customHeight="1" s="335">
      <c r="A71" s="416" t="inlineStr">
        <is>
          <t>PG_BRONZE</t>
        </is>
      </c>
      <c r="B71" s="416" t="inlineStr">
        <is>
          <t>T24CORE_CUSTOMER</t>
        </is>
      </c>
      <c r="C71" s="416" t="inlineStr">
        <is>
          <t>COUNTRY</t>
        </is>
      </c>
      <c r="D71" s="416" t="inlineStr">
        <is>
          <t>TRIM(cus.COUNTRY)</t>
        </is>
      </c>
      <c r="E71" s="416" t="inlineStr">
        <is>
          <t>Sao Ke Giai Ngan</t>
        </is>
      </c>
      <c r="F71" s="416" t="inlineStr">
        <is>
          <t>Country</t>
        </is>
      </c>
      <c r="G71" s="416" t="inlineStr">
        <is>
          <t>Saoke_GIAINGAN</t>
        </is>
      </c>
      <c r="H71" s="416" t="inlineStr">
        <is>
          <t>COUNTRY</t>
        </is>
      </c>
      <c r="I71" s="482" t="inlineStr">
        <is>
          <t>VARCHAR2</t>
        </is>
      </c>
      <c r="J71" s="482" t="n">
        <v>100</v>
      </c>
      <c r="K71" s="416" t="inlineStr">
        <is>
          <t>Tên quốc gia nơi cư trú / đặt trụ sở</t>
        </is>
      </c>
      <c r="L71" s="416" t="n"/>
      <c r="M71" s="416">
        <f>"COMMENT ON COLUMN PG_SILVER."&amp;G71&amp;"."&amp;H71&amp;" IS '"&amp;K71&amp;"';"</f>
        <v/>
      </c>
      <c r="N71" s="416" t="inlineStr">
        <is>
          <t>LEFT JOIN PG_BRONZE.T24CORE_CUSTOMER cus ON crb.CUS_ID = cus.RECID</t>
        </is>
      </c>
    </row>
    <row r="72" ht="15" customHeight="1" s="335">
      <c r="A72" s="416" t="inlineStr">
        <is>
          <t>PG_BRONZE</t>
        </is>
      </c>
      <c r="B72" s="416" t="inlineStr">
        <is>
          <t>T24CORE_CUSTOMER</t>
        </is>
      </c>
      <c r="C72" s="416" t="inlineStr">
        <is>
          <t>CU_EFF_DATE</t>
        </is>
      </c>
      <c r="D72" s="416" t="inlineStr">
        <is>
          <t>TO_DATE(CAST(cus.CU_EFF_DATE AS VARCHAR(20)), 'YYYYMMDD')</t>
        </is>
      </c>
      <c r="E72" s="416" t="inlineStr">
        <is>
          <t>Sao Ke Giai Ngan</t>
        </is>
      </c>
      <c r="F72" s="416" t="inlineStr">
        <is>
          <t>Cu Eff Date</t>
        </is>
      </c>
      <c r="G72" s="416" t="inlineStr">
        <is>
          <t>Saoke_GIAINGAN</t>
        </is>
      </c>
      <c r="H72" s="416" t="inlineStr">
        <is>
          <t>CU_EFF_DATE</t>
        </is>
      </c>
      <c r="I72" s="482" t="inlineStr">
        <is>
          <t>DATE</t>
        </is>
      </c>
      <c r="J72" s="482" t="n"/>
      <c r="K72" s="416" t="inlineStr">
        <is>
          <t>Ngày hiệu lực phân hạng khách hàng VIP</t>
        </is>
      </c>
      <c r="L72" s="416" t="n"/>
      <c r="M72" s="416">
        <f>"COMMENT ON COLUMN PG_SILVER."&amp;G72&amp;"."&amp;H72&amp;" IS '"&amp;K72&amp;"';"</f>
        <v/>
      </c>
      <c r="N72" s="416" t="inlineStr">
        <is>
          <t>LEFT JOIN PG_BRONZE.T24CORE_CUSTOMER cus ON crb.CUS_ID = cus.RECID</t>
        </is>
      </c>
    </row>
    <row r="73" ht="15" customHeight="1" s="335">
      <c r="A73" s="416" t="inlineStr">
        <is>
          <t>PG_BRONZE</t>
        </is>
      </c>
      <c r="B73" s="416" t="inlineStr">
        <is>
          <t>T24CORE_CUSTOMER</t>
        </is>
      </c>
      <c r="C73" s="416" t="inlineStr">
        <is>
          <t>CUS_IND_PARENT</t>
        </is>
      </c>
      <c r="D73" s="416" t="inlineStr">
        <is>
          <t>TRIM(cus.CUS_IND_PARENT)</t>
        </is>
      </c>
      <c r="E73" s="416" t="inlineStr">
        <is>
          <t>Sao Ke Giai Ngan</t>
        </is>
      </c>
      <c r="F73" s="416" t="inlineStr">
        <is>
          <t>Cus Ind Parent</t>
        </is>
      </c>
      <c r="G73" s="416" t="inlineStr">
        <is>
          <t>Saoke_GIAINGAN</t>
        </is>
      </c>
      <c r="H73" s="416" t="inlineStr">
        <is>
          <t>CUS_IND_PARENT</t>
        </is>
      </c>
      <c r="I73" s="482" t="inlineStr">
        <is>
          <t>VARCHAR2</t>
        </is>
      </c>
      <c r="J73" s="482" t="n">
        <v>100</v>
      </c>
      <c r="K73" s="416" t="inlineStr">
        <is>
          <t>Mã ngành nghê kinh tế cha</t>
        </is>
      </c>
      <c r="L73" s="416" t="n"/>
      <c r="M73" s="416">
        <f>"COMMENT ON COLUMN PG_SILVER."&amp;G73&amp;"."&amp;H73&amp;" IS '"&amp;K73&amp;"';"</f>
        <v/>
      </c>
      <c r="N73" s="416" t="inlineStr">
        <is>
          <t>LEFT JOIN PG_BRONZE.T24CORE_CUSTOMER cus ON crb.CUS_ID = cus.RECID</t>
        </is>
      </c>
    </row>
    <row r="74" ht="15" customHeight="1" s="335">
      <c r="A74" s="416" t="inlineStr">
        <is>
          <t>PG_BRONZE</t>
        </is>
      </c>
      <c r="B74" s="416" t="inlineStr">
        <is>
          <t>T24CORE_CUSTOMER</t>
        </is>
      </c>
      <c r="C74" s="416" t="inlineStr">
        <is>
          <t>CUSTOMER_STATUS</t>
        </is>
      </c>
      <c r="D74" s="416" t="inlineStr">
        <is>
          <t>TRIM(cus.CUSTOMER_STATUS)</t>
        </is>
      </c>
      <c r="E74" s="416" t="inlineStr">
        <is>
          <t>Sao Ke Giai Ngan</t>
        </is>
      </c>
      <c r="F74" s="416" t="inlineStr">
        <is>
          <t>Customer Status</t>
        </is>
      </c>
      <c r="G74" s="416" t="inlineStr">
        <is>
          <t>Saoke_GIAINGAN</t>
        </is>
      </c>
      <c r="H74" s="416" t="inlineStr">
        <is>
          <t>CUSTOMER_STATUS</t>
        </is>
      </c>
      <c r="I74" s="482" t="inlineStr">
        <is>
          <t>VARCHAR2</t>
        </is>
      </c>
      <c r="J74" s="482" t="n">
        <v>100</v>
      </c>
      <c r="K74" s="416" t="inlineStr">
        <is>
          <t>Trạng thái hiện tại của khách hàng</t>
        </is>
      </c>
      <c r="L74" s="416" t="n"/>
      <c r="M74" s="416">
        <f>"COMMENT ON COLUMN PG_SILVER."&amp;G74&amp;"."&amp;H74&amp;" IS '"&amp;K74&amp;"';"</f>
        <v/>
      </c>
      <c r="N74" s="416" t="inlineStr">
        <is>
          <t>LEFT JOIN PG_BRONZE.T24CORE_CUSTOMER cus ON crb.CUS_ID = cus.RECID</t>
        </is>
      </c>
    </row>
    <row r="75" ht="15" customHeight="1" s="335">
      <c r="A75" s="416" t="inlineStr">
        <is>
          <t>PG_BRONZE</t>
        </is>
      </c>
      <c r="B75" s="416" t="inlineStr">
        <is>
          <t>T24CORE_CUSTOMER</t>
        </is>
      </c>
      <c r="C75" s="416" t="inlineStr">
        <is>
          <t>DATE_TIME</t>
        </is>
      </c>
      <c r="D75" s="416" t="inlineStr">
        <is>
          <t>TO_DATE(CAST(cus.DATE_TIME AS VARCHAR(20)), 'YYYYMMDD')</t>
        </is>
      </c>
      <c r="E75" s="416" t="inlineStr">
        <is>
          <t>Sao Ke Giai Ngan</t>
        </is>
      </c>
      <c r="F75" s="416" t="inlineStr">
        <is>
          <t>Date Time</t>
        </is>
      </c>
      <c r="G75" s="416" t="inlineStr">
        <is>
          <t>Saoke_GIAINGAN</t>
        </is>
      </c>
      <c r="H75" s="416" t="inlineStr">
        <is>
          <t>DATE_TIME</t>
        </is>
      </c>
      <c r="I75" s="482" t="inlineStr">
        <is>
          <t>DATE</t>
        </is>
      </c>
      <c r="J75" s="482" t="n"/>
      <c r="K75" s="416" t="inlineStr">
        <is>
          <t>Ngày giờ bản ghi nhập liệu</t>
        </is>
      </c>
      <c r="L75" s="416" t="n"/>
      <c r="M75" s="416">
        <f>"COMMENT ON COLUMN PG_SILVER."&amp;G75&amp;"."&amp;H75&amp;" IS '"&amp;K75&amp;"';"</f>
        <v/>
      </c>
      <c r="N75" s="416" t="inlineStr">
        <is>
          <t>LEFT JOIN PG_BRONZE.T24CORE_CUSTOMER cus ON crb.CUS_ID = cus.RECID</t>
        </is>
      </c>
    </row>
    <row r="76" ht="15" customHeight="1" s="335">
      <c r="A76" s="416" t="inlineStr">
        <is>
          <t>PG_BRONZE</t>
        </is>
      </c>
      <c r="B76" s="416" t="inlineStr">
        <is>
          <t>T24CORE_CUSTOMER</t>
        </is>
      </c>
      <c r="C76" s="416" t="inlineStr">
        <is>
          <t>EMAIL_ADDRESS</t>
        </is>
      </c>
      <c r="D76" s="416" t="inlineStr">
        <is>
          <t>TRIM(cus.EMAIL_ADDRESS)</t>
        </is>
      </c>
      <c r="E76" s="416" t="inlineStr">
        <is>
          <t>Sao Ke Giai Ngan</t>
        </is>
      </c>
      <c r="F76" s="416" t="inlineStr">
        <is>
          <t>Email Address</t>
        </is>
      </c>
      <c r="G76" s="416" t="inlineStr">
        <is>
          <t>Saoke_GIAINGAN</t>
        </is>
      </c>
      <c r="H76" s="416" t="inlineStr">
        <is>
          <t>EMAIL_ADDRESS</t>
        </is>
      </c>
      <c r="I76" s="482" t="inlineStr">
        <is>
          <t>VARCHAR2</t>
        </is>
      </c>
      <c r="J76" s="482" t="n">
        <v>255</v>
      </c>
      <c r="K76" s="416" t="inlineStr">
        <is>
          <t>Địa chỉ emai</t>
        </is>
      </c>
      <c r="L76" s="416" t="n"/>
      <c r="M76" s="416">
        <f>"COMMENT ON COLUMN PG_SILVER."&amp;G76&amp;"."&amp;H76&amp;" IS '"&amp;K76&amp;"';"</f>
        <v/>
      </c>
      <c r="N76" s="416" t="inlineStr">
        <is>
          <t>LEFT JOIN PG_BRONZE.T24CORE_CUSTOMER cus ON crb.CUS_ID = cus.RECID</t>
        </is>
      </c>
    </row>
    <row r="77" ht="15" customHeight="1" s="335">
      <c r="A77" s="416" t="inlineStr">
        <is>
          <t>PG_BRONZE</t>
        </is>
      </c>
      <c r="B77" s="416" t="inlineStr">
        <is>
          <t>T24CORE_CUSTOMER</t>
        </is>
      </c>
      <c r="C77" s="416" t="inlineStr">
        <is>
          <t>EMPLOYMENT_STATUS</t>
        </is>
      </c>
      <c r="D77" s="416" t="inlineStr">
        <is>
          <t>TRIM(cus.EMPLOYMENT_STATUS)</t>
        </is>
      </c>
      <c r="E77" s="416" t="inlineStr">
        <is>
          <t>Sao Ke Giai Ngan</t>
        </is>
      </c>
      <c r="F77" s="416" t="inlineStr">
        <is>
          <t>Employment Status</t>
        </is>
      </c>
      <c r="G77" s="416" t="inlineStr">
        <is>
          <t>Saoke_GIAINGAN</t>
        </is>
      </c>
      <c r="H77" s="416" t="inlineStr">
        <is>
          <t>EMPLOYMENT_STATUS</t>
        </is>
      </c>
      <c r="I77" s="482" t="inlineStr">
        <is>
          <t>VARCHAR2</t>
        </is>
      </c>
      <c r="J77" s="482" t="n">
        <v>100</v>
      </c>
      <c r="K77" s="416" t="inlineStr">
        <is>
          <t>Mã tình trạng việc làm của khách hàng cá nhân</t>
        </is>
      </c>
      <c r="L77" s="416" t="n"/>
      <c r="M77" s="416">
        <f>"COMMENT ON COLUMN PG_SILVER."&amp;G77&amp;"."&amp;H77&amp;" IS '"&amp;K77&amp;"';"</f>
        <v/>
      </c>
      <c r="N77" s="416" t="inlineStr">
        <is>
          <t>LEFT JOIN PG_BRONZE.T24CORE_CUSTOMER cus ON crb.CUS_ID = cus.RECID</t>
        </is>
      </c>
    </row>
    <row r="78" ht="15" customHeight="1" s="335">
      <c r="A78" s="416" t="inlineStr">
        <is>
          <t>PG_BRONZE</t>
        </is>
      </c>
      <c r="B78" s="416" t="inlineStr">
        <is>
          <t>T24CORE_CUSTOMER</t>
        </is>
      </c>
      <c r="C78" s="416" t="inlineStr">
        <is>
          <t>ESTAB_LIC_CODE</t>
        </is>
      </c>
      <c r="D78" s="416" t="inlineStr">
        <is>
          <t>TRIM(cus.ESTAB_LIC_CODE)</t>
        </is>
      </c>
      <c r="E78" s="416" t="inlineStr">
        <is>
          <t>Sao Ke Giai Ngan</t>
        </is>
      </c>
      <c r="F78" s="416" t="inlineStr">
        <is>
          <t>Estab Lic Code</t>
        </is>
      </c>
      <c r="G78" s="416" t="inlineStr">
        <is>
          <t>Saoke_GIAINGAN</t>
        </is>
      </c>
      <c r="H78" s="416" t="inlineStr">
        <is>
          <t>ESTAB_LIC_CODE</t>
        </is>
      </c>
      <c r="I78" s="482" t="inlineStr">
        <is>
          <t>VARCHAR2</t>
        </is>
      </c>
      <c r="J78" s="482" t="n">
        <v>100</v>
      </c>
      <c r="K78" s="416" t="inlineStr">
        <is>
          <t>Số giấy phép thành lập / đăng ký kinh doanh</t>
        </is>
      </c>
      <c r="L78" s="416" t="n"/>
      <c r="M78" s="416">
        <f>"COMMENT ON COLUMN PG_SILVER."&amp;G78&amp;"."&amp;H78&amp;" IS '"&amp;K78&amp;"';"</f>
        <v/>
      </c>
      <c r="N78" s="416" t="inlineStr">
        <is>
          <t>LEFT JOIN PG_BRONZE.T24CORE_CUSTOMER cus ON crb.CUS_ID = cus.RECID</t>
        </is>
      </c>
    </row>
    <row r="79" ht="15" customHeight="1" s="335">
      <c r="A79" s="416" t="inlineStr">
        <is>
          <t>PG_BRONZE</t>
        </is>
      </c>
      <c r="B79" s="416" t="inlineStr">
        <is>
          <t>T24CORE_CUSTOMER</t>
        </is>
      </c>
      <c r="C79" s="416" t="inlineStr">
        <is>
          <t>FFB_TYPE</t>
        </is>
      </c>
      <c r="D79" s="416" t="inlineStr">
        <is>
          <t>TRIM(cus.FFB_TYPE)</t>
        </is>
      </c>
      <c r="E79" s="416" t="inlineStr">
        <is>
          <t>Sao Ke Giai Ngan</t>
        </is>
      </c>
      <c r="F79" s="416" t="inlineStr">
        <is>
          <t>Ffb Type</t>
        </is>
      </c>
      <c r="G79" s="416" t="inlineStr">
        <is>
          <t>Saoke_GIAINGAN</t>
        </is>
      </c>
      <c r="H79" s="416" t="inlineStr">
        <is>
          <t>FFB_TYPE</t>
        </is>
      </c>
      <c r="I79" s="482" t="inlineStr">
        <is>
          <t>VARCHAR2</t>
        </is>
      </c>
      <c r="J79" s="482" t="n">
        <v>100</v>
      </c>
      <c r="K79" s="416" t="inlineStr">
        <is>
          <t>Phân hạng khách hàng ưu tiên (VIP Type)</t>
        </is>
      </c>
      <c r="L79" s="416" t="n"/>
      <c r="M79" s="416">
        <f>"COMMENT ON COLUMN PG_SILVER."&amp;G79&amp;"."&amp;H79&amp;" IS '"&amp;K79&amp;"';"</f>
        <v/>
      </c>
      <c r="N79" s="416" t="inlineStr">
        <is>
          <t>LEFT JOIN PG_BRONZE.T24CORE_CUSTOMER cus ON crb.CUS_ID = cus.RECID</t>
        </is>
      </c>
    </row>
    <row r="80" ht="15" customHeight="1" s="335">
      <c r="A80" s="416" t="inlineStr">
        <is>
          <t>PG_BRONZE</t>
        </is>
      </c>
      <c r="B80" s="416" t="inlineStr">
        <is>
          <t>T24CORE_CUSTOMER</t>
        </is>
      </c>
      <c r="C80" s="416" t="inlineStr">
        <is>
          <t>GEN_DIR_PLC</t>
        </is>
      </c>
      <c r="D80" s="416" t="inlineStr">
        <is>
          <t>TRIM(cus.GEN_DIR_PLC)</t>
        </is>
      </c>
      <c r="E80" s="416" t="inlineStr">
        <is>
          <t>Sao Ke Giai Ngan</t>
        </is>
      </c>
      <c r="F80" s="416" t="inlineStr">
        <is>
          <t>Gen Dir Plc</t>
        </is>
      </c>
      <c r="G80" s="416" t="inlineStr">
        <is>
          <t>Saoke_GIAINGAN</t>
        </is>
      </c>
      <c r="H80" s="416" t="inlineStr">
        <is>
          <t>GEN_DIR_PLC</t>
        </is>
      </c>
      <c r="I80" s="482" t="inlineStr">
        <is>
          <t>VARCHAR2</t>
        </is>
      </c>
      <c r="J80" s="482" t="n">
        <v>100</v>
      </c>
      <c r="K80" s="416" t="inlineStr">
        <is>
          <t>Nơi sinh / quốc tịch của Tổng giám đốc / người đại diện</t>
        </is>
      </c>
      <c r="L80" s="416" t="n"/>
      <c r="M80" s="416">
        <f>"COMMENT ON COLUMN PG_SILVER."&amp;G80&amp;"."&amp;H80&amp;" IS '"&amp;K80&amp;"';"</f>
        <v/>
      </c>
      <c r="N80" s="416" t="inlineStr">
        <is>
          <t>LEFT JOIN PG_BRONZE.T24CORE_CUSTOMER cus ON crb.CUS_ID = cus.RECID</t>
        </is>
      </c>
    </row>
    <row r="81" ht="15" customHeight="1" s="335">
      <c r="A81" s="416" t="inlineStr">
        <is>
          <t>PG_BRONZE</t>
        </is>
      </c>
      <c r="B81" s="416" t="inlineStr">
        <is>
          <t>T24CORE_CUSTOMER</t>
        </is>
      </c>
      <c r="C81" s="416" t="inlineStr">
        <is>
          <t>HOME_NUMBER</t>
        </is>
      </c>
      <c r="D81" s="416" t="inlineStr">
        <is>
          <t>TRIM(cus.HOME_NUMBER)</t>
        </is>
      </c>
      <c r="E81" s="416" t="inlineStr">
        <is>
          <t>Sao Ke Giai Ngan</t>
        </is>
      </c>
      <c r="F81" s="416" t="inlineStr">
        <is>
          <t>Home Number</t>
        </is>
      </c>
      <c r="G81" s="416" t="inlineStr">
        <is>
          <t>Saoke_GIAINGAN</t>
        </is>
      </c>
      <c r="H81" s="416" t="inlineStr">
        <is>
          <t>HOME_NUMBER</t>
        </is>
      </c>
      <c r="I81" s="482" t="inlineStr">
        <is>
          <t>VARCHAR2</t>
        </is>
      </c>
      <c r="J81" s="482" t="n">
        <v>100</v>
      </c>
      <c r="K81" s="416" t="inlineStr">
        <is>
          <t>Số điện thoại nhà tiêng</t>
        </is>
      </c>
      <c r="L81" s="416" t="n"/>
      <c r="M81" s="416">
        <f>"COMMENT ON COLUMN PG_SILVER."&amp;G81&amp;"."&amp;H81&amp;" IS '"&amp;K81&amp;"';"</f>
        <v/>
      </c>
      <c r="N81" s="416" t="inlineStr">
        <is>
          <t>LEFT JOIN PG_BRONZE.T24CORE_CUSTOMER cus ON crb.CUS_ID = cus.RECID</t>
        </is>
      </c>
    </row>
    <row r="82" ht="15" customHeight="1" s="335">
      <c r="A82" s="416" t="inlineStr">
        <is>
          <t>PG_BRONZE</t>
        </is>
      </c>
      <c r="B82" s="416" t="inlineStr">
        <is>
          <t>T24CORE_CUSTOMER</t>
        </is>
      </c>
      <c r="C82" s="416" t="inlineStr">
        <is>
          <t>INDUSTRY</t>
        </is>
      </c>
      <c r="D82" s="416" t="inlineStr">
        <is>
          <t>TRIM(cus.INDUSTRY)</t>
        </is>
      </c>
      <c r="E82" s="416" t="inlineStr">
        <is>
          <t>Sao Ke Giai Ngan</t>
        </is>
      </c>
      <c r="F82" s="416" t="inlineStr">
        <is>
          <t>Industry</t>
        </is>
      </c>
      <c r="G82" s="416" t="inlineStr">
        <is>
          <t>Saoke_GIAINGAN</t>
        </is>
      </c>
      <c r="H82" s="416" t="inlineStr">
        <is>
          <t>INDUSTRY</t>
        </is>
      </c>
      <c r="I82" s="482" t="inlineStr">
        <is>
          <t>VARCHAR2</t>
        </is>
      </c>
      <c r="J82" s="482" t="n">
        <v>100</v>
      </c>
      <c r="K82" s="416" t="inlineStr">
        <is>
          <t>Mã ngành nghề đăng ký kinh doanh</t>
        </is>
      </c>
      <c r="L82" s="416" t="n"/>
      <c r="M82" s="416">
        <f>"COMMENT ON COLUMN PG_SILVER."&amp;G82&amp;"."&amp;H82&amp;" IS '"&amp;K82&amp;"';"</f>
        <v/>
      </c>
      <c r="N82" s="416" t="inlineStr">
        <is>
          <t>LEFT JOIN PG_BRONZE.T24CORE_CUSTOMER cus ON crb.CUS_ID = cus.RECID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4A86E8"/>
    <outlinePr summaryBelow="1" summaryRight="1"/>
    <pageSetUpPr fitToPage="0"/>
  </sheetPr>
  <dimension ref="A1:P1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31.67" customWidth="1" style="334" min="3" max="3"/>
    <col width="22.56" customWidth="1" style="334" min="5" max="5"/>
    <col width="32" customWidth="1" style="334" min="6" max="6"/>
    <col width="31.88" customWidth="1" style="334" min="8" max="8"/>
    <col width="36.11" customWidth="1" style="334" min="11" max="11"/>
    <col width="10.44" customWidth="1" style="334" min="12" max="12"/>
    <col width="10.56" customWidth="1" style="334" min="13" max="13"/>
    <col width="18.56" customWidth="1" style="334" min="14" max="14"/>
    <col width="55" customWidth="1" style="334" min="16" max="16"/>
  </cols>
  <sheetData>
    <row r="1" ht="14.25" customHeight="1" s="335">
      <c r="A1" s="483" t="inlineStr">
        <is>
          <t>TYPE : SNAPSHOT</t>
        </is>
      </c>
      <c r="B1" s="483" t="n"/>
      <c r="C1" s="483" t="n"/>
      <c r="D1" s="483" t="n"/>
      <c r="E1" s="483" t="n"/>
      <c r="F1" s="483" t="n"/>
      <c r="G1" s="483" t="n"/>
      <c r="H1" s="483" t="n"/>
      <c r="I1" s="483" t="n"/>
      <c r="J1" s="437" t="n"/>
      <c r="K1" s="437" t="n"/>
    </row>
    <row r="2" ht="14.25" customHeight="1" s="335">
      <c r="A2" s="484" t="inlineStr">
        <is>
          <t>No</t>
        </is>
      </c>
      <c r="B2" s="484" t="inlineStr">
        <is>
          <t>System</t>
        </is>
      </c>
      <c r="C2" s="484" t="inlineStr">
        <is>
          <t>TABLE</t>
        </is>
      </c>
      <c r="D2" s="484" t="inlineStr">
        <is>
          <t>Short table</t>
        </is>
      </c>
      <c r="E2" s="484" t="inlineStr">
        <is>
          <t>Main Table</t>
        </is>
      </c>
      <c r="F2" s="484" t="inlineStr">
        <is>
          <t>Type join</t>
        </is>
      </c>
      <c r="G2" s="484" t="inlineStr">
        <is>
          <t>Condition JOIN</t>
        </is>
      </c>
      <c r="H2" s="484" t="inlineStr">
        <is>
          <t>Condition where</t>
        </is>
      </c>
      <c r="I2" s="484" t="inlineStr">
        <is>
          <t>Fields</t>
        </is>
      </c>
      <c r="J2" s="437" t="n"/>
      <c r="K2" s="437" t="n"/>
    </row>
    <row r="3" ht="14.25" customHeight="1" s="335">
      <c r="A3" s="459" t="n">
        <v>1</v>
      </c>
      <c r="B3" s="462" t="inlineStr">
        <is>
          <t>PG_SILVER</t>
        </is>
      </c>
      <c r="C3" s="462" t="inlineStr">
        <is>
          <t>CST</t>
        </is>
      </c>
      <c r="D3" s="415" t="inlineStr">
        <is>
          <t>a</t>
        </is>
      </c>
      <c r="E3" s="415" t="inlineStr">
        <is>
          <t>main</t>
        </is>
      </c>
      <c r="F3" s="415" t="n"/>
      <c r="G3" s="415" t="n"/>
      <c r="H3" s="463" t="inlineStr">
        <is>
          <t>a.SYS_EXP_DT IS NULL</t>
        </is>
      </c>
      <c r="I3" s="415" t="n"/>
      <c r="J3" s="437" t="n"/>
      <c r="K3" s="437" t="n"/>
    </row>
    <row r="4" ht="14.25" customHeight="1" s="335">
      <c r="A4" s="459" t="n">
        <v>2</v>
      </c>
      <c r="B4" s="462" t="inlineStr">
        <is>
          <t>PG_SILVER</t>
        </is>
      </c>
      <c r="C4" s="415" t="inlineStr">
        <is>
          <t>IP_ALT_IDENTN</t>
        </is>
      </c>
      <c r="D4" s="415" t="inlineStr">
        <is>
          <t>b</t>
        </is>
      </c>
      <c r="E4" s="415" t="inlineStr">
        <is>
          <t>sub</t>
        </is>
      </c>
      <c r="F4" s="415" t="inlineStr">
        <is>
          <t>LEFT JOIN</t>
        </is>
      </c>
      <c r="G4" s="415" t="inlineStr">
        <is>
          <t>a.CST_CODE = b.CST_CODE</t>
        </is>
      </c>
      <c r="H4" s="485" t="inlineStr">
        <is>
          <t>b.SYS_EXP_DT IS NULL AND b.RN = 1 -- Dedup 1 giấy tờ chính/CIF: ROW_NUMBER() OVER (PARTITION BY CST_CODE ORDER BY IDENTN_ISSU_DT DESC) = 1</t>
        </is>
      </c>
      <c r="I4" s="415" t="n"/>
      <c r="J4" s="437" t="n"/>
      <c r="K4" s="437" t="n"/>
    </row>
    <row r="5" ht="36.75" customHeight="1" s="335">
      <c r="A5" s="459" t="n">
        <v>3</v>
      </c>
      <c r="B5" s="462" t="inlineStr">
        <is>
          <t>PG_SILVER</t>
        </is>
      </c>
      <c r="C5" s="415" t="inlineStr">
        <is>
          <t>IP_ELC_ADR</t>
        </is>
      </c>
      <c r="D5" s="415" t="inlineStr">
        <is>
          <t>c1</t>
        </is>
      </c>
      <c r="E5" s="415" t="inlineStr">
        <is>
          <t>sub</t>
        </is>
      </c>
      <c r="F5" s="415" t="inlineStr">
        <is>
          <t>LEFT JOIN</t>
        </is>
      </c>
      <c r="G5" s="415" t="inlineStr">
        <is>
          <t>a.CST_CODE = c1.CST_CODE</t>
        </is>
      </c>
      <c r="H5" s="463" t="inlineStr">
        <is>
          <t>c1.ELC_ADR_TP = 'EMAIL' AND c1.SYS_EXP_DT IS NULL</t>
        </is>
      </c>
      <c r="I5" s="415" t="n"/>
      <c r="J5" s="437" t="n"/>
      <c r="K5" s="437" t="n"/>
    </row>
    <row r="6" ht="36.75" customHeight="1" s="335">
      <c r="A6" s="459" t="n">
        <v>4</v>
      </c>
      <c r="B6" s="462" t="inlineStr">
        <is>
          <t>PG_SILVER</t>
        </is>
      </c>
      <c r="C6" s="415" t="inlineStr">
        <is>
          <t>IP_ELC_ADR</t>
        </is>
      </c>
      <c r="D6" s="415" t="inlineStr">
        <is>
          <t>c2</t>
        </is>
      </c>
      <c r="E6" s="415" t="inlineStr">
        <is>
          <t>sub</t>
        </is>
      </c>
      <c r="F6" s="415" t="inlineStr">
        <is>
          <t>LEFT JOIN</t>
        </is>
      </c>
      <c r="G6" s="415" t="inlineStr">
        <is>
          <t>a.CST_CODE = c2.CST_CODE</t>
        </is>
      </c>
      <c r="H6" s="463" t="inlineStr">
        <is>
          <t>c2.ELC_ADR_TP = 'HOME_NUMBER' AND c2.SYS_EXP_DT IS NULL</t>
        </is>
      </c>
      <c r="I6" s="415" t="n"/>
      <c r="J6" s="437" t="n"/>
      <c r="K6" s="437" t="n"/>
    </row>
    <row r="7" ht="36.75" customHeight="1" s="335">
      <c r="A7" s="459" t="n">
        <v>5</v>
      </c>
      <c r="B7" s="462" t="inlineStr">
        <is>
          <t>PG_SILVER</t>
        </is>
      </c>
      <c r="C7" s="415" t="inlineStr">
        <is>
          <t>IP_ELC_ADR</t>
        </is>
      </c>
      <c r="D7" s="415" t="inlineStr">
        <is>
          <t>c3</t>
        </is>
      </c>
      <c r="E7" s="415" t="inlineStr">
        <is>
          <t>sub</t>
        </is>
      </c>
      <c r="F7" s="415" t="inlineStr">
        <is>
          <t>LEFT JOIN</t>
        </is>
      </c>
      <c r="G7" s="415" t="inlineStr">
        <is>
          <t>a.CST_CODE = c3.CST_CODE</t>
        </is>
      </c>
      <c r="H7" s="463" t="inlineStr">
        <is>
          <t>c3.ELC_ADR_TP = 'MOBILE_NUMBER' AND c3.SYS_EXP_DT IS NULL</t>
        </is>
      </c>
      <c r="I7" s="415" t="n"/>
      <c r="J7" s="437" t="n"/>
      <c r="K7" s="437" t="n"/>
    </row>
    <row r="8" ht="36.75" customHeight="1" s="335">
      <c r="A8" s="459" t="n">
        <v>6</v>
      </c>
      <c r="B8" s="462" t="inlineStr">
        <is>
          <t>PG_SILVER</t>
        </is>
      </c>
      <c r="C8" s="415" t="inlineStr">
        <is>
          <t>IP_PST_ADR</t>
        </is>
      </c>
      <c r="D8" s="415" t="inlineStr">
        <is>
          <t>d1</t>
        </is>
      </c>
      <c r="E8" s="415" t="inlineStr">
        <is>
          <t>sub</t>
        </is>
      </c>
      <c r="F8" s="415" t="inlineStr">
        <is>
          <t>LEFT JOIN</t>
        </is>
      </c>
      <c r="G8" s="415" t="inlineStr">
        <is>
          <t>a.CST_CODE = d1.CST_CODE</t>
        </is>
      </c>
      <c r="H8" s="463" t="inlineStr">
        <is>
          <t>d1.PST_ADR_TP = 'CURRENT ADDRESS' AND d1.SYS_EXP_DT IS NULL</t>
        </is>
      </c>
      <c r="I8" s="415" t="n"/>
      <c r="J8" s="437" t="n"/>
      <c r="K8" s="437" t="n"/>
    </row>
    <row r="9" ht="42" customHeight="1" s="335">
      <c r="A9" s="459" t="n">
        <v>7</v>
      </c>
      <c r="B9" s="462" t="inlineStr">
        <is>
          <t>PG_SILVER</t>
        </is>
      </c>
      <c r="C9" s="415" t="inlineStr">
        <is>
          <t>IP_PST_ADR</t>
        </is>
      </c>
      <c r="D9" s="415" t="inlineStr">
        <is>
          <t>d2</t>
        </is>
      </c>
      <c r="E9" s="415" t="inlineStr">
        <is>
          <t>sub</t>
        </is>
      </c>
      <c r="F9" s="415" t="inlineStr">
        <is>
          <t>LEFT JOIN</t>
        </is>
      </c>
      <c r="G9" s="415" t="inlineStr">
        <is>
          <t>a.CST_CODE = d2.CST_CODE</t>
        </is>
      </c>
      <c r="H9" s="463" t="inlineStr">
        <is>
          <t>d2.PST_ADR_TP = 'PERMANENT ADDRESS' AND d2.SYS_EXP_DT IS NULL</t>
        </is>
      </c>
      <c r="I9" s="415" t="n"/>
      <c r="J9" s="437" t="n"/>
      <c r="K9" s="437" t="n"/>
    </row>
    <row r="10" ht="14.25" customHeight="1" s="335">
      <c r="A10" s="459" t="n">
        <v>8</v>
      </c>
      <c r="B10" s="462" t="inlineStr">
        <is>
          <t>PG_SILVER</t>
        </is>
      </c>
      <c r="C10" s="415" t="inlineStr">
        <is>
          <t>IDV_PRFL</t>
        </is>
      </c>
      <c r="D10" s="415" t="inlineStr">
        <is>
          <t>e</t>
        </is>
      </c>
      <c r="E10" s="415" t="inlineStr">
        <is>
          <t>sub</t>
        </is>
      </c>
      <c r="F10" s="415" t="inlineStr">
        <is>
          <t>INNER JOIN</t>
        </is>
      </c>
      <c r="G10" s="415" t="inlineStr">
        <is>
          <t>a.CST_CODE = e.CST_CODE</t>
        </is>
      </c>
      <c r="H10" s="463" t="inlineStr">
        <is>
          <t>e.SYS_EXP_DT IS NULL</t>
        </is>
      </c>
      <c r="I10" s="415" t="n"/>
      <c r="J10" s="437" t="n"/>
      <c r="K10" s="437" t="n"/>
    </row>
    <row r="11" ht="14.25" customHeight="1" s="335">
      <c r="A11" s="459" t="n">
        <v>9</v>
      </c>
      <c r="B11" s="462" t="inlineStr">
        <is>
          <t>PG_SILVER</t>
        </is>
      </c>
      <c r="C11" s="415" t="inlineStr">
        <is>
          <t>IDV_EMP_ST</t>
        </is>
      </c>
      <c r="D11" s="415" t="inlineStr">
        <is>
          <t>f</t>
        </is>
      </c>
      <c r="E11" s="415" t="inlineStr">
        <is>
          <t>sub</t>
        </is>
      </c>
      <c r="F11" s="415" t="inlineStr">
        <is>
          <t>LEFT JOIN</t>
        </is>
      </c>
      <c r="G11" s="415" t="inlineStr">
        <is>
          <t>a.CST_CODE = f.CST_CODE</t>
        </is>
      </c>
      <c r="H11" s="463" t="inlineStr">
        <is>
          <t>f.SYS_EXP_DT IS NULL</t>
        </is>
      </c>
      <c r="I11" s="415" t="n"/>
      <c r="J11" s="437" t="n"/>
      <c r="K11" s="437" t="n"/>
    </row>
    <row r="12" ht="14.25" customHeight="1" s="335">
      <c r="A12" s="437" t="n"/>
      <c r="B12" s="437" t="n"/>
      <c r="C12" s="437" t="n"/>
      <c r="D12" s="437" t="n"/>
      <c r="E12" s="437" t="n"/>
      <c r="F12" s="437" t="n"/>
      <c r="G12" s="437" t="n"/>
      <c r="H12" s="437" t="n"/>
      <c r="I12" s="437" t="n"/>
      <c r="J12" s="437" t="n"/>
      <c r="K12" s="437" t="n"/>
    </row>
    <row r="13" ht="14.25" customHeight="1" s="335">
      <c r="A13" s="437" t="n"/>
      <c r="B13" s="437" t="n"/>
      <c r="C13" s="437" t="n"/>
      <c r="D13" s="437" t="n"/>
      <c r="E13" s="415" t="n"/>
      <c r="F13" s="415" t="n"/>
      <c r="G13" s="437" t="n"/>
      <c r="H13" s="437" t="n"/>
      <c r="I13" s="437" t="n"/>
      <c r="J13" s="437" t="n"/>
      <c r="K13" s="437" t="n"/>
    </row>
    <row r="14" ht="14.25" customHeight="1" s="335">
      <c r="A14" s="483" t="inlineStr">
        <is>
          <t>Nguồn</t>
        </is>
      </c>
      <c r="B14" s="483" t="inlineStr">
        <is>
          <t>Bảng nguồn</t>
        </is>
      </c>
      <c r="C14" s="483" t="inlineStr">
        <is>
          <t>Cột nguồn</t>
        </is>
      </c>
      <c r="D14" s="483" t="inlineStr">
        <is>
          <t>Transform</t>
        </is>
      </c>
      <c r="E14" s="483" t="inlineStr">
        <is>
          <t>Entity</t>
        </is>
      </c>
      <c r="F14" s="483" t="inlineStr">
        <is>
          <t>Attribute</t>
        </is>
      </c>
      <c r="G14" s="483" t="inlineStr">
        <is>
          <t>Bảng đích</t>
        </is>
      </c>
      <c r="H14" s="483" t="inlineStr">
        <is>
          <t>Cột đích</t>
        </is>
      </c>
      <c r="I14" s="483" t="inlineStr">
        <is>
          <t>Kiểu dữ liệu</t>
        </is>
      </c>
      <c r="J14" s="483" t="inlineStr">
        <is>
          <t>Độ dài</t>
        </is>
      </c>
      <c r="K14" s="483" t="inlineStr">
        <is>
          <t>Diễn giải</t>
        </is>
      </c>
      <c r="L14" s="334" t="inlineStr">
        <is>
          <t>Term gold</t>
        </is>
      </c>
      <c r="M14" s="334" t="inlineStr">
        <is>
          <t>Term silver</t>
        </is>
      </c>
      <c r="N14" s="483" t="inlineStr">
        <is>
          <t>Glossary</t>
        </is>
      </c>
      <c r="O14" s="483" t="inlineStr">
        <is>
          <t>DDL Comment</t>
        </is>
      </c>
      <c r="P14" s="413" t="inlineStr">
        <is>
          <t>Ghi chú kỹ thuật &amp; Business Rule</t>
        </is>
      </c>
    </row>
    <row r="15" ht="14.25" customHeight="1" s="335">
      <c r="A15" s="486" t="inlineStr">
        <is>
          <t>PG_SILVER</t>
        </is>
      </c>
      <c r="B15" s="486" t="inlineStr">
        <is>
          <t>CST</t>
        </is>
      </c>
      <c r="C15" s="415" t="inlineStr">
        <is>
          <t>CST_CODE</t>
        </is>
      </c>
      <c r="D15" s="415" t="inlineStr">
        <is>
          <t>1:1</t>
        </is>
      </c>
      <c r="E15" s="415" t="inlineStr">
        <is>
          <t>Interface Customer</t>
        </is>
      </c>
      <c r="F15" s="415" t="inlineStr">
        <is>
          <t>Customer Code</t>
        </is>
      </c>
      <c r="G15" s="415" t="inlineStr">
        <is>
          <t>INF_CST</t>
        </is>
      </c>
      <c r="H15" s="415" t="inlineStr">
        <is>
          <t>CST_CODE</t>
        </is>
      </c>
      <c r="I15" s="487" t="inlineStr">
        <is>
          <t>VARCHAR2</t>
        </is>
      </c>
      <c r="J15" s="488" t="n">
        <v>20</v>
      </c>
      <c r="K15" s="415" t="inlineStr">
        <is>
          <t>Mã khách hàng</t>
        </is>
      </c>
      <c r="L15" s="334" t="inlineStr">
        <is>
          <t>x</t>
        </is>
      </c>
      <c r="M15" s="334" t="inlineStr">
        <is>
          <t>x</t>
        </is>
      </c>
      <c r="N15" s="334" t="inlineStr">
        <is>
          <t>CST_CODE</t>
        </is>
      </c>
      <c r="O15" s="334">
        <f>"COMMENT ON COLUMN PG_GOLD."&amp;G15&amp;"."&amp;H15&amp;" IS '"&amp;K15&amp;"';"</f>
        <v/>
      </c>
    </row>
    <row r="16" ht="14.25" customHeight="1" s="335">
      <c r="A16" s="486" t="inlineStr">
        <is>
          <t>PG_SILVER</t>
        </is>
      </c>
      <c r="B16" s="486" t="inlineStr">
        <is>
          <t>CST</t>
        </is>
      </c>
      <c r="C16" s="415" t="inlineStr">
        <is>
          <t>OPN_DT</t>
        </is>
      </c>
      <c r="D16" s="415" t="inlineStr">
        <is>
          <t>1:1</t>
        </is>
      </c>
      <c r="E16" s="415" t="inlineStr">
        <is>
          <t>Interface Customer</t>
        </is>
      </c>
      <c r="F16" s="415" t="inlineStr">
        <is>
          <t>Open Date</t>
        </is>
      </c>
      <c r="G16" s="415" t="inlineStr">
        <is>
          <t>INF_CST</t>
        </is>
      </c>
      <c r="H16" s="415" t="inlineStr">
        <is>
          <t>OPN_DT</t>
        </is>
      </c>
      <c r="I16" s="489" t="inlineStr">
        <is>
          <t>DATE</t>
        </is>
      </c>
      <c r="J16" s="415" t="n"/>
      <c r="K16" s="415" t="inlineStr">
        <is>
          <t>Ngày đăng ký</t>
        </is>
      </c>
      <c r="L16" s="334" t="inlineStr">
        <is>
          <t>x</t>
        </is>
      </c>
      <c r="M16" s="334" t="inlineStr">
        <is>
          <t>x</t>
        </is>
      </c>
      <c r="N16" s="334" t="inlineStr">
        <is>
          <t>OPN_DT</t>
        </is>
      </c>
      <c r="O16" s="334">
        <f>"COMMENT ON COLUMN PG_GOLD."&amp;G16&amp;"."&amp;H16&amp;" IS '"&amp;K16&amp;"';"</f>
        <v/>
      </c>
    </row>
    <row r="17" ht="14.25" customHeight="1" s="335">
      <c r="A17" s="490" t="inlineStr">
        <is>
          <t>PG_SILVER</t>
        </is>
      </c>
      <c r="B17" s="490" t="inlineStr">
        <is>
          <t>CST</t>
        </is>
      </c>
      <c r="C17" s="456" t="inlineStr">
        <is>
          <t>FRST_OU_CODE</t>
        </is>
      </c>
      <c r="D17" s="456" t="inlineStr">
        <is>
          <t>1:1</t>
        </is>
      </c>
      <c r="E17" s="456" t="inlineStr">
        <is>
          <t>Interface Customer</t>
        </is>
      </c>
      <c r="F17" s="456" t="inlineStr">
        <is>
          <t>First Organization Unit Code</t>
        </is>
      </c>
      <c r="G17" s="456" t="inlineStr">
        <is>
          <t>INF_CST</t>
        </is>
      </c>
      <c r="H17" s="456" t="inlineStr">
        <is>
          <t>FRST_OU_CODE</t>
        </is>
      </c>
      <c r="I17" s="491" t="inlineStr">
        <is>
          <t>VARCHAR2</t>
        </is>
      </c>
      <c r="J17" s="492" t="n">
        <v>20</v>
      </c>
      <c r="K17" s="456" t="inlineStr">
        <is>
          <t>CN_MO</t>
        </is>
      </c>
      <c r="L17" s="452" t="n"/>
      <c r="N17" s="334" t="inlineStr">
        <is>
          <t>FRST_OU_CODE</t>
        </is>
      </c>
      <c r="O17" s="456">
        <f>"COMMENT ON COLUMN PG_GOLD."&amp;G17&amp;"."&amp;H17&amp;" IS '"&amp;K17&amp;"';"</f>
        <v/>
      </c>
      <c r="P17" s="452" t="n"/>
    </row>
    <row r="18" ht="14.25" customHeight="1" s="335">
      <c r="A18" s="490" t="inlineStr">
        <is>
          <t>PG_SILVER</t>
        </is>
      </c>
      <c r="B18" s="456" t="inlineStr">
        <is>
          <t>IP_ALT_IDENTN</t>
        </is>
      </c>
      <c r="C18" s="456" t="inlineStr">
        <is>
          <t>IDENTN_NBR</t>
        </is>
      </c>
      <c r="D18" s="456" t="inlineStr">
        <is>
          <t>1:1</t>
        </is>
      </c>
      <c r="E18" s="456" t="inlineStr">
        <is>
          <t>Interface Customer</t>
        </is>
      </c>
      <c r="F18" s="456" t="inlineStr">
        <is>
          <t>Identification Number</t>
        </is>
      </c>
      <c r="G18" s="456" t="inlineStr">
        <is>
          <t>INF_CST</t>
        </is>
      </c>
      <c r="H18" s="456" t="inlineStr">
        <is>
          <t>IDENTN_NBR</t>
        </is>
      </c>
      <c r="I18" s="493" t="inlineStr">
        <is>
          <t>VARCHAR2</t>
        </is>
      </c>
      <c r="J18" s="494" t="n">
        <v>100</v>
      </c>
      <c r="K18" s="456" t="inlineStr">
        <is>
          <t>SO_GTTT</t>
        </is>
      </c>
      <c r="L18" s="452" t="n"/>
      <c r="N18" s="334" t="inlineStr">
        <is>
          <t>IDENTN_NBR</t>
        </is>
      </c>
      <c r="O18" s="456">
        <f>"COMMENT ON COLUMN PG_GOLD."&amp;G18&amp;"."&amp;H18&amp;" IS '"&amp;K18&amp;"';"</f>
        <v/>
      </c>
      <c r="P18" s="452" t="n"/>
    </row>
    <row r="19" ht="14.25" customHeight="1" s="335">
      <c r="A19" s="486" t="inlineStr">
        <is>
          <t>PG_SILVER</t>
        </is>
      </c>
      <c r="B19" s="415" t="inlineStr">
        <is>
          <t>IP_ALT_IDENTN</t>
        </is>
      </c>
      <c r="C19" s="415" t="inlineStr">
        <is>
          <t>IDENTN_ISSU_DT</t>
        </is>
      </c>
      <c r="D19" s="415" t="inlineStr">
        <is>
          <t>1:1</t>
        </is>
      </c>
      <c r="E19" s="415" t="inlineStr">
        <is>
          <t>Interface Customer</t>
        </is>
      </c>
      <c r="F19" s="415" t="inlineStr">
        <is>
          <t>Identification Issue Date</t>
        </is>
      </c>
      <c r="G19" s="415" t="inlineStr">
        <is>
          <t>INF_CST</t>
        </is>
      </c>
      <c r="H19" s="415" t="inlineStr">
        <is>
          <t>IDENTN_ISSU_DT</t>
        </is>
      </c>
      <c r="I19" s="489" t="inlineStr">
        <is>
          <t>DATE</t>
        </is>
      </c>
      <c r="J19" s="415" t="n"/>
      <c r="K19" s="415" t="inlineStr">
        <is>
          <t>Ngày cấp giấy tờ tùy thân</t>
        </is>
      </c>
      <c r="N19" s="334" t="inlineStr">
        <is>
          <t>IDENTN_ISSU_DT</t>
        </is>
      </c>
      <c r="O19" s="334">
        <f>"COMMENT ON COLUMN PG_GOLD."&amp;G19&amp;"."&amp;H19&amp;" IS '"&amp;K19&amp;"';"</f>
        <v/>
      </c>
    </row>
    <row r="20" ht="14.25" customHeight="1" s="335">
      <c r="A20" s="486" t="inlineStr">
        <is>
          <t>PG_SILVER</t>
        </is>
      </c>
      <c r="B20" s="486" t="inlineStr">
        <is>
          <t>IDV_PRFL</t>
        </is>
      </c>
      <c r="C20" s="415" t="inlineStr">
        <is>
          <t>CST_CODE</t>
        </is>
      </c>
      <c r="D20" s="415" t="inlineStr">
        <is>
          <t>NULL</t>
        </is>
      </c>
      <c r="E20" s="415" t="inlineStr">
        <is>
          <t>Interface Customer</t>
        </is>
      </c>
      <c r="F20" s="415" t="inlineStr">
        <is>
          <t>Business Registration Number</t>
        </is>
      </c>
      <c r="G20" s="415" t="inlineStr">
        <is>
          <t>INF_CST</t>
        </is>
      </c>
      <c r="H20" s="415" t="inlineStr">
        <is>
          <t>BSN_RGST_NBR</t>
        </is>
      </c>
      <c r="I20" s="415" t="inlineStr">
        <is>
          <t>VARCHAR2</t>
        </is>
      </c>
      <c r="J20" s="415" t="n">
        <v>40</v>
      </c>
      <c r="K20" s="415" t="inlineStr">
        <is>
          <t>Số giấy phép doanh nghiệp</t>
        </is>
      </c>
      <c r="N20" s="334" t="inlineStr">
        <is>
          <t>BSN_RGST_NBR</t>
        </is>
      </c>
      <c r="O20" s="334">
        <f>"COMMENT ON COLUMN PG_GOLD."&amp;G20&amp;"."&amp;H20&amp;" IS '"&amp;K20&amp;"';"</f>
        <v/>
      </c>
    </row>
    <row r="21" ht="14.25" customHeight="1" s="335">
      <c r="A21" s="486" t="inlineStr">
        <is>
          <t>PG_SILVER</t>
        </is>
      </c>
      <c r="B21" s="486" t="inlineStr">
        <is>
          <t>IDV_PRFL</t>
        </is>
      </c>
      <c r="C21" s="415" t="inlineStr">
        <is>
          <t>TAX_IDENTN_NBR</t>
        </is>
      </c>
      <c r="D21" s="415" t="inlineStr">
        <is>
          <t>1:1</t>
        </is>
      </c>
      <c r="E21" s="415" t="inlineStr">
        <is>
          <t>Interface Customer</t>
        </is>
      </c>
      <c r="F21" s="415" t="inlineStr">
        <is>
          <t>Tax Identification Number</t>
        </is>
      </c>
      <c r="G21" s="415" t="inlineStr">
        <is>
          <t>INF_CST</t>
        </is>
      </c>
      <c r="H21" s="415" t="inlineStr">
        <is>
          <t>TAX_IDENTN_NBR</t>
        </is>
      </c>
      <c r="I21" s="489" t="inlineStr">
        <is>
          <t>VARCHAR2</t>
        </is>
      </c>
      <c r="J21" s="495" t="n">
        <v>100</v>
      </c>
      <c r="K21" s="496" t="inlineStr">
        <is>
          <t>Số seri hóa đơn</t>
        </is>
      </c>
      <c r="N21" s="334" t="inlineStr">
        <is>
          <t>TAX_IDENTN_NBR</t>
        </is>
      </c>
      <c r="O21" s="334">
        <f>"COMMENT ON COLUMN PG_GOLD."&amp;G21&amp;"."&amp;H21&amp;" IS '"&amp;K21&amp;"';"</f>
        <v/>
      </c>
    </row>
    <row r="22" ht="14.25" customHeight="1" s="335">
      <c r="A22" s="486" t="inlineStr">
        <is>
          <t>PG_SILVER</t>
        </is>
      </c>
      <c r="B22" s="486" t="inlineStr">
        <is>
          <t>IDV_PRFL</t>
        </is>
      </c>
      <c r="C22" s="415" t="inlineStr">
        <is>
          <t>BSN_RGST_EFF_DT</t>
        </is>
      </c>
      <c r="D22" s="415" t="inlineStr">
        <is>
          <t>1:1</t>
        </is>
      </c>
      <c r="E22" s="415" t="inlineStr">
        <is>
          <t>Interface Customer</t>
        </is>
      </c>
      <c r="F22" s="415" t="inlineStr">
        <is>
          <t>Business Registration Effective Date</t>
        </is>
      </c>
      <c r="G22" s="415" t="inlineStr">
        <is>
          <t>INF_CST</t>
        </is>
      </c>
      <c r="H22" s="415" t="inlineStr">
        <is>
          <t>BSN_RGST_EFF_DT</t>
        </is>
      </c>
      <c r="I22" s="415" t="inlineStr">
        <is>
          <t>DATE</t>
        </is>
      </c>
      <c r="J22" s="415" t="n"/>
      <c r="K22" s="496" t="inlineStr">
        <is>
          <t>Ngày phát hành hóa đơn</t>
        </is>
      </c>
      <c r="N22" s="334" t="inlineStr">
        <is>
          <t>BSN_RGST_EFF_DT</t>
        </is>
      </c>
      <c r="O22" s="334">
        <f>"COMMENT ON COLUMN PG_GOLD."&amp;G22&amp;"."&amp;H22&amp;" IS '"&amp;K22&amp;"';"</f>
        <v/>
      </c>
      <c r="P22" s="334" t="inlineStr">
        <is>
          <t>Map 1:1 từ IDV_PRFL.BSN_RGST_EFF_DT (VAT_INV_DATE)</t>
        </is>
      </c>
    </row>
    <row r="23" ht="14.25" customHeight="1" s="335">
      <c r="A23" s="486" t="inlineStr">
        <is>
          <t>PG_SILVER</t>
        </is>
      </c>
      <c r="B23" s="415" t="inlineStr">
        <is>
          <t>IP_ALT_IDENTN</t>
        </is>
      </c>
      <c r="C23" s="415" t="inlineStr">
        <is>
          <t>IDENTN_EXPIRY_DT</t>
        </is>
      </c>
      <c r="D23" s="415" t="inlineStr">
        <is>
          <t>1:1</t>
        </is>
      </c>
      <c r="E23" s="415" t="inlineStr">
        <is>
          <t>Interface Customer</t>
        </is>
      </c>
      <c r="F23" s="415" t="inlineStr">
        <is>
          <t>Business Registration Expiry date</t>
        </is>
      </c>
      <c r="G23" s="415" t="inlineStr">
        <is>
          <t>INF_CST</t>
        </is>
      </c>
      <c r="H23" s="415" t="inlineStr">
        <is>
          <t>BSN_RGST_EXPIRY_DT</t>
        </is>
      </c>
      <c r="I23" s="489" t="inlineStr">
        <is>
          <t>DATE</t>
        </is>
      </c>
      <c r="J23" s="415" t="n"/>
      <c r="K23" s="496" t="inlineStr">
        <is>
          <t>Ngày hêt hạn căn cước</t>
        </is>
      </c>
      <c r="N23" s="334" t="inlineStr">
        <is>
          <t>BSN_RGST_EXPIRY_DT</t>
        </is>
      </c>
      <c r="O23" s="334">
        <f>"COMMENT ON COLUMN PG_GOLD."&amp;G23&amp;"."&amp;H23&amp;" IS '"&amp;K23&amp;"';"</f>
        <v/>
      </c>
    </row>
    <row r="24" ht="14.25" customHeight="1" s="335">
      <c r="A24" s="486" t="inlineStr">
        <is>
          <t>PG_SILVER</t>
        </is>
      </c>
      <c r="B24" s="415" t="inlineStr">
        <is>
          <t>IDV_PRFL</t>
        </is>
      </c>
      <c r="C24" s="415" t="inlineStr">
        <is>
          <t>GND</t>
        </is>
      </c>
      <c r="D24" s="415" t="inlineStr">
        <is>
          <t>1:1</t>
        </is>
      </c>
      <c r="E24" s="415" t="inlineStr">
        <is>
          <t>Interface Customer</t>
        </is>
      </c>
      <c r="F24" s="415" t="inlineStr">
        <is>
          <t>Gender</t>
        </is>
      </c>
      <c r="G24" s="415" t="inlineStr">
        <is>
          <t>INF_CST</t>
        </is>
      </c>
      <c r="H24" s="415" t="inlineStr">
        <is>
          <t>GND</t>
        </is>
      </c>
      <c r="I24" s="489" t="inlineStr">
        <is>
          <t>VARCHAR2</t>
        </is>
      </c>
      <c r="J24" s="495" t="n">
        <v>20</v>
      </c>
      <c r="K24" s="415" t="inlineStr">
        <is>
          <t>Giới tính</t>
        </is>
      </c>
      <c r="N24" s="334" t="inlineStr">
        <is>
          <t>GND</t>
        </is>
      </c>
      <c r="O24" s="334">
        <f>"COMMENT ON COLUMN PG_GOLD."&amp;G24&amp;"."&amp;H24&amp;" IS '"&amp;K24&amp;"';"</f>
        <v/>
      </c>
    </row>
    <row r="25" ht="14.25" customHeight="1" s="335">
      <c r="A25" s="490" t="inlineStr">
        <is>
          <t>PG_SILVER</t>
        </is>
      </c>
      <c r="B25" s="490" t="inlineStr">
        <is>
          <t>CST</t>
        </is>
      </c>
      <c r="C25" s="456" t="inlineStr">
        <is>
          <t>CHKER_OFCR_CODE</t>
        </is>
      </c>
      <c r="D25" s="456" t="inlineStr">
        <is>
          <t>1:1</t>
        </is>
      </c>
      <c r="E25" s="456" t="inlineStr">
        <is>
          <t>Interface Customer</t>
        </is>
      </c>
      <c r="F25" s="456" t="inlineStr">
        <is>
          <t>Checker Officer</t>
        </is>
      </c>
      <c r="G25" s="456" t="inlineStr">
        <is>
          <t>INF_CST</t>
        </is>
      </c>
      <c r="H25" s="456" t="inlineStr">
        <is>
          <t>CHKER_OFCR</t>
        </is>
      </c>
      <c r="I25" s="491" t="inlineStr">
        <is>
          <t>VARCHAR2</t>
        </is>
      </c>
      <c r="J25" s="492" t="n">
        <v>20</v>
      </c>
      <c r="K25" s="456" t="inlineStr">
        <is>
          <t>NHOM_KH_DH</t>
        </is>
      </c>
      <c r="L25" s="452" t="n"/>
      <c r="N25" s="334" t="inlineStr">
        <is>
          <t>CHKER_OFCR</t>
        </is>
      </c>
      <c r="O25" s="456">
        <f>"COMMENT ON COLUMN PG_GOLD."&amp;G25&amp;"."&amp;H25&amp;" IS '"&amp;K25&amp;"';"</f>
        <v/>
      </c>
      <c r="P25" s="452" t="n"/>
    </row>
    <row r="26" ht="14.25" customHeight="1" s="335">
      <c r="A26" s="486" t="inlineStr">
        <is>
          <t>PG_SILVER</t>
        </is>
      </c>
      <c r="B26" s="486" t="inlineStr">
        <is>
          <t>IDV_PRFL</t>
        </is>
      </c>
      <c r="C26" s="415" t="inlineStr">
        <is>
          <t>DOB</t>
        </is>
      </c>
      <c r="D26" s="415" t="inlineStr">
        <is>
          <t>1:1</t>
        </is>
      </c>
      <c r="E26" s="415" t="inlineStr">
        <is>
          <t>Interface Customer</t>
        </is>
      </c>
      <c r="F26" s="415" t="inlineStr">
        <is>
          <t>Date Of Birth</t>
        </is>
      </c>
      <c r="G26" s="415" t="inlineStr">
        <is>
          <t>INF_CST</t>
        </is>
      </c>
      <c r="H26" s="415" t="inlineStr">
        <is>
          <t>DOB</t>
        </is>
      </c>
      <c r="I26" s="415" t="inlineStr">
        <is>
          <t>DATE</t>
        </is>
      </c>
      <c r="J26" s="415" t="n"/>
      <c r="K26" s="415" t="inlineStr">
        <is>
          <t>Ngày sinh</t>
        </is>
      </c>
      <c r="N26" s="334" t="inlineStr">
        <is>
          <t>DOB</t>
        </is>
      </c>
      <c r="O26" s="334">
        <f>"COMMENT ON COLUMN PG_GOLD."&amp;G26&amp;"."&amp;H26&amp;" IS '"&amp;K26&amp;"';"</f>
        <v/>
      </c>
      <c r="P26" s="334" t="inlineStr">
        <is>
          <t>Map 1:1 từ IDV_PRFL.DOB (Ngày sinh KHCN)</t>
        </is>
      </c>
    </row>
    <row r="27" ht="14.25" customHeight="1" s="335">
      <c r="A27" s="490" t="inlineStr">
        <is>
          <t>PG_SILVER</t>
        </is>
      </c>
      <c r="B27" s="490" t="inlineStr">
        <is>
          <t>CST</t>
        </is>
      </c>
      <c r="C27" s="456" t="inlineStr">
        <is>
          <t>OU_CODE</t>
        </is>
      </c>
      <c r="D27" s="456" t="inlineStr">
        <is>
          <t>1:1</t>
        </is>
      </c>
      <c r="E27" s="456" t="inlineStr">
        <is>
          <t>Interface Customer</t>
        </is>
      </c>
      <c r="F27" s="456" t="inlineStr">
        <is>
          <t>Organization Unit Code</t>
        </is>
      </c>
      <c r="G27" s="456" t="inlineStr">
        <is>
          <t>INF_CST</t>
        </is>
      </c>
      <c r="H27" s="456" t="inlineStr">
        <is>
          <t>OU_CODE</t>
        </is>
      </c>
      <c r="I27" s="491" t="inlineStr">
        <is>
          <t>VARCHAR2</t>
        </is>
      </c>
      <c r="J27" s="492" t="n">
        <v>20</v>
      </c>
      <c r="K27" s="456" t="inlineStr">
        <is>
          <t>CN_QL</t>
        </is>
      </c>
      <c r="L27" s="452" t="n"/>
      <c r="N27" s="334" t="inlineStr">
        <is>
          <t>OU_CODE</t>
        </is>
      </c>
      <c r="O27" s="456">
        <f>"COMMENT ON COLUMN PG_GOLD."&amp;G27&amp;"."&amp;H27&amp;" IS '"&amp;K27&amp;"';"</f>
        <v/>
      </c>
      <c r="P27" s="452" t="n"/>
    </row>
    <row r="28" ht="14.25" customHeight="1" s="335">
      <c r="A28" s="486" t="inlineStr">
        <is>
          <t>PG_SILVER</t>
        </is>
      </c>
      <c r="B28" s="486" t="inlineStr">
        <is>
          <t>IDV_PRFL</t>
        </is>
      </c>
      <c r="C28" s="415" t="inlineStr">
        <is>
          <t>VIP_TP_CODE</t>
        </is>
      </c>
      <c r="D28" s="415" t="inlineStr">
        <is>
          <t>1:1</t>
        </is>
      </c>
      <c r="E28" s="415" t="inlineStr">
        <is>
          <t>Interface Customer</t>
        </is>
      </c>
      <c r="F28" s="415" t="inlineStr">
        <is>
          <t>Vip Type Code</t>
        </is>
      </c>
      <c r="G28" s="415" t="inlineStr">
        <is>
          <t>INF_CST</t>
        </is>
      </c>
      <c r="H28" s="415" t="inlineStr">
        <is>
          <t>VIP_TP_CODE</t>
        </is>
      </c>
      <c r="I28" s="487" t="inlineStr">
        <is>
          <t>VARCHAR2</t>
        </is>
      </c>
      <c r="J28" s="488" t="n">
        <v>20</v>
      </c>
      <c r="K28" s="415" t="inlineStr">
        <is>
          <t>Phân hạng khách hàng vip</t>
        </is>
      </c>
      <c r="N28" s="334" t="inlineStr">
        <is>
          <t>VIP_TP_CODE</t>
        </is>
      </c>
      <c r="O28" s="334">
        <f>"COMMENT ON COLUMN PG_GOLD."&amp;G28&amp;"."&amp;H28&amp;" IS '"&amp;K28&amp;"';"</f>
        <v/>
      </c>
      <c r="P28" s="334" t="inlineStr">
        <is>
          <t>Map 1:1 từ IDV_PRFL.VIP_TP_CODE (FFB_TYPE)</t>
        </is>
      </c>
    </row>
    <row r="29" ht="14.25" customHeight="1" s="335">
      <c r="A29" s="486" t="inlineStr">
        <is>
          <t>PG_SILVER</t>
        </is>
      </c>
      <c r="B29" s="486" t="inlineStr">
        <is>
          <t>IDV_PRFL</t>
        </is>
      </c>
      <c r="C29" s="415" t="inlineStr">
        <is>
          <t>VIP_EFF_DT</t>
        </is>
      </c>
      <c r="D29" s="415" t="inlineStr">
        <is>
          <t>1:1</t>
        </is>
      </c>
      <c r="E29" s="415" t="inlineStr">
        <is>
          <t>Interface Customer</t>
        </is>
      </c>
      <c r="F29" s="415" t="inlineStr">
        <is>
          <t>Vip Effective Date</t>
        </is>
      </c>
      <c r="G29" s="415" t="inlineStr">
        <is>
          <t>INF_CST</t>
        </is>
      </c>
      <c r="H29" s="415" t="inlineStr">
        <is>
          <t>VIP_EFF_DT</t>
        </is>
      </c>
      <c r="I29" s="415" t="inlineStr">
        <is>
          <t>DATE</t>
        </is>
      </c>
      <c r="J29" s="415" t="n"/>
      <c r="K29" s="415" t="inlineStr">
        <is>
          <t>Ngày hiệu lực khách hàng vip</t>
        </is>
      </c>
      <c r="N29" s="334" t="inlineStr">
        <is>
          <t>VIP_EFF_DT</t>
        </is>
      </c>
      <c r="O29" s="334">
        <f>"COMMENT ON COLUMN PG_GOLD."&amp;G29&amp;"."&amp;H29&amp;" IS '"&amp;K29&amp;"';"</f>
        <v/>
      </c>
      <c r="P29" s="334" t="inlineStr">
        <is>
          <t>Map 1:1 từ IDV_PRFL.VIP_EFF_DT (CU_EFF_DATE)</t>
        </is>
      </c>
    </row>
    <row r="30" ht="14.25" customHeight="1" s="335">
      <c r="A30" s="486" t="inlineStr">
        <is>
          <t>PG_SILVER</t>
        </is>
      </c>
      <c r="B30" s="486" t="inlineStr">
        <is>
          <t>CST</t>
        </is>
      </c>
      <c r="C30" s="415" t="inlineStr">
        <is>
          <t>EMPE_CODE</t>
        </is>
      </c>
      <c r="D30" s="415" t="inlineStr">
        <is>
          <t>1:1</t>
        </is>
      </c>
      <c r="E30" s="415" t="inlineStr">
        <is>
          <t>Interface Customer</t>
        </is>
      </c>
      <c r="F30" s="415" t="inlineStr">
        <is>
          <t>Employee Code</t>
        </is>
      </c>
      <c r="G30" s="415" t="inlineStr">
        <is>
          <t>INF_CST</t>
        </is>
      </c>
      <c r="H30" s="415" t="inlineStr">
        <is>
          <t>EMPE_CODE</t>
        </is>
      </c>
      <c r="I30" s="487" t="inlineStr">
        <is>
          <t>VARCHAR2</t>
        </is>
      </c>
      <c r="J30" s="488" t="n">
        <v>20</v>
      </c>
      <c r="K30" s="415" t="inlineStr">
        <is>
          <t>Mã nhân viên giới thiệu</t>
        </is>
      </c>
      <c r="N30" s="334" t="inlineStr">
        <is>
          <t>EMPE_CODE</t>
        </is>
      </c>
      <c r="O30" s="334">
        <f>"COMMENT ON COLUMN PG_GOLD."&amp;G30&amp;"."&amp;H30&amp;" IS '"&amp;K30&amp;"';"</f>
        <v/>
      </c>
      <c r="P30" s="334" t="inlineStr">
        <is>
          <t>Map 1:1 từ CST.EMPE_CODE (ACCOUNT_OFFICER)</t>
        </is>
      </c>
    </row>
    <row r="31" ht="14.25" customHeight="1" s="335">
      <c r="A31" s="486" t="inlineStr">
        <is>
          <t>PG_SILVER</t>
        </is>
      </c>
      <c r="B31" s="486" t="inlineStr">
        <is>
          <t>CST</t>
        </is>
      </c>
      <c r="C31" s="415" t="inlineStr">
        <is>
          <t>SHRT_NM</t>
        </is>
      </c>
      <c r="D31" s="415" t="inlineStr">
        <is>
          <t>1:1</t>
        </is>
      </c>
      <c r="E31" s="415" t="inlineStr">
        <is>
          <t>Interface Customer</t>
        </is>
      </c>
      <c r="F31" s="415" t="inlineStr">
        <is>
          <t>Short Name</t>
        </is>
      </c>
      <c r="G31" s="415" t="inlineStr">
        <is>
          <t>INF_CST</t>
        </is>
      </c>
      <c r="H31" s="415" t="inlineStr">
        <is>
          <t>SHRT_NM</t>
        </is>
      </c>
      <c r="I31" s="489" t="inlineStr">
        <is>
          <t>VARCHAR2</t>
        </is>
      </c>
      <c r="J31" s="495" t="n">
        <v>255</v>
      </c>
      <c r="K31" s="415" t="inlineStr">
        <is>
          <t>Tên viết tắt khách hàng</t>
        </is>
      </c>
      <c r="L31" s="334" t="inlineStr">
        <is>
          <t>x</t>
        </is>
      </c>
      <c r="M31" s="334" t="inlineStr">
        <is>
          <t>x</t>
        </is>
      </c>
      <c r="N31" s="334" t="inlineStr">
        <is>
          <t>SHRT_NM</t>
        </is>
      </c>
      <c r="O31" s="334">
        <f>"COMMENT ON COLUMN PG_GOLD."&amp;G31&amp;"."&amp;H31&amp;" IS '"&amp;K31&amp;"';"</f>
        <v/>
      </c>
    </row>
    <row r="32" ht="14.25" customHeight="1" s="335">
      <c r="A32" s="486" t="inlineStr">
        <is>
          <t>PG_SILVER</t>
        </is>
      </c>
      <c r="B32" s="486" t="inlineStr">
        <is>
          <t>CST</t>
        </is>
      </c>
      <c r="C32" s="415" t="inlineStr">
        <is>
          <t>CST_NM</t>
        </is>
      </c>
      <c r="D32" s="415" t="inlineStr">
        <is>
          <t>1:1</t>
        </is>
      </c>
      <c r="E32" s="415" t="inlineStr">
        <is>
          <t>Interface Customer</t>
        </is>
      </c>
      <c r="F32" s="415" t="inlineStr">
        <is>
          <t>Customer Name</t>
        </is>
      </c>
      <c r="G32" s="415" t="inlineStr">
        <is>
          <t>INF_CST</t>
        </is>
      </c>
      <c r="H32" s="415" t="inlineStr">
        <is>
          <t>CST_NM</t>
        </is>
      </c>
      <c r="I32" s="489" t="inlineStr">
        <is>
          <t>VARCHAR2</t>
        </is>
      </c>
      <c r="J32" s="495" t="n">
        <v>255</v>
      </c>
      <c r="K32" s="415" t="inlineStr">
        <is>
          <t>Tên khách hàng đầy đủ</t>
        </is>
      </c>
      <c r="L32" s="334" t="inlineStr">
        <is>
          <t>x</t>
        </is>
      </c>
      <c r="M32" s="334" t="inlineStr">
        <is>
          <t>x</t>
        </is>
      </c>
      <c r="N32" s="334" t="inlineStr">
        <is>
          <t>CST_NM</t>
        </is>
      </c>
      <c r="O32" s="334">
        <f>"COMMENT ON COLUMN PG_GOLD."&amp;G32&amp;"."&amp;H32&amp;" IS '"&amp;K32&amp;"';"</f>
        <v/>
      </c>
    </row>
    <row r="33" ht="14.25" customHeight="1" s="335">
      <c r="A33" s="486" t="inlineStr">
        <is>
          <t>PG_SILVER</t>
        </is>
      </c>
      <c r="B33" s="486" t="inlineStr">
        <is>
          <t>IDV_PRFL</t>
        </is>
      </c>
      <c r="C33" s="415" t="inlineStr">
        <is>
          <t>CST_CODE</t>
        </is>
      </c>
      <c r="D33" s="415" t="inlineStr">
        <is>
          <t>${ETL_DATE}</t>
        </is>
      </c>
      <c r="E33" s="415" t="inlineStr">
        <is>
          <t>Interface Customer</t>
        </is>
      </c>
      <c r="F33" s="415" t="inlineStr">
        <is>
          <t>Calendar Date</t>
        </is>
      </c>
      <c r="G33" s="415" t="inlineStr">
        <is>
          <t>INF_CST</t>
        </is>
      </c>
      <c r="H33" s="463" t="inlineStr">
        <is>
          <t>CDR_DT</t>
        </is>
      </c>
      <c r="I33" s="415" t="inlineStr">
        <is>
          <t>DATE</t>
        </is>
      </c>
      <c r="J33" s="415" t="n"/>
      <c r="K33" s="415" t="inlineStr">
        <is>
          <t>Ngày dữ liệu</t>
        </is>
      </c>
      <c r="N33" s="334" t="inlineStr">
        <is>
          <t>CDR_DT</t>
        </is>
      </c>
      <c r="O33" s="334">
        <f>"COMMENT ON COLUMN PG_GOLD."&amp;G33&amp;"."&amp;H33&amp;" IS '"&amp;K33&amp;"';"</f>
        <v/>
      </c>
      <c r="P33" s="414" t="inlineStr">
        <is>
          <t>Gán `${ETL_DATE}` cho CDR_DT.</t>
        </is>
      </c>
    </row>
    <row r="34" ht="14.25" customHeight="1" s="335">
      <c r="A34" s="486" t="inlineStr">
        <is>
          <t>PG_SILVER</t>
        </is>
      </c>
      <c r="B34" s="486" t="inlineStr">
        <is>
          <t>CST</t>
        </is>
      </c>
      <c r="C34" s="415" t="inlineStr">
        <is>
          <t>SCTR_CODE</t>
        </is>
      </c>
      <c r="D34" s="415" t="inlineStr">
        <is>
          <t>1:1</t>
        </is>
      </c>
      <c r="E34" s="415" t="inlineStr">
        <is>
          <t>Interface Customer</t>
        </is>
      </c>
      <c r="F34" s="415" t="inlineStr">
        <is>
          <t>Sector Code</t>
        </is>
      </c>
      <c r="G34" s="415" t="inlineStr">
        <is>
          <t>INF_CST</t>
        </is>
      </c>
      <c r="H34" s="415" t="inlineStr">
        <is>
          <t>SCTR_CODE</t>
        </is>
      </c>
      <c r="I34" s="489" t="inlineStr">
        <is>
          <t>VARCHAR2</t>
        </is>
      </c>
      <c r="J34" s="495" t="n">
        <v>40</v>
      </c>
      <c r="K34" s="415" t="inlineStr">
        <is>
          <t>Mã phân loại khách hàng</t>
        </is>
      </c>
      <c r="N34" s="334" t="inlineStr">
        <is>
          <t>SCTR_CODE</t>
        </is>
      </c>
      <c r="O34" s="334">
        <f>"COMMENT ON COLUMN PG_GOLD."&amp;G34&amp;"."&amp;H34&amp;" IS '"&amp;K34&amp;"';"</f>
        <v/>
      </c>
    </row>
    <row r="35" ht="14.25" customHeight="1" s="335">
      <c r="A35" s="486" t="inlineStr">
        <is>
          <t>PG_SILVER</t>
        </is>
      </c>
      <c r="B35" s="486" t="inlineStr">
        <is>
          <t>CST</t>
        </is>
      </c>
      <c r="C35" s="415" t="inlineStr">
        <is>
          <t>CST_GRP_CODE</t>
        </is>
      </c>
      <c r="D35" s="415" t="inlineStr">
        <is>
          <t>1:1</t>
        </is>
      </c>
      <c r="E35" s="415" t="inlineStr">
        <is>
          <t>Interface Customer</t>
        </is>
      </c>
      <c r="F35" s="415" t="inlineStr">
        <is>
          <t>Customer Group Code</t>
        </is>
      </c>
      <c r="G35" s="415" t="inlineStr">
        <is>
          <t>INF_CST</t>
        </is>
      </c>
      <c r="H35" s="415" t="inlineStr">
        <is>
          <t>CST_GRP_CODE</t>
        </is>
      </c>
      <c r="I35" s="489" t="inlineStr">
        <is>
          <t>VARCHAR2</t>
        </is>
      </c>
      <c r="J35" s="495" t="n">
        <v>20</v>
      </c>
      <c r="K35" s="415" t="inlineStr">
        <is>
          <t>Khối quản lý khách hàng</t>
        </is>
      </c>
      <c r="N35" s="334" t="inlineStr">
        <is>
          <t>CST_GRP_CODE</t>
        </is>
      </c>
      <c r="O35" s="334">
        <f>"COMMENT ON COLUMN PG_GOLD."&amp;G35&amp;"."&amp;H35&amp;" IS '"&amp;K35&amp;"';"</f>
        <v/>
      </c>
    </row>
    <row r="36" ht="14.25" customHeight="1" s="335">
      <c r="A36" s="486" t="inlineStr">
        <is>
          <t>PG_SILVER</t>
        </is>
      </c>
      <c r="B36" s="486" t="inlineStr">
        <is>
          <t>CST</t>
        </is>
      </c>
      <c r="C36" s="415" t="inlineStr">
        <is>
          <t>MAKER_OFCR_CODE</t>
        </is>
      </c>
      <c r="D36" s="415" t="inlineStr">
        <is>
          <t>1:1</t>
        </is>
      </c>
      <c r="E36" s="415" t="inlineStr">
        <is>
          <t>Interface Customer</t>
        </is>
      </c>
      <c r="F36" s="415" t="inlineStr">
        <is>
          <t>Maker Officer</t>
        </is>
      </c>
      <c r="G36" s="415" t="inlineStr">
        <is>
          <t>INF_CST</t>
        </is>
      </c>
      <c r="H36" s="415" t="inlineStr">
        <is>
          <t>MAKER_OFCR</t>
        </is>
      </c>
      <c r="I36" s="489" t="inlineStr">
        <is>
          <t>VARCHAR2</t>
        </is>
      </c>
      <c r="J36" s="495" t="n">
        <v>20</v>
      </c>
      <c r="K36" s="415" t="inlineStr">
        <is>
          <t>Mã nhân viên hạch toán</t>
        </is>
      </c>
      <c r="N36" s="334" t="inlineStr">
        <is>
          <t>MAKER_OFCR</t>
        </is>
      </c>
      <c r="O36" s="334">
        <f>"COMMENT ON COLUMN PG_GOLD."&amp;G36&amp;"."&amp;H36&amp;" IS '"&amp;K36&amp;"';"</f>
        <v/>
      </c>
    </row>
    <row r="37" ht="14.25" customHeight="1" s="335">
      <c r="A37" s="486" t="inlineStr">
        <is>
          <t>PG_SILVER</t>
        </is>
      </c>
      <c r="B37" s="415" t="inlineStr">
        <is>
          <t>IP_PST_ADR</t>
        </is>
      </c>
      <c r="C37" s="415" t="inlineStr">
        <is>
          <t>CTY_NM</t>
        </is>
      </c>
      <c r="D37" s="415" t="inlineStr">
        <is>
          <t>d1.CTY_NM</t>
        </is>
      </c>
      <c r="E37" s="415" t="inlineStr">
        <is>
          <t>Interface Customer</t>
        </is>
      </c>
      <c r="F37" s="415" t="inlineStr">
        <is>
          <t>Country Name</t>
        </is>
      </c>
      <c r="G37" s="415" t="inlineStr">
        <is>
          <t>INF_CST</t>
        </is>
      </c>
      <c r="H37" s="466" t="inlineStr">
        <is>
          <t>CTY_NM</t>
        </is>
      </c>
      <c r="I37" s="489" t="inlineStr">
        <is>
          <t>VARCHAR2</t>
        </is>
      </c>
      <c r="J37" s="495" t="n">
        <v>100</v>
      </c>
      <c r="K37" s="415" t="inlineStr">
        <is>
          <t>Quốc gia cư trú hiện tại</t>
        </is>
      </c>
      <c r="N37" s="334" t="inlineStr">
        <is>
          <t>CTY_NM</t>
        </is>
      </c>
      <c r="O37" s="334">
        <f>"COMMENT ON COLUMN PG_GOLD."&amp;G37&amp;"."&amp;H37&amp;" IS '"&amp;K37&amp;"';"</f>
        <v/>
      </c>
    </row>
    <row r="38" ht="14.25" customHeight="1" s="335">
      <c r="A38" s="486" t="inlineStr">
        <is>
          <t>PG_SILVER</t>
        </is>
      </c>
      <c r="B38" s="415" t="inlineStr">
        <is>
          <t>IDV_PRFL</t>
        </is>
      </c>
      <c r="C38" s="415" t="inlineStr">
        <is>
          <t>CST_ST_CODE</t>
        </is>
      </c>
      <c r="D38" s="415" t="inlineStr">
        <is>
          <t>1:1</t>
        </is>
      </c>
      <c r="E38" s="415" t="inlineStr">
        <is>
          <t>Interface Customer</t>
        </is>
      </c>
      <c r="F38" s="415" t="inlineStr">
        <is>
          <t>Customer Status Code</t>
        </is>
      </c>
      <c r="G38" s="415" t="inlineStr">
        <is>
          <t>INF_CST</t>
        </is>
      </c>
      <c r="H38" s="415" t="inlineStr">
        <is>
          <t>CST_ST_CODE</t>
        </is>
      </c>
      <c r="I38" s="489" t="inlineStr">
        <is>
          <t>VARCHAR2</t>
        </is>
      </c>
      <c r="J38" s="495" t="n">
        <v>20</v>
      </c>
      <c r="K38" s="415" t="inlineStr">
        <is>
          <t>Trạng thái khách hàng</t>
        </is>
      </c>
      <c r="N38" s="334" t="inlineStr">
        <is>
          <t>CST_ST_CODE</t>
        </is>
      </c>
      <c r="O38" s="334">
        <f>"COMMENT ON COLUMN PG_GOLD."&amp;G38&amp;"."&amp;H38&amp;" IS '"&amp;K38&amp;"';"</f>
        <v/>
      </c>
    </row>
    <row r="39" ht="14.25" customHeight="1" s="335">
      <c r="A39" s="486" t="inlineStr">
        <is>
          <t>PG_SILVER</t>
        </is>
      </c>
      <c r="B39" s="415" t="inlineStr">
        <is>
          <t>IP_PST_ADR</t>
        </is>
      </c>
      <c r="C39" s="415" t="inlineStr">
        <is>
          <t>CTY_NM</t>
        </is>
      </c>
      <c r="D39" s="415" t="inlineStr">
        <is>
          <t>d2.CTY_NM</t>
        </is>
      </c>
      <c r="E39" s="415" t="inlineStr">
        <is>
          <t>Interface Customer</t>
        </is>
      </c>
      <c r="F39" s="415" t="inlineStr">
        <is>
          <t>Country Name 2</t>
        </is>
      </c>
      <c r="G39" s="415" t="inlineStr">
        <is>
          <t>INF_CST</t>
        </is>
      </c>
      <c r="H39" s="415" t="inlineStr">
        <is>
          <t>CTY_NM_2</t>
        </is>
      </c>
      <c r="I39" s="489" t="inlineStr">
        <is>
          <t>VARCHAR2</t>
        </is>
      </c>
      <c r="J39" s="495" t="n">
        <v>100</v>
      </c>
      <c r="K39" s="415" t="inlineStr">
        <is>
          <t>Quốc gia thường trú</t>
        </is>
      </c>
      <c r="N39" s="334" t="inlineStr">
        <is>
          <t>CTY_NM_2</t>
        </is>
      </c>
      <c r="O39" s="334">
        <f>"COMMENT ON COLUMN PG_GOLD."&amp;G39&amp;"."&amp;H39&amp;" IS '"&amp;K39&amp;"';"</f>
        <v/>
      </c>
    </row>
    <row r="40" ht="14.25" customHeight="1" s="335">
      <c r="A40" s="486" t="inlineStr">
        <is>
          <t>PG_SILVER</t>
        </is>
      </c>
      <c r="B40" s="486" t="inlineStr">
        <is>
          <t>IDV_PRFL</t>
        </is>
      </c>
      <c r="C40" s="415" t="inlineStr">
        <is>
          <t>CTY_OF_CTZN_CODE</t>
        </is>
      </c>
      <c r="D40" s="415" t="inlineStr">
        <is>
          <t>1:1</t>
        </is>
      </c>
      <c r="E40" s="415" t="inlineStr">
        <is>
          <t>Interface Customer</t>
        </is>
      </c>
      <c r="F40" s="415" t="inlineStr">
        <is>
          <t>Country Of Citizenship Code</t>
        </is>
      </c>
      <c r="G40" s="415" t="inlineStr">
        <is>
          <t>INF_CST</t>
        </is>
      </c>
      <c r="H40" s="415" t="inlineStr">
        <is>
          <t>CTY_OF_CTZN_CODE</t>
        </is>
      </c>
      <c r="I40" s="489" t="inlineStr">
        <is>
          <t>VARCHAR2</t>
        </is>
      </c>
      <c r="J40" s="495" t="n">
        <v>40</v>
      </c>
      <c r="K40" s="415" t="inlineStr">
        <is>
          <t>Quốc tịch</t>
        </is>
      </c>
      <c r="N40" s="334" t="inlineStr">
        <is>
          <t>CTY_OF_CTZN_CODE</t>
        </is>
      </c>
      <c r="O40" s="334">
        <f>"COMMENT ON COLUMN PG_GOLD."&amp;G40&amp;"."&amp;H40&amp;" IS '"&amp;K40&amp;"';"</f>
        <v/>
      </c>
    </row>
    <row r="41" ht="14.25" customHeight="1" s="335">
      <c r="A41" s="486" t="inlineStr">
        <is>
          <t>PG_SILVER</t>
        </is>
      </c>
      <c r="B41" s="433" t="inlineStr">
        <is>
          <t>IDV_EMP_ST</t>
        </is>
      </c>
      <c r="C41" s="415" t="inlineStr">
        <is>
          <t>OCP_CODE</t>
        </is>
      </c>
      <c r="D41" s="415" t="inlineStr">
        <is>
          <t>1:1</t>
        </is>
      </c>
      <c r="E41" s="415" t="inlineStr">
        <is>
          <t>Interface Customer</t>
        </is>
      </c>
      <c r="F41" s="497" t="inlineStr">
        <is>
          <t>Occupation Code</t>
        </is>
      </c>
      <c r="G41" s="415" t="inlineStr">
        <is>
          <t>INF_CST</t>
        </is>
      </c>
      <c r="H41" s="415" t="inlineStr">
        <is>
          <t>OCP_CODE</t>
        </is>
      </c>
      <c r="I41" s="489" t="inlineStr">
        <is>
          <t>VARCHAR2</t>
        </is>
      </c>
      <c r="J41" s="495" t="n">
        <v>100</v>
      </c>
      <c r="K41" s="415" t="inlineStr">
        <is>
          <t>Nghề nghiệp khách hàng</t>
        </is>
      </c>
      <c r="N41" s="334" t="inlineStr">
        <is>
          <t>OCP_CODE</t>
        </is>
      </c>
      <c r="O41" s="334">
        <f>"COMMENT ON COLUMN PG_GOLD."&amp;G41&amp;"."&amp;H41&amp;" IS '"&amp;K41&amp;"';"</f>
        <v/>
      </c>
    </row>
    <row r="42" ht="14.25" customHeight="1" s="335">
      <c r="A42" s="486" t="inlineStr">
        <is>
          <t>PG_SILVER</t>
        </is>
      </c>
      <c r="B42" s="486" t="inlineStr">
        <is>
          <t>IP_ELC_ADR</t>
        </is>
      </c>
      <c r="C42" s="415" t="inlineStr">
        <is>
          <t>ELC_ADR_VAL</t>
        </is>
      </c>
      <c r="D42" s="415" t="inlineStr">
        <is>
          <t>c1.ELC_ADR_VAL</t>
        </is>
      </c>
      <c r="E42" s="415" t="inlineStr">
        <is>
          <t>Interface Customer</t>
        </is>
      </c>
      <c r="F42" s="415" t="inlineStr">
        <is>
          <t>Email Adress</t>
        </is>
      </c>
      <c r="G42" s="415" t="inlineStr">
        <is>
          <t>INF_CST</t>
        </is>
      </c>
      <c r="H42" s="415" t="inlineStr">
        <is>
          <t>EMAIL_ADRESS</t>
        </is>
      </c>
      <c r="I42" s="489" t="inlineStr">
        <is>
          <t>VARCHAR2</t>
        </is>
      </c>
      <c r="J42" s="495" t="n">
        <v>100</v>
      </c>
      <c r="K42" s="415" t="inlineStr">
        <is>
          <t>Địa chỉ email</t>
        </is>
      </c>
      <c r="N42" s="334" t="inlineStr">
        <is>
          <t>EMAIL_ADRESS</t>
        </is>
      </c>
      <c r="O42" s="334">
        <f>"COMMENT ON COLUMN PG_GOLD."&amp;G42&amp;"."&amp;H42&amp;" IS '"&amp;K42&amp;"';"</f>
        <v/>
      </c>
    </row>
    <row r="43" ht="14.25" customHeight="1" s="335">
      <c r="A43" s="486" t="inlineStr">
        <is>
          <t>PG_SILVER</t>
        </is>
      </c>
      <c r="B43" s="486" t="inlineStr">
        <is>
          <t>IDV_PRFL</t>
        </is>
      </c>
      <c r="C43" s="415" t="inlineStr">
        <is>
          <t>VIP_F</t>
        </is>
      </c>
      <c r="D43" s="415" t="inlineStr">
        <is>
          <t>1:1</t>
        </is>
      </c>
      <c r="E43" s="415" t="inlineStr">
        <is>
          <t>Interface Customer</t>
        </is>
      </c>
      <c r="F43" s="415" t="inlineStr">
        <is>
          <t>VIP Flag</t>
        </is>
      </c>
      <c r="G43" s="415" t="inlineStr">
        <is>
          <t>INF_CST</t>
        </is>
      </c>
      <c r="H43" s="415" t="inlineStr">
        <is>
          <t>VIP_F</t>
        </is>
      </c>
      <c r="I43" s="489" t="inlineStr">
        <is>
          <t>VARCHAR2</t>
        </is>
      </c>
      <c r="J43" s="495" t="n">
        <v>20</v>
      </c>
      <c r="K43" s="415" t="inlineStr">
        <is>
          <t>Đánh dấu khách hàng vip</t>
        </is>
      </c>
      <c r="N43" s="334" t="inlineStr">
        <is>
          <t>VIP_F</t>
        </is>
      </c>
      <c r="O43" s="334">
        <f>"COMMENT ON COLUMN PG_GOLD."&amp;G43&amp;"."&amp;H43&amp;" IS '"&amp;K43&amp;"';"</f>
        <v/>
      </c>
    </row>
    <row r="44" ht="14.25" customHeight="1" s="335">
      <c r="A44" s="486" t="inlineStr">
        <is>
          <t>PG_SILVER</t>
        </is>
      </c>
      <c r="B44" s="486" t="inlineStr">
        <is>
          <t>IDV_PRFL</t>
        </is>
      </c>
      <c r="C44" s="415" t="inlineStr">
        <is>
          <t>KYC_CNL_CODE</t>
        </is>
      </c>
      <c r="D44" s="415" t="inlineStr">
        <is>
          <t>1:1</t>
        </is>
      </c>
      <c r="E44" s="415" t="inlineStr">
        <is>
          <t>Interface Customer</t>
        </is>
      </c>
      <c r="F44" s="415" t="inlineStr">
        <is>
          <t>KYC Channel Code</t>
        </is>
      </c>
      <c r="G44" s="415" t="inlineStr">
        <is>
          <t>INF_CST</t>
        </is>
      </c>
      <c r="H44" s="415" t="inlineStr">
        <is>
          <t>KYC_CNL_CODE</t>
        </is>
      </c>
      <c r="I44" s="489" t="inlineStr">
        <is>
          <t>VARCHAR2</t>
        </is>
      </c>
      <c r="J44" s="495" t="n">
        <v>20</v>
      </c>
      <c r="K44" s="498" t="inlineStr">
        <is>
          <t>Kênh thực hiện KYC</t>
        </is>
      </c>
      <c r="N44" s="334" t="inlineStr">
        <is>
          <t>KYC_CNL_CODE</t>
        </is>
      </c>
      <c r="O44" s="334">
        <f>"COMMENT ON COLUMN PG_GOLD."&amp;G44&amp;"."&amp;H44&amp;" IS '"&amp;K44&amp;"';"</f>
        <v/>
      </c>
    </row>
    <row r="45" ht="14.25" customHeight="1" s="335">
      <c r="A45" s="486" t="inlineStr">
        <is>
          <t>PG_SILVER</t>
        </is>
      </c>
      <c r="B45" s="486" t="inlineStr">
        <is>
          <t>IDV_PRFL</t>
        </is>
      </c>
      <c r="C45" s="415" t="inlineStr">
        <is>
          <t>CST_LCS_CODE</t>
        </is>
      </c>
      <c r="D45" s="415" t="inlineStr">
        <is>
          <t>1:1</t>
        </is>
      </c>
      <c r="E45" s="415" t="inlineStr">
        <is>
          <t>Interface Customer</t>
        </is>
      </c>
      <c r="F45" s="415" t="inlineStr">
        <is>
          <t>Customer Life Cycle Status Code</t>
        </is>
      </c>
      <c r="G45" s="415" t="inlineStr">
        <is>
          <t>INF_CST</t>
        </is>
      </c>
      <c r="H45" s="415" t="inlineStr">
        <is>
          <t>CST_LCS_CODE</t>
        </is>
      </c>
      <c r="I45" s="489" t="inlineStr">
        <is>
          <t>VARCHAR2</t>
        </is>
      </c>
      <c r="J45" s="495" t="n">
        <v>20</v>
      </c>
      <c r="K45" s="415" t="inlineStr">
        <is>
          <t>Trạng thái hoạt động</t>
        </is>
      </c>
      <c r="N45" s="334" t="inlineStr">
        <is>
          <t>CST_LCS_CODE</t>
        </is>
      </c>
      <c r="O45" s="334">
        <f>"COMMENT ON COLUMN PG_GOLD."&amp;G45&amp;"."&amp;H45&amp;" IS '"&amp;K45&amp;"';"</f>
        <v/>
      </c>
    </row>
    <row r="46" ht="14.25" customHeight="1" s="335">
      <c r="A46" s="486" t="inlineStr">
        <is>
          <t>PG_SILVER</t>
        </is>
      </c>
      <c r="B46" s="415" t="inlineStr">
        <is>
          <t>IP_PST_ADR</t>
        </is>
      </c>
      <c r="C46" s="415" t="inlineStr">
        <is>
          <t>STR_NM</t>
        </is>
      </c>
      <c r="D46" s="415" t="inlineStr">
        <is>
          <t>d1.STR_NM</t>
        </is>
      </c>
      <c r="E46" s="415" t="inlineStr">
        <is>
          <t>Interface Customer</t>
        </is>
      </c>
      <c r="F46" s="415" t="inlineStr">
        <is>
          <t>Street Name</t>
        </is>
      </c>
      <c r="G46" s="415" t="inlineStr">
        <is>
          <t>INF_CST</t>
        </is>
      </c>
      <c r="H46" s="415" t="inlineStr">
        <is>
          <t>STR_NM</t>
        </is>
      </c>
      <c r="I46" s="489" t="inlineStr">
        <is>
          <t>VARCHAR2</t>
        </is>
      </c>
      <c r="J46" s="495" t="n">
        <v>100</v>
      </c>
      <c r="K46" s="498" t="inlineStr">
        <is>
          <t>Tên đường đầy đủ theo địa chỉ</t>
        </is>
      </c>
      <c r="N46" s="334" t="inlineStr">
        <is>
          <t>STR_NM</t>
        </is>
      </c>
      <c r="O46" s="334">
        <f>"COMMENT ON COLUMN PG_GOLD."&amp;G46&amp;"."&amp;H46&amp;" IS '"&amp;K46&amp;"';"</f>
        <v/>
      </c>
    </row>
    <row r="47" ht="27" customHeight="1" s="335">
      <c r="A47" s="490" t="inlineStr">
        <is>
          <t>PG_SILVER</t>
        </is>
      </c>
      <c r="B47" s="490" t="inlineStr">
        <is>
          <t>CST</t>
        </is>
      </c>
      <c r="C47" s="456" t="inlineStr">
        <is>
          <t>STR_ADDR</t>
        </is>
      </c>
      <c r="D47" s="456" t="inlineStr">
        <is>
          <t>1:1</t>
        </is>
      </c>
      <c r="E47" s="456" t="inlineStr">
        <is>
          <t>Interface Customer</t>
        </is>
      </c>
      <c r="F47" s="456" t="inlineStr">
        <is>
          <t>Street Address Raw</t>
        </is>
      </c>
      <c r="G47" s="456" t="inlineStr">
        <is>
          <t>INF_CST</t>
        </is>
      </c>
      <c r="H47" s="499" t="inlineStr">
        <is>
          <t>STR_ADDR</t>
        </is>
      </c>
      <c r="I47" s="493" t="inlineStr">
        <is>
          <t>VARCHAR2</t>
        </is>
      </c>
      <c r="J47" s="494" t="n">
        <v>100</v>
      </c>
      <c r="K47" s="456" t="inlineStr">
        <is>
          <t>STREET</t>
        </is>
      </c>
      <c r="L47" s="452" t="n"/>
      <c r="M47" s="452" t="n"/>
      <c r="N47" s="334" t="inlineStr">
        <is>
          <t>STR_ADDR</t>
        </is>
      </c>
      <c r="O47" s="334">
        <f>"COMMENT ON COLUMN PG_GOLD."&amp;G47&amp;"."&amp;H47&amp;" IS '"&amp;K47&amp;"';"</f>
        <v/>
      </c>
      <c r="P47" s="414" t="inlineStr">
        <is>
          <t>Map 1:1 từ CST.STR_ADDR (STREET)</t>
        </is>
      </c>
    </row>
    <row r="48" ht="27" customHeight="1" s="335">
      <c r="A48" s="490" t="inlineStr">
        <is>
          <t>PG_SILVER</t>
        </is>
      </c>
      <c r="B48" s="490" t="inlineStr">
        <is>
          <t>CST</t>
        </is>
      </c>
      <c r="C48" s="456" t="inlineStr">
        <is>
          <t>TRGT_CODE</t>
        </is>
      </c>
      <c r="D48" s="456" t="inlineStr">
        <is>
          <t>1:1</t>
        </is>
      </c>
      <c r="E48" s="456" t="inlineStr">
        <is>
          <t>Interface Customer</t>
        </is>
      </c>
      <c r="F48" s="456" t="inlineStr">
        <is>
          <t>Target Segment Code</t>
        </is>
      </c>
      <c r="G48" s="456" t="inlineStr">
        <is>
          <t>INF_CST</t>
        </is>
      </c>
      <c r="H48" s="499" t="inlineStr">
        <is>
          <t>TRGT_CODE</t>
        </is>
      </c>
      <c r="I48" s="493" t="inlineStr">
        <is>
          <t>VARCHAR2</t>
        </is>
      </c>
      <c r="J48" s="494" t="n">
        <v>20</v>
      </c>
      <c r="K48" s="456" t="inlineStr">
        <is>
          <t>TARGET</t>
        </is>
      </c>
      <c r="L48" s="452" t="n"/>
      <c r="M48" s="452" t="n"/>
      <c r="N48" s="334" t="inlineStr">
        <is>
          <t>TRGT_CODE</t>
        </is>
      </c>
      <c r="O48" s="334">
        <f>"COMMENT ON COLUMN PG_GOLD."&amp;G48&amp;"."&amp;H48&amp;" IS '"&amp;K48&amp;"';"</f>
        <v/>
      </c>
      <c r="P48" s="414" t="inlineStr">
        <is>
          <t>Map 1:1 từ CST.TRGT_CODE (TARGET)</t>
        </is>
      </c>
    </row>
    <row r="49" ht="14.25" customHeight="1" s="335">
      <c r="A49" s="486" t="inlineStr">
        <is>
          <t>PG_SILVER</t>
        </is>
      </c>
      <c r="B49" s="415" t="inlineStr">
        <is>
          <t>IP_ALT_IDENTN</t>
        </is>
      </c>
      <c r="C49" s="415" t="inlineStr">
        <is>
          <t>IDENTN_TP_CODE</t>
        </is>
      </c>
      <c r="D49" s="415" t="inlineStr">
        <is>
          <t>1:1</t>
        </is>
      </c>
      <c r="E49" s="415" t="inlineStr">
        <is>
          <t>Interface Customer</t>
        </is>
      </c>
      <c r="F49" s="415" t="inlineStr">
        <is>
          <t>Identification Type Code</t>
        </is>
      </c>
      <c r="G49" s="415" t="inlineStr">
        <is>
          <t>INF_CST</t>
        </is>
      </c>
      <c r="H49" s="415" t="inlineStr">
        <is>
          <t>IDENTN_TP_CODE</t>
        </is>
      </c>
      <c r="I49" s="487" t="inlineStr">
        <is>
          <t>VARCHAR2</t>
        </is>
      </c>
      <c r="J49" s="488" t="n">
        <v>20</v>
      </c>
      <c r="K49" s="498" t="inlineStr">
        <is>
          <t>Loại căn cước</t>
        </is>
      </c>
      <c r="N49" s="334" t="inlineStr">
        <is>
          <t>IDENTN_TP_CODE</t>
        </is>
      </c>
      <c r="O49" s="334">
        <f>"COMMENT ON COLUMN PG_GOLD."&amp;G49&amp;"."&amp;H49&amp;" IS '"&amp;K49&amp;"';"</f>
        <v/>
      </c>
    </row>
    <row r="50" ht="41.25" customHeight="1" s="335">
      <c r="A50" s="490" t="inlineStr">
        <is>
          <t>PG_SILVER</t>
        </is>
      </c>
      <c r="B50" s="490" t="inlineStr">
        <is>
          <t>IDV_PRFL</t>
        </is>
      </c>
      <c r="C50" s="456" t="inlineStr">
        <is>
          <t>CST_CODE</t>
        </is>
      </c>
      <c r="D50" s="456" t="inlineStr">
        <is>
          <t>NULL</t>
        </is>
      </c>
      <c r="E50" s="456" t="inlineStr">
        <is>
          <t>Interface Customer</t>
        </is>
      </c>
      <c r="F50" s="456" t="inlineStr">
        <is>
          <t>General Director Place</t>
        </is>
      </c>
      <c r="G50" s="456" t="inlineStr">
        <is>
          <t>INF_CST</t>
        </is>
      </c>
      <c r="H50" s="499" t="inlineStr">
        <is>
          <t>GEN_DIR_PLC</t>
        </is>
      </c>
      <c r="I50" s="493" t="inlineStr">
        <is>
          <t>VARCHAR2</t>
        </is>
      </c>
      <c r="J50" s="494" t="n">
        <v>100</v>
      </c>
      <c r="K50" s="456" t="inlineStr">
        <is>
          <t>GEN_DIR_PLC</t>
        </is>
      </c>
      <c r="L50" s="452" t="n"/>
      <c r="M50" s="452" t="n"/>
      <c r="N50" s="334" t="inlineStr">
        <is>
          <t>GEN_DIR_PLC</t>
        </is>
      </c>
      <c r="O50" s="334">
        <f>"COMMENT ON COLUMN PG_GOLD."&amp;G50&amp;"."&amp;H50&amp;" IS '"&amp;K50&amp;"';"</f>
        <v/>
      </c>
      <c r="P50" s="414" t="inlineStr">
        <is>
          <t>Đặt tên cột đích `GEN_DIR_PLC`.</t>
        </is>
      </c>
    </row>
    <row r="51" ht="27" customHeight="1" s="335">
      <c r="A51" s="486" t="inlineStr">
        <is>
          <t>PG_SILVER</t>
        </is>
      </c>
      <c r="B51" s="486" t="inlineStr">
        <is>
          <t>CST</t>
        </is>
      </c>
      <c r="C51" s="415" t="inlineStr">
        <is>
          <t>FRST_OU_CODE</t>
        </is>
      </c>
      <c r="D51" s="415" t="inlineStr">
        <is>
          <t>1:1</t>
        </is>
      </c>
      <c r="E51" s="415" t="inlineStr">
        <is>
          <t>Interface Customer</t>
        </is>
      </c>
      <c r="F51" s="415" t="inlineStr">
        <is>
          <t>Open Organization Unit Code</t>
        </is>
      </c>
      <c r="G51" s="415" t="inlineStr">
        <is>
          <t>INF_CST</t>
        </is>
      </c>
      <c r="H51" s="463" t="inlineStr">
        <is>
          <t>OPN_OU_CODE</t>
        </is>
      </c>
      <c r="I51" s="487" t="inlineStr">
        <is>
          <t>VARCHAR2</t>
        </is>
      </c>
      <c r="J51" s="488" t="n">
        <v>20</v>
      </c>
      <c r="K51" s="415" t="inlineStr">
        <is>
          <t>Chi nhánh mở CIF</t>
        </is>
      </c>
      <c r="L51" s="334" t="inlineStr">
        <is>
          <t>x</t>
        </is>
      </c>
      <c r="M51" s="334" t="inlineStr">
        <is>
          <t>x</t>
        </is>
      </c>
      <c r="N51" s="334" t="inlineStr">
        <is>
          <t>OPN_OU_CODE</t>
        </is>
      </c>
      <c r="O51" s="334">
        <f>"COMMENT ON COLUMN PG_GOLD."&amp;G51&amp;"."&amp;H51&amp;" IS '"&amp;K51&amp;"';"</f>
        <v/>
      </c>
      <c r="P51" s="414" t="inlineStr">
        <is>
          <t>Đổi tên cột đích thành `OPN_OU_CODE`.</t>
        </is>
      </c>
    </row>
    <row r="52" ht="27" customHeight="1" s="335">
      <c r="A52" s="486" t="inlineStr">
        <is>
          <t>PG_SILVER</t>
        </is>
      </c>
      <c r="B52" s="486" t="inlineStr">
        <is>
          <t>IDV_PRFL</t>
        </is>
      </c>
      <c r="C52" s="415" t="inlineStr">
        <is>
          <t>OU_CODE</t>
        </is>
      </c>
      <c r="D52" s="415" t="inlineStr">
        <is>
          <t>1:1</t>
        </is>
      </c>
      <c r="E52" s="415" t="inlineStr">
        <is>
          <t>Interface Customer</t>
        </is>
      </c>
      <c r="F52" s="415" t="inlineStr">
        <is>
          <t>Management Organization Unit Code</t>
        </is>
      </c>
      <c r="G52" s="415" t="inlineStr">
        <is>
          <t>INF_CST</t>
        </is>
      </c>
      <c r="H52" s="463" t="inlineStr">
        <is>
          <t>MGT_OU_CODE</t>
        </is>
      </c>
      <c r="I52" s="487" t="inlineStr">
        <is>
          <t>VARCHAR2</t>
        </is>
      </c>
      <c r="J52" s="488" t="n">
        <v>20</v>
      </c>
      <c r="K52" s="415" t="inlineStr">
        <is>
          <t>Chi nhánh quản lý khách hàng</t>
        </is>
      </c>
      <c r="N52" s="334" t="inlineStr">
        <is>
          <t>MGT_OU_CODE</t>
        </is>
      </c>
      <c r="O52" s="334">
        <f>"COMMENT ON COLUMN PG_GOLD."&amp;G52&amp;"."&amp;H52&amp;" IS '"&amp;K52&amp;"';"</f>
        <v/>
      </c>
      <c r="P52" s="414" t="inlineStr">
        <is>
          <t>Đổi tên cột đích thành `MGT_OU_CODE`.</t>
        </is>
      </c>
    </row>
    <row r="53" ht="27" customHeight="1" s="335">
      <c r="A53" s="490" t="inlineStr">
        <is>
          <t>PG_SILVER</t>
        </is>
      </c>
      <c r="B53" s="490" t="inlineStr">
        <is>
          <t>IDV_PRFL</t>
        </is>
      </c>
      <c r="C53" s="456" t="inlineStr">
        <is>
          <t>CST_CODE</t>
        </is>
      </c>
      <c r="D53" s="456" t="inlineStr">
        <is>
          <t>NULL</t>
        </is>
      </c>
      <c r="E53" s="456" t="inlineStr">
        <is>
          <t>Interface Customer</t>
        </is>
      </c>
      <c r="F53" s="456" t="inlineStr">
        <is>
          <t>Director Date Of Birth</t>
        </is>
      </c>
      <c r="G53" s="456" t="inlineStr">
        <is>
          <t>INF_CST</t>
        </is>
      </c>
      <c r="H53" s="499" t="inlineStr">
        <is>
          <t>DIR_DOB</t>
        </is>
      </c>
      <c r="I53" s="456" t="inlineStr">
        <is>
          <t>DATE</t>
        </is>
      </c>
      <c r="J53" s="456" t="n"/>
      <c r="K53" s="456" t="inlineStr">
        <is>
          <t>BDAY_DIRECTOR</t>
        </is>
      </c>
      <c r="L53" s="452" t="n"/>
      <c r="M53" s="452" t="n"/>
      <c r="N53" s="334" t="inlineStr">
        <is>
          <t>DIR_DOB</t>
        </is>
      </c>
      <c r="O53" s="334">
        <f>"COMMENT ON COLUMN PG_GOLD."&amp;G53&amp;"."&amp;H53&amp;" IS '"&amp;K53&amp;"';"</f>
        <v/>
      </c>
      <c r="P53" s="414" t="inlineStr">
        <is>
          <t>Đặt tên cột đích `DIR_DOB` (kiểu DATE).</t>
        </is>
      </c>
    </row>
    <row r="54" ht="54.75" customHeight="1" s="335">
      <c r="A54" s="486" t="inlineStr">
        <is>
          <t>PG_SILVER</t>
        </is>
      </c>
      <c r="B54" s="415" t="inlineStr">
        <is>
          <t>IP_ALT_IDENTN</t>
        </is>
      </c>
      <c r="C54" s="415" t="inlineStr">
        <is>
          <t>IDENTN_NBR</t>
        </is>
      </c>
      <c r="D54" s="415" t="inlineStr">
        <is>
          <t>1:1</t>
        </is>
      </c>
      <c r="E54" s="415" t="inlineStr">
        <is>
          <t>Interface Customer</t>
        </is>
      </c>
      <c r="F54" s="415" t="inlineStr">
        <is>
          <t>National Identification Number</t>
        </is>
      </c>
      <c r="G54" s="415" t="inlineStr">
        <is>
          <t>INF_CST</t>
        </is>
      </c>
      <c r="H54" s="463" t="inlineStr">
        <is>
          <t>NAT_ID_NBR</t>
        </is>
      </c>
      <c r="I54" s="489" t="inlineStr">
        <is>
          <t>VARCHAR2</t>
        </is>
      </c>
      <c r="J54" s="495" t="n">
        <v>100</v>
      </c>
      <c r="K54" s="415" t="inlineStr">
        <is>
          <t>Mã quốc gia</t>
        </is>
      </c>
      <c r="N54" s="415" t="inlineStr">
        <is>
          <t>NAT_ID_NBR</t>
        </is>
      </c>
      <c r="O54" s="334">
        <f>"COMMENT ON COLUMN PG_GOLD."&amp;G54&amp;"."&amp;H54&amp;" IS '"&amp;K54&amp;"';"</f>
        <v/>
      </c>
      <c r="P54" s="414" t="inlineStr">
        <is>
          <t>Đổi tên cột đích thành `NAT_ID_NBR` (VARCHAR2(100)).</t>
        </is>
      </c>
    </row>
    <row r="55" ht="27" customHeight="1" s="335">
      <c r="A55" s="486" t="inlineStr">
        <is>
          <t>PG_SILVER</t>
        </is>
      </c>
      <c r="B55" s="486" t="inlineStr">
        <is>
          <t>CST</t>
        </is>
      </c>
      <c r="C55" s="415" t="inlineStr">
        <is>
          <t>CHKER_OFCR_CODE</t>
        </is>
      </c>
      <c r="D55" s="415" t="inlineStr">
        <is>
          <t>1:1</t>
        </is>
      </c>
      <c r="E55" s="415" t="inlineStr">
        <is>
          <t>Interface Customer</t>
        </is>
      </c>
      <c r="F55" s="415" t="inlineStr">
        <is>
          <t>Second Officer Code</t>
        </is>
      </c>
      <c r="G55" s="415" t="inlineStr">
        <is>
          <t>INF_CST</t>
        </is>
      </c>
      <c r="H55" s="463" t="inlineStr">
        <is>
          <t>SCD_OFCR_CODE</t>
        </is>
      </c>
      <c r="I55" s="489" t="inlineStr">
        <is>
          <t>VARCHAR2</t>
        </is>
      </c>
      <c r="J55" s="495" t="n">
        <v>20</v>
      </c>
      <c r="K55" s="438" t="inlineStr">
        <is>
          <t>Mã nhân viên hạch toán thứ 2</t>
        </is>
      </c>
      <c r="N55" s="415" t="inlineStr">
        <is>
          <t>SCD_OFCR_CODE</t>
        </is>
      </c>
      <c r="O55" s="334">
        <f>"COMMENT ON COLUMN PG_GOLD."&amp;G55&amp;"."&amp;H55&amp;" IS '"&amp;K55&amp;"';"</f>
        <v/>
      </c>
      <c r="P55" s="414" t="inlineStr">
        <is>
          <t>Đổi tên cột đích thành `SCD_OFCR_CODE`.</t>
        </is>
      </c>
    </row>
    <row r="56" ht="14.25" customHeight="1" s="335">
      <c r="A56" s="486" t="inlineStr">
        <is>
          <t>PG_SILVER</t>
        </is>
      </c>
      <c r="B56" s="415" t="inlineStr">
        <is>
          <t>IP_ALT_IDENTN</t>
        </is>
      </c>
      <c r="C56" s="415" t="inlineStr">
        <is>
          <t>ISSU_PLC_CODE</t>
        </is>
      </c>
      <c r="D56" s="415" t="inlineStr">
        <is>
          <t>1:1</t>
        </is>
      </c>
      <c r="E56" s="415" t="inlineStr">
        <is>
          <t>Interface Customer</t>
        </is>
      </c>
      <c r="F56" s="415" t="inlineStr">
        <is>
          <t>Issue Place Code</t>
        </is>
      </c>
      <c r="G56" s="415" t="inlineStr">
        <is>
          <t>INF_CST</t>
        </is>
      </c>
      <c r="H56" s="415" t="inlineStr">
        <is>
          <t>ISSU_PLC_CODE</t>
        </is>
      </c>
      <c r="I56" s="489" t="inlineStr">
        <is>
          <t>VARCHAR2</t>
        </is>
      </c>
      <c r="J56" s="495" t="n">
        <v>20</v>
      </c>
      <c r="K56" s="438" t="inlineStr">
        <is>
          <t>Nơi cấp Căn cước</t>
        </is>
      </c>
      <c r="N56" s="415" t="inlineStr">
        <is>
          <t>ISSU_PLC_CODE</t>
        </is>
      </c>
      <c r="O56" s="334">
        <f>"COMMENT ON COLUMN PG_GOLD."&amp;G56&amp;"."&amp;H56&amp;" IS '"&amp;K56&amp;"';"</f>
        <v/>
      </c>
    </row>
    <row r="57" ht="27" customHeight="1" s="335">
      <c r="A57" s="490" t="inlineStr">
        <is>
          <t>PG_SILVER</t>
        </is>
      </c>
      <c r="B57" s="490" t="inlineStr">
        <is>
          <t>IDV_PRFL</t>
        </is>
      </c>
      <c r="C57" s="456" t="inlineStr">
        <is>
          <t>CST_CODE</t>
        </is>
      </c>
      <c r="D57" s="456" t="inlineStr">
        <is>
          <t>NULL</t>
        </is>
      </c>
      <c r="E57" s="456" t="inlineStr">
        <is>
          <t>Interface Customer</t>
        </is>
      </c>
      <c r="F57" s="456" t="inlineStr">
        <is>
          <t>Contact Person</t>
        </is>
      </c>
      <c r="G57" s="456" t="inlineStr">
        <is>
          <t>INF_CST</t>
        </is>
      </c>
      <c r="H57" s="499" t="inlineStr">
        <is>
          <t>CNTCT_PRSN</t>
        </is>
      </c>
      <c r="I57" s="493" t="inlineStr">
        <is>
          <t>VARCHAR2</t>
        </is>
      </c>
      <c r="J57" s="494" t="n">
        <v>40</v>
      </c>
      <c r="K57" s="456" t="inlineStr">
        <is>
          <t>CONTACT_PERSON</t>
        </is>
      </c>
      <c r="L57" s="452" t="n"/>
      <c r="M57" s="452" t="n"/>
      <c r="N57" s="456" t="inlineStr">
        <is>
          <t>CNTCT_PRSN</t>
        </is>
      </c>
      <c r="O57" s="334">
        <f>"COMMENT ON COLUMN PG_GOLD."&amp;G57&amp;"."&amp;H57&amp;" IS '"&amp;K57&amp;"';"</f>
        <v/>
      </c>
      <c r="P57" s="414" t="inlineStr">
        <is>
          <t>Đặt tên cột đích `CNTCT_PRSN`.</t>
        </is>
      </c>
    </row>
    <row r="58" ht="14.25" customHeight="1" s="335">
      <c r="A58" s="486" t="inlineStr">
        <is>
          <t>PG_SILVER</t>
        </is>
      </c>
      <c r="B58" s="486" t="inlineStr">
        <is>
          <t>IDV_PRFL</t>
        </is>
      </c>
      <c r="C58" s="415" t="inlineStr">
        <is>
          <t>MBL_BNKG_F</t>
        </is>
      </c>
      <c r="D58" s="415" t="inlineStr">
        <is>
          <t>1:1</t>
        </is>
      </c>
      <c r="E58" s="415" t="inlineStr">
        <is>
          <t>Interface Customer</t>
        </is>
      </c>
      <c r="F58" s="415" t="inlineStr">
        <is>
          <t>Mobile Banking Flag</t>
        </is>
      </c>
      <c r="G58" s="415" t="inlineStr">
        <is>
          <t>INF_CST</t>
        </is>
      </c>
      <c r="H58" s="415" t="inlineStr">
        <is>
          <t>MBL_BNKG_F</t>
        </is>
      </c>
      <c r="I58" s="489" t="inlineStr">
        <is>
          <t>VARCHAR2</t>
        </is>
      </c>
      <c r="J58" s="495" t="n">
        <v>20</v>
      </c>
      <c r="K58" s="415" t="inlineStr">
        <is>
          <t>Đánh dấu sử dụng dịch vụ mobile banking</t>
        </is>
      </c>
      <c r="N58" s="415" t="inlineStr">
        <is>
          <t>MBL_BNKG_F</t>
        </is>
      </c>
      <c r="O58" s="334">
        <f>"COMMENT ON COLUMN PG_GOLD."&amp;G58&amp;"."&amp;H58&amp;" IS '"&amp;K58&amp;"';"</f>
        <v/>
      </c>
    </row>
    <row r="59" ht="14.25" customHeight="1" s="335">
      <c r="A59" s="486" t="inlineStr">
        <is>
          <t>PG_SILVER</t>
        </is>
      </c>
      <c r="B59" s="486" t="inlineStr">
        <is>
          <t>IDV_PRFL</t>
        </is>
      </c>
      <c r="C59" s="415" t="inlineStr">
        <is>
          <t>INN_BNKG_F</t>
        </is>
      </c>
      <c r="D59" s="415" t="inlineStr">
        <is>
          <t>1:1</t>
        </is>
      </c>
      <c r="E59" s="415" t="inlineStr">
        <is>
          <t>Interface Customer</t>
        </is>
      </c>
      <c r="F59" s="415" t="inlineStr">
        <is>
          <t>Internet Banking Flag</t>
        </is>
      </c>
      <c r="G59" s="415" t="inlineStr">
        <is>
          <t>INF_CST</t>
        </is>
      </c>
      <c r="H59" s="415" t="inlineStr">
        <is>
          <t>INN_BNKG_F</t>
        </is>
      </c>
      <c r="I59" s="489" t="inlineStr">
        <is>
          <t>VARCHAR2</t>
        </is>
      </c>
      <c r="J59" s="495" t="n">
        <v>20</v>
      </c>
      <c r="K59" s="415" t="inlineStr">
        <is>
          <t>Đánh dấu sử dụng dịch vụ internet banking</t>
        </is>
      </c>
      <c r="N59" s="415" t="inlineStr">
        <is>
          <t>INN_BNKG_F</t>
        </is>
      </c>
      <c r="O59" s="334">
        <f>"COMMENT ON COLUMN PG_GOLD."&amp;G59&amp;"."&amp;H59&amp;" IS '"&amp;K59&amp;"';"</f>
        <v/>
      </c>
    </row>
    <row r="60" ht="14.25" customHeight="1" s="335">
      <c r="A60" s="486" t="inlineStr">
        <is>
          <t>PG_SILVER</t>
        </is>
      </c>
      <c r="B60" s="486" t="inlineStr">
        <is>
          <t>IDV_PRFL</t>
        </is>
      </c>
      <c r="C60" s="415" t="inlineStr">
        <is>
          <t>AML_RSLT</t>
        </is>
      </c>
      <c r="D60" s="415" t="inlineStr">
        <is>
          <t>1:1</t>
        </is>
      </c>
      <c r="E60" s="415" t="inlineStr">
        <is>
          <t>Interface Customer</t>
        </is>
      </c>
      <c r="F60" s="415" t="inlineStr">
        <is>
          <t>AML Result</t>
        </is>
      </c>
      <c r="G60" s="415" t="inlineStr">
        <is>
          <t>INF_CST</t>
        </is>
      </c>
      <c r="H60" s="415" t="inlineStr">
        <is>
          <t>AML_RSLT</t>
        </is>
      </c>
      <c r="I60" s="489" t="inlineStr">
        <is>
          <t>VARCHAR2</t>
        </is>
      </c>
      <c r="J60" s="495" t="n">
        <v>100</v>
      </c>
      <c r="K60" s="498" t="inlineStr">
        <is>
          <t>Liên quan tới hệ thống Phòng Chống rửa tiền</t>
        </is>
      </c>
      <c r="N60" s="415" t="inlineStr">
        <is>
          <t>AML_RSLT</t>
        </is>
      </c>
      <c r="O60" s="334">
        <f>"COMMENT ON COLUMN PG_GOLD."&amp;G60&amp;"."&amp;H60&amp;" IS '"&amp;K60&amp;"';"</f>
        <v/>
      </c>
    </row>
    <row r="61" ht="14.25" customHeight="1" s="335">
      <c r="A61" s="486" t="inlineStr">
        <is>
          <t>PG_SILVER</t>
        </is>
      </c>
      <c r="B61" s="486" t="inlineStr">
        <is>
          <t>IDV_PRFL</t>
        </is>
      </c>
      <c r="C61" s="415" t="inlineStr">
        <is>
          <t>AML_CHK_F</t>
        </is>
      </c>
      <c r="D61" s="415" t="inlineStr">
        <is>
          <t>1:1</t>
        </is>
      </c>
      <c r="E61" s="415" t="inlineStr">
        <is>
          <t>Interface Customer</t>
        </is>
      </c>
      <c r="F61" s="415" t="inlineStr">
        <is>
          <t>AML Check Flag</t>
        </is>
      </c>
      <c r="G61" s="415" t="inlineStr">
        <is>
          <t>INF_CST</t>
        </is>
      </c>
      <c r="H61" s="415" t="inlineStr">
        <is>
          <t>AML_CHK_F</t>
        </is>
      </c>
      <c r="I61" s="489" t="inlineStr">
        <is>
          <t>VARCHAR2</t>
        </is>
      </c>
      <c r="J61" s="495" t="n">
        <v>20</v>
      </c>
      <c r="K61" s="498" t="inlineStr">
        <is>
          <t>Đánh dấu liên quan tới hệ thống Phòng Chống rửa tiền</t>
        </is>
      </c>
      <c r="N61" s="415" t="inlineStr">
        <is>
          <t>AML_CHK_F</t>
        </is>
      </c>
      <c r="O61" s="334">
        <f>"COMMENT ON COLUMN PG_GOLD."&amp;G61&amp;"."&amp;H61&amp;" IS '"&amp;K61&amp;"';"</f>
        <v/>
      </c>
    </row>
    <row r="62" ht="14.25" customHeight="1" s="335">
      <c r="A62" s="486" t="inlineStr">
        <is>
          <t>PG_SILVER</t>
        </is>
      </c>
      <c r="B62" s="433" t="inlineStr">
        <is>
          <t>IDV_EMP_ST</t>
        </is>
      </c>
      <c r="C62" s="415" t="inlineStr">
        <is>
          <t>IDV_EMP_ST_CODE</t>
        </is>
      </c>
      <c r="D62" s="415" t="inlineStr">
        <is>
          <t>1:1</t>
        </is>
      </c>
      <c r="E62" s="415" t="inlineStr">
        <is>
          <t>Interface Customer</t>
        </is>
      </c>
      <c r="F62" s="415" t="inlineStr">
        <is>
          <t>Individual Employment Status Code</t>
        </is>
      </c>
      <c r="G62" s="415" t="inlineStr">
        <is>
          <t>INF_CST</t>
        </is>
      </c>
      <c r="H62" s="415" t="inlineStr">
        <is>
          <t>IDV_EMP_ST_CODE</t>
        </is>
      </c>
      <c r="I62" s="487" t="inlineStr">
        <is>
          <t>VARCHAR2</t>
        </is>
      </c>
      <c r="J62" s="488" t="n">
        <v>20</v>
      </c>
      <c r="K62" s="415" t="inlineStr">
        <is>
          <t>Tình trạng làm việc</t>
        </is>
      </c>
      <c r="N62" s="415" t="inlineStr">
        <is>
          <t>IDV_EMP_ST_CODE</t>
        </is>
      </c>
      <c r="O62" s="334">
        <f>"COMMENT ON COLUMN PG_GOLD."&amp;G62&amp;"."&amp;H62&amp;" IS '"&amp;K62&amp;"';"</f>
        <v/>
      </c>
    </row>
    <row r="63" ht="14.25" customHeight="1" s="335">
      <c r="A63" s="486" t="inlineStr">
        <is>
          <t>PG_SILVER</t>
        </is>
      </c>
      <c r="B63" s="486" t="inlineStr">
        <is>
          <t>IDV_PRFL</t>
        </is>
      </c>
      <c r="C63" s="415" t="inlineStr">
        <is>
          <t>JNT_LBY_F</t>
        </is>
      </c>
      <c r="D63" s="415" t="inlineStr">
        <is>
          <t>1:1</t>
        </is>
      </c>
      <c r="E63" s="415" t="inlineStr">
        <is>
          <t>Interface Customer</t>
        </is>
      </c>
      <c r="F63" s="415" t="inlineStr">
        <is>
          <t>Joint liability Flag</t>
        </is>
      </c>
      <c r="G63" s="415" t="inlineStr">
        <is>
          <t>INF_CST</t>
        </is>
      </c>
      <c r="H63" s="415" t="inlineStr">
        <is>
          <t>JNT_LBY_F</t>
        </is>
      </c>
      <c r="I63" s="489" t="inlineStr">
        <is>
          <t>VARCHAR2</t>
        </is>
      </c>
      <c r="J63" s="495" t="n">
        <v>20</v>
      </c>
      <c r="K63" s="415" t="inlineStr">
        <is>
          <t>Đánh dấu nợ liên đới</t>
        </is>
      </c>
      <c r="N63" s="415" t="inlineStr">
        <is>
          <t>JNT_LBY_F</t>
        </is>
      </c>
      <c r="O63" s="334">
        <f>"COMMENT ON COLUMN PG_GOLD."&amp;G63&amp;"."&amp;H63&amp;" IS '"&amp;K63&amp;"';"</f>
        <v/>
      </c>
    </row>
    <row r="64" ht="27" customHeight="1" s="335">
      <c r="A64" s="490" t="inlineStr">
        <is>
          <t>PG_SILVER</t>
        </is>
      </c>
      <c r="B64" s="490" t="inlineStr">
        <is>
          <t>IDV_PRFL</t>
        </is>
      </c>
      <c r="C64" s="456" t="inlineStr">
        <is>
          <t>MB_CR_ST</t>
        </is>
      </c>
      <c r="D64" s="456" t="inlineStr">
        <is>
          <t>1:1</t>
        </is>
      </c>
      <c r="E64" s="456" t="inlineStr">
        <is>
          <t>Interface Customer</t>
        </is>
      </c>
      <c r="F64" s="456" t="inlineStr">
        <is>
          <t>MB Credit Status</t>
        </is>
      </c>
      <c r="G64" s="456" t="inlineStr">
        <is>
          <t>INF_CST</t>
        </is>
      </c>
      <c r="H64" s="499" t="inlineStr">
        <is>
          <t>MB_CR_ST</t>
        </is>
      </c>
      <c r="I64" s="493" t="inlineStr">
        <is>
          <t>VARCHAR2</t>
        </is>
      </c>
      <c r="J64" s="494" t="n">
        <v>20</v>
      </c>
      <c r="K64" s="456" t="inlineStr">
        <is>
          <t>MB_CR_STT</t>
        </is>
      </c>
      <c r="L64" s="452" t="n"/>
      <c r="M64" s="452" t="n"/>
      <c r="N64" s="456" t="inlineStr">
        <is>
          <t>MB_CR_ST</t>
        </is>
      </c>
      <c r="O64" s="334">
        <f>"COMMENT ON COLUMN PG_GOLD."&amp;G64&amp;"."&amp;H64&amp;" IS '"&amp;K64&amp;"';"</f>
        <v/>
      </c>
      <c r="P64" s="414" t="inlineStr">
        <is>
          <t>Map 1:1 từ IDV_PRFL.MB_CR_ST (MB_CR_STT)</t>
        </is>
      </c>
    </row>
    <row r="65" ht="14.25" customHeight="1" s="335">
      <c r="A65" s="486" t="inlineStr">
        <is>
          <t>PG_SILVER</t>
        </is>
      </c>
      <c r="B65" s="486" t="inlineStr">
        <is>
          <t>IDV_PRFL</t>
        </is>
      </c>
      <c r="C65" s="415" t="inlineStr">
        <is>
          <t>CST_FNC_ST_CODE</t>
        </is>
      </c>
      <c r="D65" s="415" t="inlineStr">
        <is>
          <t>1:1</t>
        </is>
      </c>
      <c r="E65" s="415" t="inlineStr">
        <is>
          <t>Interface Customer</t>
        </is>
      </c>
      <c r="F65" s="415" t="inlineStr">
        <is>
          <t>Customer Financial Status Code</t>
        </is>
      </c>
      <c r="G65" s="415" t="inlineStr">
        <is>
          <t>INF_CST</t>
        </is>
      </c>
      <c r="H65" s="415" t="inlineStr">
        <is>
          <t>CST_FNC_ST_CODE</t>
        </is>
      </c>
      <c r="I65" s="489" t="inlineStr">
        <is>
          <t>VARCHAR2</t>
        </is>
      </c>
      <c r="J65" s="495" t="n">
        <v>20</v>
      </c>
      <c r="K65" s="498" t="inlineStr">
        <is>
          <t>Nhóm nợ khách hàng Core tính</t>
        </is>
      </c>
      <c r="N65" s="415" t="inlineStr">
        <is>
          <t>CST_FNC_ST_CODE</t>
        </is>
      </c>
      <c r="O65" s="334">
        <f>"COMMENT ON COLUMN PG_GOLD."&amp;G65&amp;"."&amp;H65&amp;" IS '"&amp;K65&amp;"';"</f>
        <v/>
      </c>
    </row>
    <row r="66" ht="14.25" customHeight="1" s="335">
      <c r="A66" s="486" t="inlineStr">
        <is>
          <t>PG_SILVER</t>
        </is>
      </c>
      <c r="B66" s="433" t="inlineStr">
        <is>
          <t>IDV_EMP_ST</t>
        </is>
      </c>
      <c r="C66" s="489" t="inlineStr">
        <is>
          <t>ANUL_INCM</t>
        </is>
      </c>
      <c r="D66" s="415" t="inlineStr">
        <is>
          <t>1:1</t>
        </is>
      </c>
      <c r="E66" s="415" t="inlineStr">
        <is>
          <t>Interface Customer</t>
        </is>
      </c>
      <c r="F66" s="497" t="inlineStr">
        <is>
          <t>Annual Income</t>
        </is>
      </c>
      <c r="G66" s="415" t="inlineStr">
        <is>
          <t>INF_CST</t>
        </is>
      </c>
      <c r="H66" s="489" t="inlineStr">
        <is>
          <t>ANUL_INCM</t>
        </is>
      </c>
      <c r="I66" s="489" t="inlineStr">
        <is>
          <t>NUMBER</t>
        </is>
      </c>
      <c r="J66" s="495" t="n">
        <v>25.5</v>
      </c>
      <c r="K66" s="498" t="inlineStr">
        <is>
          <t>Thu nhập theo tháng</t>
        </is>
      </c>
      <c r="N66" s="489" t="inlineStr">
        <is>
          <t>ANUL_INCM</t>
        </is>
      </c>
      <c r="O66" s="334">
        <f>"COMMENT ON COLUMN PG_GOLD."&amp;G66&amp;"."&amp;H66&amp;" IS '"&amp;K66&amp;"';"</f>
        <v/>
      </c>
    </row>
    <row r="67" ht="27" customHeight="1" s="335">
      <c r="A67" s="490" t="inlineStr">
        <is>
          <t>PG_SILVER</t>
        </is>
      </c>
      <c r="B67" s="490" t="inlineStr">
        <is>
          <t>CST</t>
        </is>
      </c>
      <c r="C67" s="456" t="inlineStr">
        <is>
          <t>SRC_DT_TM</t>
        </is>
      </c>
      <c r="D67" s="456" t="inlineStr">
        <is>
          <t>1:1</t>
        </is>
      </c>
      <c r="E67" s="456" t="inlineStr">
        <is>
          <t>Interface Customer</t>
        </is>
      </c>
      <c r="F67" s="456" t="inlineStr">
        <is>
          <t>Source Date Time</t>
        </is>
      </c>
      <c r="G67" s="456" t="inlineStr">
        <is>
          <t>INF_CST</t>
        </is>
      </c>
      <c r="H67" s="499" t="inlineStr">
        <is>
          <t>SRC_DT_TM</t>
        </is>
      </c>
      <c r="I67" s="456" t="inlineStr">
        <is>
          <t>DATE</t>
        </is>
      </c>
      <c r="J67" s="456" t="n"/>
      <c r="K67" s="456" t="inlineStr">
        <is>
          <t>DATE_TIME</t>
        </is>
      </c>
      <c r="L67" s="452" t="n"/>
      <c r="M67" s="452" t="n"/>
      <c r="N67" s="456" t="inlineStr">
        <is>
          <t>SRC_DT_TM</t>
        </is>
      </c>
      <c r="O67" s="334">
        <f>"COMMENT ON COLUMN PG_GOLD."&amp;G67&amp;"."&amp;H67&amp;" IS '"&amp;K67&amp;"';"</f>
        <v/>
      </c>
      <c r="P67" s="414" t="inlineStr">
        <is>
          <t>Map 1:1 từ CST.SRC_DT_TM (DATE_TIME)</t>
        </is>
      </c>
    </row>
    <row r="68" ht="14.25" customHeight="1" s="335">
      <c r="A68" s="486" t="inlineStr">
        <is>
          <t>PG_SILVER</t>
        </is>
      </c>
      <c r="B68" s="415" t="inlineStr">
        <is>
          <t>IP_PST_ADR</t>
        </is>
      </c>
      <c r="C68" s="415" t="inlineStr">
        <is>
          <t>PROV_NM</t>
        </is>
      </c>
      <c r="D68" s="415" t="inlineStr">
        <is>
          <t>d1.PROV_NM</t>
        </is>
      </c>
      <c r="E68" s="415" t="inlineStr">
        <is>
          <t>Interface Customer</t>
        </is>
      </c>
      <c r="F68" s="415" t="inlineStr">
        <is>
          <t>Province Name</t>
        </is>
      </c>
      <c r="G68" s="415" t="inlineStr">
        <is>
          <t>INF_CST</t>
        </is>
      </c>
      <c r="H68" s="415" t="inlineStr">
        <is>
          <t>PROV_NM</t>
        </is>
      </c>
      <c r="I68" s="489" t="inlineStr">
        <is>
          <t>VARCHAR2</t>
        </is>
      </c>
      <c r="J68" s="495" t="n">
        <v>100</v>
      </c>
      <c r="K68" s="498" t="inlineStr">
        <is>
          <t>Tỉnh/thành phố nơi cư trú</t>
        </is>
      </c>
      <c r="N68" s="415" t="inlineStr">
        <is>
          <t>PROV_NM</t>
        </is>
      </c>
      <c r="O68" s="334">
        <f>"COMMENT ON COLUMN PG_GOLD."&amp;G68&amp;"."&amp;H68&amp;" IS '"&amp;K68&amp;"';"</f>
        <v/>
      </c>
    </row>
    <row r="69" ht="14.25" customHeight="1" s="335">
      <c r="A69" s="486" t="inlineStr">
        <is>
          <t>PG_SILVER</t>
        </is>
      </c>
      <c r="B69" s="486" t="inlineStr">
        <is>
          <t>IDV_PRFL</t>
        </is>
      </c>
      <c r="C69" s="415" t="inlineStr">
        <is>
          <t>IDY_LV1_CL_CODE</t>
        </is>
      </c>
      <c r="D69" s="415" t="inlineStr">
        <is>
          <t>1:1</t>
        </is>
      </c>
      <c r="E69" s="415" t="inlineStr">
        <is>
          <t>Interface Customer</t>
        </is>
      </c>
      <c r="F69" s="415" t="inlineStr">
        <is>
          <t>Industry LV1 Classification Code</t>
        </is>
      </c>
      <c r="G69" s="415" t="inlineStr">
        <is>
          <t>INF_CST</t>
        </is>
      </c>
      <c r="H69" s="415" t="inlineStr">
        <is>
          <t>IDY_LV1_CL_CODE</t>
        </is>
      </c>
      <c r="I69" s="489" t="inlineStr">
        <is>
          <t>VARCHAR2</t>
        </is>
      </c>
      <c r="J69" s="495" t="n">
        <v>20</v>
      </c>
      <c r="K69" s="498" t="inlineStr">
        <is>
          <t>Mã ngành nghê kinh tế cha</t>
        </is>
      </c>
      <c r="N69" s="415" t="inlineStr">
        <is>
          <t>IDY_LV1_CL_CODE</t>
        </is>
      </c>
      <c r="O69" s="334">
        <f>"COMMENT ON COLUMN PG_GOLD."&amp;G69&amp;"."&amp;H69&amp;" IS '"&amp;K69&amp;"';"</f>
        <v/>
      </c>
    </row>
    <row r="70" ht="14.25" customHeight="1" s="335">
      <c r="A70" s="486" t="inlineStr">
        <is>
          <t>PG_SILVER</t>
        </is>
      </c>
      <c r="B70" s="486" t="inlineStr">
        <is>
          <t>CST</t>
        </is>
      </c>
      <c r="C70" s="415" t="inlineStr">
        <is>
          <t>REFR_CODE</t>
        </is>
      </c>
      <c r="D70" s="415" t="inlineStr">
        <is>
          <t>1:1</t>
        </is>
      </c>
      <c r="E70" s="415" t="inlineStr">
        <is>
          <t>Interface Customer</t>
        </is>
      </c>
      <c r="F70" s="415" t="inlineStr">
        <is>
          <t>Reference Code</t>
        </is>
      </c>
      <c r="G70" s="415" t="inlineStr">
        <is>
          <t>INF_CST</t>
        </is>
      </c>
      <c r="H70" s="415" t="inlineStr">
        <is>
          <t>REFR_CODE</t>
        </is>
      </c>
      <c r="I70" s="489" t="inlineStr">
        <is>
          <t>VARCHAR2</t>
        </is>
      </c>
      <c r="J70" s="495" t="n">
        <v>40</v>
      </c>
      <c r="K70" s="438" t="inlineStr">
        <is>
          <t>Mã người tham chiếu/giới thiệu</t>
        </is>
      </c>
      <c r="N70" s="415" t="inlineStr">
        <is>
          <t>REFR_CODE</t>
        </is>
      </c>
      <c r="O70" s="334">
        <f>"COMMENT ON COLUMN PG_GOLD."&amp;G70&amp;"."&amp;H70&amp;" IS '"&amp;K70&amp;"';"</f>
        <v/>
      </c>
    </row>
    <row r="71" ht="27" customHeight="1" s="335">
      <c r="A71" s="490" t="inlineStr">
        <is>
          <t>PG_SILVER</t>
        </is>
      </c>
      <c r="B71" s="490" t="inlineStr">
        <is>
          <t>IDV_PRFL</t>
        </is>
      </c>
      <c r="C71" s="456" t="inlineStr">
        <is>
          <t>CST_CODE</t>
        </is>
      </c>
      <c r="D71" s="456" t="inlineStr">
        <is>
          <t>NULL</t>
        </is>
      </c>
      <c r="E71" s="456" t="inlineStr">
        <is>
          <t>Interface Customer</t>
        </is>
      </c>
      <c r="F71" s="456" t="inlineStr">
        <is>
          <t>Contact Person Phone</t>
        </is>
      </c>
      <c r="G71" s="456" t="inlineStr">
        <is>
          <t>INF_CST</t>
        </is>
      </c>
      <c r="H71" s="499" t="inlineStr">
        <is>
          <t>CNTCT_PRSN_PHN</t>
        </is>
      </c>
      <c r="I71" s="493" t="inlineStr">
        <is>
          <t>VARCHAR2</t>
        </is>
      </c>
      <c r="J71" s="494" t="n">
        <v>100</v>
      </c>
      <c r="K71" s="456" t="inlineStr">
        <is>
          <t>PHONE_CONT_PER</t>
        </is>
      </c>
      <c r="L71" s="452" t="n"/>
      <c r="M71" s="452" t="n"/>
      <c r="N71" s="456" t="inlineStr">
        <is>
          <t>CNTCT_PRSN_PHN</t>
        </is>
      </c>
      <c r="O71" s="334">
        <f>"COMMENT ON COLUMN PG_GOLD."&amp;G71&amp;"."&amp;H71&amp;" IS '"&amp;K71&amp;"';"</f>
        <v/>
      </c>
      <c r="P71" s="414" t="inlineStr">
        <is>
          <t>Đặt tên cột đích `CNTCT_PRSN_PHN`.</t>
        </is>
      </c>
    </row>
    <row r="72" ht="27" customHeight="1" s="335">
      <c r="A72" s="490" t="inlineStr">
        <is>
          <t>PG_SILVER</t>
        </is>
      </c>
      <c r="B72" s="490" t="inlineStr">
        <is>
          <t>CST</t>
        </is>
      </c>
      <c r="C72" s="456" t="inlineStr">
        <is>
          <t>CTR_TMPL_CODE</t>
        </is>
      </c>
      <c r="D72" s="456" t="inlineStr">
        <is>
          <t>1:1</t>
        </is>
      </c>
      <c r="E72" s="456" t="inlineStr">
        <is>
          <t>Interface Customer</t>
        </is>
      </c>
      <c r="F72" s="456" t="inlineStr">
        <is>
          <t>Contract Template Code</t>
        </is>
      </c>
      <c r="G72" s="456" t="inlineStr">
        <is>
          <t>INF_CST</t>
        </is>
      </c>
      <c r="H72" s="499" t="inlineStr">
        <is>
          <t>CTR_TMPL_CODE</t>
        </is>
      </c>
      <c r="I72" s="493" t="inlineStr">
        <is>
          <t>VARCHAR2</t>
        </is>
      </c>
      <c r="J72" s="494" t="n">
        <v>100</v>
      </c>
      <c r="K72" s="456" t="inlineStr">
        <is>
          <t>MAU_HD</t>
        </is>
      </c>
      <c r="L72" s="452" t="n"/>
      <c r="M72" s="452" t="n"/>
      <c r="N72" s="456" t="inlineStr">
        <is>
          <t>CTR_TMPL_CODE</t>
        </is>
      </c>
      <c r="O72" s="334">
        <f>"COMMENT ON COLUMN PG_GOLD."&amp;G72&amp;"."&amp;H72&amp;" IS '"&amp;K72&amp;"';"</f>
        <v/>
      </c>
      <c r="P72" s="414" t="inlineStr">
        <is>
          <t>Map 1:1 từ CST.CTR_TMPL_CODE (MAU_HD)</t>
        </is>
      </c>
    </row>
    <row r="73" ht="14.25" customHeight="1" s="335">
      <c r="A73" s="486" t="inlineStr">
        <is>
          <t>PG_SILVER</t>
        </is>
      </c>
      <c r="B73" s="415" t="inlineStr">
        <is>
          <t>IP_PST_ADR</t>
        </is>
      </c>
      <c r="C73" s="415" t="inlineStr">
        <is>
          <t>PROV_NM</t>
        </is>
      </c>
      <c r="D73" s="415" t="inlineStr">
        <is>
          <t>d2.PROV_NM</t>
        </is>
      </c>
      <c r="E73" s="415" t="inlineStr">
        <is>
          <t>Interface Customer</t>
        </is>
      </c>
      <c r="F73" s="334" t="inlineStr">
        <is>
          <t>City Name</t>
        </is>
      </c>
      <c r="G73" s="415" t="inlineStr">
        <is>
          <t>INF_CST</t>
        </is>
      </c>
      <c r="H73" s="415" t="inlineStr">
        <is>
          <t>CITY_NM</t>
        </is>
      </c>
      <c r="I73" s="489" t="inlineStr">
        <is>
          <t>VARCHAR2</t>
        </is>
      </c>
      <c r="J73" s="495" t="n">
        <v>100</v>
      </c>
      <c r="K73" s="498" t="inlineStr">
        <is>
          <t>Tên thành phố theo địa chỉ</t>
        </is>
      </c>
      <c r="N73" s="415" t="inlineStr">
        <is>
          <t>CITY_NM</t>
        </is>
      </c>
      <c r="O73" s="334">
        <f>"COMMENT ON COLUMN PG_GOLD."&amp;G73&amp;"."&amp;H73&amp;" IS '"&amp;K73&amp;"';"</f>
        <v/>
      </c>
    </row>
    <row r="74" ht="14.25" customHeight="1" s="335">
      <c r="A74" s="486" t="inlineStr">
        <is>
          <t>PG_SILVER</t>
        </is>
      </c>
      <c r="B74" s="486" t="inlineStr">
        <is>
          <t>IDV_PRFL</t>
        </is>
      </c>
      <c r="C74" s="415" t="inlineStr">
        <is>
          <t>VSS_CODE</t>
        </is>
      </c>
      <c r="D74" s="415" t="inlineStr">
        <is>
          <t>1:1</t>
        </is>
      </c>
      <c r="E74" s="415" t="inlineStr">
        <is>
          <t>Interface Customer</t>
        </is>
      </c>
      <c r="F74" s="415" t="inlineStr">
        <is>
          <t>VSS Code</t>
        </is>
      </c>
      <c r="G74" s="415" t="inlineStr">
        <is>
          <t>INF_CST</t>
        </is>
      </c>
      <c r="H74" s="415" t="inlineStr">
        <is>
          <t>VSS_CODE</t>
        </is>
      </c>
      <c r="I74" s="489" t="inlineStr">
        <is>
          <t>VARCHAR2</t>
        </is>
      </c>
      <c r="J74" s="495" t="n">
        <v>40</v>
      </c>
      <c r="K74" s="415" t="inlineStr">
        <is>
          <t>Mã bảo hiểm xã hội</t>
        </is>
      </c>
      <c r="N74" s="415" t="inlineStr">
        <is>
          <t>VSS_CODE</t>
        </is>
      </c>
      <c r="O74" s="334">
        <f>"COMMENT ON COLUMN PG_GOLD."&amp;G74&amp;"."&amp;H74&amp;" IS '"&amp;K74&amp;"';"</f>
        <v/>
      </c>
    </row>
    <row r="75" ht="27" customHeight="1" s="335">
      <c r="A75" s="490" t="inlineStr">
        <is>
          <t>PG_SILVER</t>
        </is>
      </c>
      <c r="B75" s="490" t="inlineStr">
        <is>
          <t>CST</t>
        </is>
      </c>
      <c r="C75" s="456" t="inlineStr">
        <is>
          <t>CRS_SELL_RM_CODE</t>
        </is>
      </c>
      <c r="D75" s="456" t="inlineStr">
        <is>
          <t>1:1</t>
        </is>
      </c>
      <c r="E75" s="456" t="inlineStr">
        <is>
          <t>Interface Customer</t>
        </is>
      </c>
      <c r="F75" s="456" t="inlineStr">
        <is>
          <t>Cross Sell RM Officer Code</t>
        </is>
      </c>
      <c r="G75" s="456" t="inlineStr">
        <is>
          <t>INF_CST</t>
        </is>
      </c>
      <c r="H75" s="499" t="inlineStr">
        <is>
          <t>CRS_SELL_RM_CODE</t>
        </is>
      </c>
      <c r="I75" s="493" t="inlineStr">
        <is>
          <t>VARCHAR2</t>
        </is>
      </c>
      <c r="J75" s="494" t="n">
        <v>100</v>
      </c>
      <c r="K75" s="456" t="inlineStr">
        <is>
          <t>MB_RM_BANCHEO</t>
        </is>
      </c>
      <c r="L75" s="452" t="n"/>
      <c r="M75" s="452" t="n"/>
      <c r="N75" s="456" t="inlineStr">
        <is>
          <t>CRS_SELL_RM_CODE</t>
        </is>
      </c>
      <c r="O75" s="334">
        <f>"COMMENT ON COLUMN PG_GOLD."&amp;G75&amp;"."&amp;H75&amp;" IS '"&amp;K75&amp;"';"</f>
        <v/>
      </c>
      <c r="P75" s="414" t="inlineStr">
        <is>
          <t>Map 1:1 từ CST.CRS_SELL_RM_CODE (MB_RM_BANCHEO)</t>
        </is>
      </c>
    </row>
    <row r="76" ht="14.25" customHeight="1" s="335">
      <c r="A76" s="486" t="inlineStr">
        <is>
          <t>PG_SILVER</t>
        </is>
      </c>
      <c r="B76" s="415" t="inlineStr">
        <is>
          <t>IP_ELC_ADR</t>
        </is>
      </c>
      <c r="C76" s="415" t="inlineStr">
        <is>
          <t>ELC_ADR_VAL</t>
        </is>
      </c>
      <c r="D76" s="415" t="inlineStr">
        <is>
          <t>c2.ELC_ADR_VAL</t>
        </is>
      </c>
      <c r="E76" s="415" t="inlineStr">
        <is>
          <t>Interface Customer</t>
        </is>
      </c>
      <c r="F76" s="415" t="inlineStr">
        <is>
          <t>Home Number</t>
        </is>
      </c>
      <c r="G76" s="415" t="inlineStr">
        <is>
          <t>INF_CST</t>
        </is>
      </c>
      <c r="H76" s="415" t="inlineStr">
        <is>
          <t>HM_NBR</t>
        </is>
      </c>
      <c r="I76" s="489" t="inlineStr">
        <is>
          <t>VARCHAR2</t>
        </is>
      </c>
      <c r="J76" s="495" t="n">
        <v>100</v>
      </c>
      <c r="K76" s="415" t="inlineStr">
        <is>
          <t>Số điện thoại nhà riêng</t>
        </is>
      </c>
      <c r="N76" s="415" t="inlineStr">
        <is>
          <t>HM_NBR</t>
        </is>
      </c>
      <c r="O76" s="334">
        <f>"COMMENT ON COLUMN PG_GOLD."&amp;G76&amp;"."&amp;H76&amp;" IS '"&amp;K76&amp;"';"</f>
        <v/>
      </c>
    </row>
    <row r="77" ht="14.25" customHeight="1" s="335">
      <c r="A77" s="486" t="inlineStr">
        <is>
          <t>PG_SILVER</t>
        </is>
      </c>
      <c r="B77" s="415" t="inlineStr">
        <is>
          <t>IP_ELC_ADR</t>
        </is>
      </c>
      <c r="C77" s="415" t="inlineStr">
        <is>
          <t>ELC_ADR_VAL</t>
        </is>
      </c>
      <c r="D77" s="415" t="inlineStr">
        <is>
          <t>c3.ELC_ADR_VAL</t>
        </is>
      </c>
      <c r="E77" s="415" t="inlineStr">
        <is>
          <t>Interface Customer</t>
        </is>
      </c>
      <c r="F77" s="415" t="inlineStr">
        <is>
          <t>Mobile Number</t>
        </is>
      </c>
      <c r="G77" s="415" t="inlineStr">
        <is>
          <t>INF_CST</t>
        </is>
      </c>
      <c r="H77" s="415" t="inlineStr">
        <is>
          <t>MBL_NBR</t>
        </is>
      </c>
      <c r="I77" s="489" t="inlineStr">
        <is>
          <t>VARCHAR2</t>
        </is>
      </c>
      <c r="J77" s="495" t="n">
        <v>100</v>
      </c>
      <c r="K77" s="415" t="inlineStr">
        <is>
          <t>Số điện thoại di động</t>
        </is>
      </c>
      <c r="N77" s="415" t="inlineStr">
        <is>
          <t>MBL_NBR</t>
        </is>
      </c>
      <c r="O77" s="334">
        <f>"COMMENT ON COLUMN PG_GOLD."&amp;G77&amp;"."&amp;H77&amp;" IS '"&amp;K77&amp;"';"</f>
        <v/>
      </c>
    </row>
    <row r="78" ht="14.25" customHeight="1" s="335">
      <c r="A78" s="486" t="inlineStr">
        <is>
          <t>PG_SILVER</t>
        </is>
      </c>
      <c r="B78" s="486" t="inlineStr">
        <is>
          <t>IDV_PRFL</t>
        </is>
      </c>
      <c r="C78" s="415" t="inlineStr">
        <is>
          <t>IDY_LV2_CL_CODE</t>
        </is>
      </c>
      <c r="D78" s="415" t="inlineStr">
        <is>
          <t>1:1</t>
        </is>
      </c>
      <c r="E78" s="415" t="inlineStr">
        <is>
          <t>Interface Customer</t>
        </is>
      </c>
      <c r="F78" s="415" t="inlineStr">
        <is>
          <t>Industry LV2 Classification Code</t>
        </is>
      </c>
      <c r="G78" s="415" t="inlineStr">
        <is>
          <t>INF_CST</t>
        </is>
      </c>
      <c r="H78" s="415" t="inlineStr">
        <is>
          <t>IDY_LV2_CL_CODE</t>
        </is>
      </c>
      <c r="I78" s="489" t="inlineStr">
        <is>
          <t>VARCHAR2</t>
        </is>
      </c>
      <c r="J78" s="495" t="n">
        <v>20</v>
      </c>
      <c r="K78" s="498" t="inlineStr">
        <is>
          <t>Ngành nghề kinh tế</t>
        </is>
      </c>
      <c r="N78" s="415" t="inlineStr">
        <is>
          <t>IDY_LV2_CL_CODE</t>
        </is>
      </c>
      <c r="O78" s="334">
        <f>"COMMENT ON COLUMN PG_GOLD."&amp;G78&amp;"."&amp;H78&amp;" IS '"&amp;K78&amp;"';"</f>
        <v/>
      </c>
    </row>
    <row r="80" ht="14.25" customHeight="1" s="335">
      <c r="A80" s="500" t="inlineStr">
        <is>
          <t>UNION ALL</t>
        </is>
      </c>
    </row>
    <row r="82" ht="14.25" customHeight="1" s="335">
      <c r="A82" s="484" t="inlineStr">
        <is>
          <t>No</t>
        </is>
      </c>
      <c r="B82" s="484" t="inlineStr">
        <is>
          <t>System</t>
        </is>
      </c>
      <c r="C82" s="484" t="inlineStr">
        <is>
          <t>TABLE</t>
        </is>
      </c>
      <c r="D82" s="484" t="inlineStr">
        <is>
          <t>Short table</t>
        </is>
      </c>
      <c r="E82" s="484" t="inlineStr">
        <is>
          <t>Main Table</t>
        </is>
      </c>
      <c r="F82" s="484" t="inlineStr">
        <is>
          <t>Type join</t>
        </is>
      </c>
      <c r="G82" s="484" t="inlineStr">
        <is>
          <t>Condition JOIN</t>
        </is>
      </c>
      <c r="H82" s="484" t="inlineStr">
        <is>
          <t>Condition where</t>
        </is>
      </c>
      <c r="I82" s="484" t="inlineStr">
        <is>
          <t>Fields</t>
        </is>
      </c>
      <c r="J82" s="437" t="n"/>
      <c r="K82" s="437" t="n"/>
    </row>
    <row r="83" ht="14.25" customHeight="1" s="335">
      <c r="A83" s="459" t="n">
        <v>1</v>
      </c>
      <c r="B83" s="462" t="inlineStr">
        <is>
          <t>PG_SILVER</t>
        </is>
      </c>
      <c r="C83" s="462" t="inlineStr">
        <is>
          <t>CST</t>
        </is>
      </c>
      <c r="D83" s="415" t="inlineStr">
        <is>
          <t>a</t>
        </is>
      </c>
      <c r="E83" s="415" t="inlineStr">
        <is>
          <t>main</t>
        </is>
      </c>
      <c r="F83" s="415" t="n"/>
      <c r="G83" s="415" t="n"/>
      <c r="H83" s="463" t="inlineStr">
        <is>
          <t>a.SYS_EXP_DT IS NULL</t>
        </is>
      </c>
      <c r="I83" s="415" t="n"/>
      <c r="J83" s="437" t="n"/>
      <c r="K83" s="437" t="n"/>
    </row>
    <row r="84" ht="14.25" customHeight="1" s="335">
      <c r="A84" s="459" t="n">
        <v>2</v>
      </c>
      <c r="B84" s="462" t="inlineStr">
        <is>
          <t>PG_SILVER</t>
        </is>
      </c>
      <c r="C84" s="415" t="inlineStr">
        <is>
          <t>IP_ALT_IDENTN</t>
        </is>
      </c>
      <c r="D84" s="415" t="inlineStr">
        <is>
          <t>b</t>
        </is>
      </c>
      <c r="E84" s="415" t="inlineStr">
        <is>
          <t>sub</t>
        </is>
      </c>
      <c r="F84" s="415" t="inlineStr">
        <is>
          <t>LEFT JOIN</t>
        </is>
      </c>
      <c r="G84" s="415" t="inlineStr">
        <is>
          <t>a.CST_CODE = b.CST_CODE</t>
        </is>
      </c>
      <c r="H84" s="485" t="inlineStr">
        <is>
          <t>b.SYS_EXP_DT IS NULL AND b.RN = 1 -- Dedup 1 giấy tờ chính/CIF: ROW_NUMBER() OVER (PARTITION BY CST_CODE ORDER BY IDENTN_ISSU_DT DESC) = 1</t>
        </is>
      </c>
      <c r="I84" s="415" t="n"/>
      <c r="J84" s="437" t="n"/>
      <c r="K84" s="437" t="n"/>
    </row>
    <row r="85" ht="27.75" customHeight="1" s="335">
      <c r="A85" s="459" t="n">
        <v>3</v>
      </c>
      <c r="B85" s="462" t="inlineStr">
        <is>
          <t>PG_SILVER</t>
        </is>
      </c>
      <c r="C85" s="433" t="inlineStr">
        <is>
          <t>IP_ELC_ADR</t>
        </is>
      </c>
      <c r="D85" s="415" t="inlineStr">
        <is>
          <t>c1</t>
        </is>
      </c>
      <c r="E85" s="415" t="inlineStr">
        <is>
          <t>sub</t>
        </is>
      </c>
      <c r="F85" s="415" t="inlineStr">
        <is>
          <t>LEFT JOIN</t>
        </is>
      </c>
      <c r="G85" s="415" t="inlineStr">
        <is>
          <t>a.CST_CODE = c1.CST_CODE</t>
        </is>
      </c>
      <c r="H85" s="463" t="inlineStr">
        <is>
          <t>c1.ELC_ADR_TP = 'EMAIL' AND c1.SYS_EXP_DT IS NULL</t>
        </is>
      </c>
      <c r="I85" s="415" t="n"/>
      <c r="J85" s="437" t="n"/>
      <c r="K85" s="437" t="n"/>
    </row>
    <row r="86" ht="42" customHeight="1" s="335">
      <c r="A86" s="459" t="n">
        <v>4</v>
      </c>
      <c r="B86" s="462" t="inlineStr">
        <is>
          <t>PG_SILVER</t>
        </is>
      </c>
      <c r="C86" s="433" t="inlineStr">
        <is>
          <t>IP_ELC_ADR</t>
        </is>
      </c>
      <c r="D86" s="415" t="inlineStr">
        <is>
          <t>c2</t>
        </is>
      </c>
      <c r="E86" s="415" t="inlineStr">
        <is>
          <t>sub</t>
        </is>
      </c>
      <c r="F86" s="415" t="inlineStr">
        <is>
          <t>LEFT JOIN</t>
        </is>
      </c>
      <c r="G86" s="415" t="inlineStr">
        <is>
          <t>a.CST_CODE = c2.CST_CODE</t>
        </is>
      </c>
      <c r="H86" s="463" t="inlineStr">
        <is>
          <t>c2.ELC_ADR_TP = 'HOME_NUMBER' AND c2.SYS_EXP_DT IS NULL</t>
        </is>
      </c>
      <c r="I86" s="415" t="n"/>
      <c r="J86" s="437" t="n"/>
      <c r="K86" s="437" t="n"/>
    </row>
    <row r="87" ht="42" customHeight="1" s="335">
      <c r="A87" s="459" t="n">
        <v>5</v>
      </c>
      <c r="B87" s="462" t="inlineStr">
        <is>
          <t>PG_SILVER</t>
        </is>
      </c>
      <c r="C87" s="433" t="inlineStr">
        <is>
          <t>IP_ELC_ADR</t>
        </is>
      </c>
      <c r="D87" s="415" t="inlineStr">
        <is>
          <t>c3</t>
        </is>
      </c>
      <c r="E87" s="415" t="inlineStr">
        <is>
          <t>sub</t>
        </is>
      </c>
      <c r="F87" s="415" t="inlineStr">
        <is>
          <t>LEFT JOIN</t>
        </is>
      </c>
      <c r="G87" s="415" t="inlineStr">
        <is>
          <t>a.CST_CODE = c3.CST_CODE</t>
        </is>
      </c>
      <c r="H87" s="463" t="inlineStr">
        <is>
          <t>c3.ELC_ADR_TP = 'MOBILE_NUMBER' AND c3.SYS_EXP_DT IS NULL</t>
        </is>
      </c>
      <c r="I87" s="415" t="n"/>
      <c r="J87" s="437" t="n"/>
      <c r="K87" s="437" t="n"/>
    </row>
    <row r="88" ht="42" customHeight="1" s="335">
      <c r="A88" s="459" t="n">
        <v>6</v>
      </c>
      <c r="B88" s="462" t="inlineStr">
        <is>
          <t>PG_SILVER</t>
        </is>
      </c>
      <c r="C88" s="415" t="inlineStr">
        <is>
          <t>IP_PST_ADR</t>
        </is>
      </c>
      <c r="D88" s="415" t="inlineStr">
        <is>
          <t>d1</t>
        </is>
      </c>
      <c r="E88" s="415" t="inlineStr">
        <is>
          <t>sub</t>
        </is>
      </c>
      <c r="F88" s="415" t="inlineStr">
        <is>
          <t>LEFT JOIN</t>
        </is>
      </c>
      <c r="G88" s="415" t="inlineStr">
        <is>
          <t>a.CST_CODE = d1.CST_CODE</t>
        </is>
      </c>
      <c r="H88" s="463" t="inlineStr">
        <is>
          <t>d1.PST_ADR_TP = 'CURRENT ADDRESS' AND d1.SYS_EXP_DT IS NULL</t>
        </is>
      </c>
      <c r="I88" s="415" t="n"/>
      <c r="J88" s="437" t="n"/>
      <c r="K88" s="437" t="n"/>
    </row>
    <row r="89" ht="42" customHeight="1" s="335">
      <c r="A89" s="459" t="n">
        <v>7</v>
      </c>
      <c r="B89" s="462" t="inlineStr">
        <is>
          <t>PG_SILVER</t>
        </is>
      </c>
      <c r="C89" s="415" t="inlineStr">
        <is>
          <t>IP_PST_ADR</t>
        </is>
      </c>
      <c r="D89" s="415" t="inlineStr">
        <is>
          <t>d2</t>
        </is>
      </c>
      <c r="E89" s="415" t="inlineStr">
        <is>
          <t>sub</t>
        </is>
      </c>
      <c r="F89" s="415" t="inlineStr">
        <is>
          <t>LEFT JOIN</t>
        </is>
      </c>
      <c r="G89" s="415" t="inlineStr">
        <is>
          <t>a.CST_CODE = d2.CST_CODE</t>
        </is>
      </c>
      <c r="H89" s="463" t="inlineStr">
        <is>
          <t>d2.PST_ADR_TP = 'PERMANENT ADDRESS' AND d2.SYS_EXP_DT IS NULL</t>
        </is>
      </c>
      <c r="I89" s="415" t="n"/>
      <c r="J89" s="437" t="n"/>
      <c r="K89" s="437" t="n"/>
    </row>
    <row r="90" ht="14.25" customHeight="1" s="335">
      <c r="A90" s="459" t="n">
        <v>8</v>
      </c>
      <c r="B90" s="462" t="inlineStr">
        <is>
          <t>PG_SILVER</t>
        </is>
      </c>
      <c r="C90" s="433" t="inlineStr">
        <is>
          <t>ORG_PRFL</t>
        </is>
      </c>
      <c r="D90" s="415" t="inlineStr">
        <is>
          <t>e</t>
        </is>
      </c>
      <c r="E90" s="415" t="inlineStr">
        <is>
          <t>sub</t>
        </is>
      </c>
      <c r="F90" s="415" t="inlineStr">
        <is>
          <t>INNER JOIN</t>
        </is>
      </c>
      <c r="G90" s="415" t="inlineStr">
        <is>
          <t>a.CST_CODE = e.CST_CODE</t>
        </is>
      </c>
      <c r="H90" s="463" t="inlineStr">
        <is>
          <t>e.SYS_EXP_DT IS NULL</t>
        </is>
      </c>
      <c r="I90" s="415" t="n"/>
      <c r="J90" s="437" t="n"/>
      <c r="K90" s="437" t="n"/>
    </row>
    <row r="91" ht="14.25" customHeight="1" s="335">
      <c r="A91" s="459" t="n"/>
      <c r="B91" s="462" t="n"/>
      <c r="C91" s="433" t="n"/>
      <c r="D91" s="415" t="n"/>
      <c r="E91" s="415" t="n"/>
      <c r="F91" s="415" t="n"/>
      <c r="G91" s="415" t="n"/>
      <c r="H91" s="415" t="n"/>
      <c r="I91" s="415" t="n"/>
      <c r="J91" s="437" t="n"/>
      <c r="K91" s="437" t="n"/>
    </row>
    <row r="92" ht="14.25" customHeight="1" s="335">
      <c r="A92" s="437" t="n"/>
      <c r="B92" s="437" t="n"/>
      <c r="C92" s="437" t="n"/>
      <c r="D92" s="437" t="n"/>
      <c r="E92" s="437" t="n"/>
      <c r="F92" s="437" t="n"/>
      <c r="G92" s="437" t="n"/>
      <c r="H92" s="437" t="n"/>
      <c r="I92" s="437" t="n"/>
      <c r="J92" s="437" t="n"/>
      <c r="K92" s="437" t="n"/>
    </row>
    <row r="93" ht="14.25" customHeight="1" s="335">
      <c r="A93" s="437" t="n"/>
      <c r="B93" s="437" t="n"/>
      <c r="C93" s="437" t="n"/>
      <c r="D93" s="437" t="n"/>
      <c r="E93" s="415" t="n"/>
      <c r="F93" s="415" t="n"/>
      <c r="G93" s="437" t="n"/>
      <c r="H93" s="437" t="n"/>
      <c r="I93" s="437" t="n"/>
      <c r="J93" s="437" t="n"/>
      <c r="K93" s="437" t="n"/>
    </row>
    <row r="94" ht="14.25" customHeight="1" s="335">
      <c r="A94" s="483" t="inlineStr">
        <is>
          <t>Nguồn</t>
        </is>
      </c>
      <c r="B94" s="483" t="inlineStr">
        <is>
          <t>Bảng nguồn</t>
        </is>
      </c>
      <c r="C94" s="483" t="inlineStr">
        <is>
          <t>Cột nguồn</t>
        </is>
      </c>
      <c r="D94" s="483" t="inlineStr">
        <is>
          <t>Transform</t>
        </is>
      </c>
      <c r="E94" s="483" t="inlineStr">
        <is>
          <t>Entity</t>
        </is>
      </c>
      <c r="F94" s="483" t="inlineStr">
        <is>
          <t>Attribute</t>
        </is>
      </c>
      <c r="G94" s="483" t="inlineStr">
        <is>
          <t>Bảng đích</t>
        </is>
      </c>
      <c r="H94" s="483" t="inlineStr">
        <is>
          <t>Cột đích</t>
        </is>
      </c>
      <c r="I94" s="483" t="inlineStr">
        <is>
          <t>Kiểu dữ liệu</t>
        </is>
      </c>
      <c r="J94" s="483" t="inlineStr">
        <is>
          <t>Độ dài</t>
        </is>
      </c>
      <c r="K94" s="483" t="inlineStr">
        <is>
          <t>Diễn giải</t>
        </is>
      </c>
      <c r="L94" s="483" t="inlineStr">
        <is>
          <t>Term gold</t>
        </is>
      </c>
      <c r="M94" s="483" t="inlineStr">
        <is>
          <t>Term silver</t>
        </is>
      </c>
      <c r="N94" s="483" t="inlineStr">
        <is>
          <t>Glossary</t>
        </is>
      </c>
      <c r="O94" s="483" t="inlineStr">
        <is>
          <t>DDL Comment</t>
        </is>
      </c>
      <c r="P94" s="413" t="inlineStr">
        <is>
          <t>Ghi chú kỹ thuật &amp; Business Rule</t>
        </is>
      </c>
    </row>
    <row r="95" ht="14.25" customHeight="1" s="335">
      <c r="A95" s="486" t="inlineStr">
        <is>
          <t>PG_SILVER</t>
        </is>
      </c>
      <c r="B95" s="486" t="inlineStr">
        <is>
          <t>CST</t>
        </is>
      </c>
      <c r="C95" s="415" t="inlineStr">
        <is>
          <t>CST_CODE</t>
        </is>
      </c>
      <c r="D95" s="415" t="inlineStr">
        <is>
          <t>1:1</t>
        </is>
      </c>
      <c r="E95" s="415" t="inlineStr">
        <is>
          <t>Interface Customer</t>
        </is>
      </c>
      <c r="F95" s="415" t="inlineStr">
        <is>
          <t>Customer Code</t>
        </is>
      </c>
      <c r="G95" s="415" t="inlineStr">
        <is>
          <t>INF_CST</t>
        </is>
      </c>
      <c r="H95" s="415" t="inlineStr">
        <is>
          <t>CST_CODE</t>
        </is>
      </c>
      <c r="I95" s="487" t="inlineStr">
        <is>
          <t>VARCHAR2</t>
        </is>
      </c>
      <c r="J95" s="488" t="n">
        <v>20</v>
      </c>
      <c r="K95" s="415" t="inlineStr">
        <is>
          <t>Mã khách hàng</t>
        </is>
      </c>
      <c r="L95" s="334" t="inlineStr">
        <is>
          <t>x</t>
        </is>
      </c>
      <c r="M95" s="334" t="inlineStr">
        <is>
          <t>x</t>
        </is>
      </c>
      <c r="N95" s="334" t="inlineStr">
        <is>
          <t>CST_CODE</t>
        </is>
      </c>
      <c r="O95" s="415">
        <f>"COMMENT ON COLUMN PG_GOLD."&amp;G95&amp;"."&amp;H95&amp;" IS '"&amp;K95&amp;"';"</f>
        <v/>
      </c>
    </row>
    <row r="96" ht="14.25" customHeight="1" s="335">
      <c r="A96" s="486" t="inlineStr">
        <is>
          <t>PG_SILVER</t>
        </is>
      </c>
      <c r="B96" s="486" t="inlineStr">
        <is>
          <t>CST</t>
        </is>
      </c>
      <c r="C96" s="415" t="inlineStr">
        <is>
          <t>OPN_DT</t>
        </is>
      </c>
      <c r="D96" s="415" t="inlineStr">
        <is>
          <t>1:1</t>
        </is>
      </c>
      <c r="E96" s="415" t="inlineStr">
        <is>
          <t>Interface Customer</t>
        </is>
      </c>
      <c r="F96" s="415" t="inlineStr">
        <is>
          <t>Open Date</t>
        </is>
      </c>
      <c r="G96" s="415" t="inlineStr">
        <is>
          <t>INF_CST</t>
        </is>
      </c>
      <c r="H96" s="415" t="inlineStr">
        <is>
          <t>OPN_DT</t>
        </is>
      </c>
      <c r="I96" s="489" t="inlineStr">
        <is>
          <t>DATE</t>
        </is>
      </c>
      <c r="J96" s="415" t="n"/>
      <c r="K96" s="415" t="inlineStr">
        <is>
          <t>Ngày đăng ký</t>
        </is>
      </c>
      <c r="L96" s="334" t="inlineStr">
        <is>
          <t>x</t>
        </is>
      </c>
      <c r="M96" s="334" t="inlineStr">
        <is>
          <t>x</t>
        </is>
      </c>
      <c r="N96" s="334" t="inlineStr">
        <is>
          <t>OPN_DT</t>
        </is>
      </c>
      <c r="O96" s="415">
        <f>"COMMENT ON COLUMN PG_GOLD."&amp;G96&amp;"."&amp;H96&amp;" IS '"&amp;K96&amp;"';"</f>
        <v/>
      </c>
    </row>
    <row r="97" ht="14.25" customHeight="1" s="335">
      <c r="A97" s="490" t="inlineStr">
        <is>
          <t>PG_SILVER</t>
        </is>
      </c>
      <c r="B97" s="490" t="inlineStr">
        <is>
          <t>CST</t>
        </is>
      </c>
      <c r="C97" s="456" t="inlineStr">
        <is>
          <t>FRST_OU_CODE</t>
        </is>
      </c>
      <c r="D97" s="456" t="inlineStr">
        <is>
          <t>1:1</t>
        </is>
      </c>
      <c r="E97" s="456" t="inlineStr">
        <is>
          <t>Interface Customer</t>
        </is>
      </c>
      <c r="F97" s="456" t="inlineStr">
        <is>
          <t>First Organization Unit Code</t>
        </is>
      </c>
      <c r="G97" s="456" t="inlineStr">
        <is>
          <t>INF_CST</t>
        </is>
      </c>
      <c r="H97" s="456" t="inlineStr">
        <is>
          <t>FRST_OU_CODE</t>
        </is>
      </c>
      <c r="I97" s="491" t="inlineStr">
        <is>
          <t>VARCHAR2</t>
        </is>
      </c>
      <c r="J97" s="492" t="n">
        <v>20</v>
      </c>
      <c r="K97" s="456" t="inlineStr">
        <is>
          <t>CN_MO</t>
        </is>
      </c>
      <c r="L97" s="452" t="n"/>
      <c r="N97" s="452" t="inlineStr">
        <is>
          <t>FRST_OU_CODE</t>
        </is>
      </c>
      <c r="O97" s="456">
        <f>"COMMENT ON COLUMN PG_GOLD."&amp;G97&amp;"."&amp;H97&amp;" IS '"&amp;K97&amp;"';"</f>
        <v/>
      </c>
      <c r="P97" s="452" t="n"/>
    </row>
    <row r="98" ht="14.25" customHeight="1" s="335">
      <c r="A98" s="490" t="inlineStr">
        <is>
          <t>PG_SILVER</t>
        </is>
      </c>
      <c r="B98" s="456" t="inlineStr">
        <is>
          <t>IP_ALT_IDENTN</t>
        </is>
      </c>
      <c r="C98" s="456" t="inlineStr">
        <is>
          <t>IDENTN_NBR</t>
        </is>
      </c>
      <c r="D98" s="456" t="inlineStr">
        <is>
          <t>1:1</t>
        </is>
      </c>
      <c r="E98" s="456" t="inlineStr">
        <is>
          <t>Interface Customer</t>
        </is>
      </c>
      <c r="F98" s="456" t="inlineStr">
        <is>
          <t>Identification Number</t>
        </is>
      </c>
      <c r="G98" s="456" t="inlineStr">
        <is>
          <t>INF_CST</t>
        </is>
      </c>
      <c r="H98" s="456" t="inlineStr">
        <is>
          <t>IDENTN_NBR</t>
        </is>
      </c>
      <c r="I98" s="493" t="inlineStr">
        <is>
          <t>VARCHAR2</t>
        </is>
      </c>
      <c r="J98" s="494" t="n">
        <v>100</v>
      </c>
      <c r="K98" s="456" t="inlineStr">
        <is>
          <t>SO_GTTT</t>
        </is>
      </c>
      <c r="L98" s="452" t="n"/>
      <c r="N98" s="452" t="inlineStr">
        <is>
          <t>IDENTN_NBR</t>
        </is>
      </c>
      <c r="O98" s="456">
        <f>"COMMENT ON COLUMN PG_GOLD."&amp;G98&amp;"."&amp;H98&amp;" IS '"&amp;K98&amp;"';"</f>
        <v/>
      </c>
      <c r="P98" s="452" t="n"/>
    </row>
    <row r="99" ht="14.25" customHeight="1" s="335">
      <c r="A99" s="486" t="inlineStr">
        <is>
          <t>PG_SILVER</t>
        </is>
      </c>
      <c r="B99" s="415" t="inlineStr">
        <is>
          <t>IP_ALT_IDENTN</t>
        </is>
      </c>
      <c r="C99" s="415" t="inlineStr">
        <is>
          <t>IDENTN_ISSU_DT</t>
        </is>
      </c>
      <c r="D99" s="415" t="inlineStr">
        <is>
          <t>1:1</t>
        </is>
      </c>
      <c r="E99" s="415" t="inlineStr">
        <is>
          <t>Interface Customer</t>
        </is>
      </c>
      <c r="F99" s="415" t="inlineStr">
        <is>
          <t>Identification Issue Date</t>
        </is>
      </c>
      <c r="G99" s="415" t="inlineStr">
        <is>
          <t>INF_CST</t>
        </is>
      </c>
      <c r="H99" s="415" t="inlineStr">
        <is>
          <t>IDENTN_ISSU_DT</t>
        </is>
      </c>
      <c r="I99" s="489" t="inlineStr">
        <is>
          <t>DATE</t>
        </is>
      </c>
      <c r="J99" s="415" t="n"/>
      <c r="K99" s="415" t="inlineStr">
        <is>
          <t>Ngày cấp giấy tờ tùy thân</t>
        </is>
      </c>
      <c r="N99" s="334" t="inlineStr">
        <is>
          <t>IDENTN_ISSU_DT</t>
        </is>
      </c>
      <c r="O99" s="415">
        <f>"COMMENT ON COLUMN PG_GOLD."&amp;G99&amp;"."&amp;H99&amp;" IS '"&amp;K99&amp;"';"</f>
        <v/>
      </c>
    </row>
    <row r="100" ht="14.25" customHeight="1" s="335">
      <c r="A100" s="486" t="inlineStr">
        <is>
          <t>PG_SILVER</t>
        </is>
      </c>
      <c r="B100" s="486" t="inlineStr">
        <is>
          <t>ORG_PRFL</t>
        </is>
      </c>
      <c r="C100" s="415" t="inlineStr">
        <is>
          <t>BSN_RGST_NBR</t>
        </is>
      </c>
      <c r="D100" s="415" t="inlineStr">
        <is>
          <t>1:1</t>
        </is>
      </c>
      <c r="E100" s="415" t="inlineStr">
        <is>
          <t>Interface Customer</t>
        </is>
      </c>
      <c r="F100" s="415" t="inlineStr">
        <is>
          <t>Business Registration Number</t>
        </is>
      </c>
      <c r="G100" s="415" t="inlineStr">
        <is>
          <t>INF_CST</t>
        </is>
      </c>
      <c r="H100" s="415" t="inlineStr">
        <is>
          <t>BSN_RGST_NBR</t>
        </is>
      </c>
      <c r="I100" s="415" t="inlineStr">
        <is>
          <t>VARCHAR2</t>
        </is>
      </c>
      <c r="J100" s="415" t="n">
        <v>40</v>
      </c>
      <c r="K100" s="415" t="inlineStr">
        <is>
          <t>Số giấy phép doanh nghiệp</t>
        </is>
      </c>
      <c r="N100" s="334" t="inlineStr">
        <is>
          <t>BSN_RGST_NBR</t>
        </is>
      </c>
      <c r="O100" s="415">
        <f>"COMMENT ON COLUMN PG_GOLD."&amp;G100&amp;"."&amp;H100&amp;" IS '"&amp;K100&amp;"';"</f>
        <v/>
      </c>
      <c r="P100" s="334" t="inlineStr">
        <is>
          <t>Map 1:1 từ ORG_PRFL.BSN_RGST_NBR (ESTAB_LIC_CODE - Số GPDN)</t>
        </is>
      </c>
    </row>
    <row r="101" ht="14.25" customHeight="1" s="335">
      <c r="A101" s="486" t="inlineStr">
        <is>
          <t>PG_SILVER</t>
        </is>
      </c>
      <c r="B101" s="486" t="inlineStr">
        <is>
          <t>ORG_PRFL</t>
        </is>
      </c>
      <c r="C101" s="415" t="inlineStr">
        <is>
          <t>TAX_IDENTN_NBR</t>
        </is>
      </c>
      <c r="D101" s="415" t="inlineStr">
        <is>
          <t>1:1</t>
        </is>
      </c>
      <c r="E101" s="415" t="inlineStr">
        <is>
          <t>Interface Customer</t>
        </is>
      </c>
      <c r="F101" s="415" t="inlineStr">
        <is>
          <t>Tax Identification Number</t>
        </is>
      </c>
      <c r="G101" s="415" t="inlineStr">
        <is>
          <t>INF_CST</t>
        </is>
      </c>
      <c r="H101" s="415" t="inlineStr">
        <is>
          <t>TAX_IDENTN_NBR</t>
        </is>
      </c>
      <c r="I101" s="489" t="inlineStr">
        <is>
          <t>VARCHAR2</t>
        </is>
      </c>
      <c r="J101" s="495" t="n">
        <v>100</v>
      </c>
      <c r="K101" s="415" t="inlineStr">
        <is>
          <t>Số seri hóa đơn</t>
        </is>
      </c>
      <c r="N101" s="334" t="inlineStr">
        <is>
          <t>TAX_IDENTN_NBR</t>
        </is>
      </c>
      <c r="O101" s="415">
        <f>"COMMENT ON COLUMN PG_GOLD."&amp;G101&amp;"."&amp;H101&amp;" IS '"&amp;K101&amp;"';"</f>
        <v/>
      </c>
    </row>
    <row r="102" ht="14.25" customHeight="1" s="335">
      <c r="A102" s="486" t="inlineStr">
        <is>
          <t>PG_SILVER</t>
        </is>
      </c>
      <c r="B102" s="486" t="inlineStr">
        <is>
          <t>ORG_PRFL</t>
        </is>
      </c>
      <c r="C102" s="415" t="inlineStr">
        <is>
          <t>BSN_RGST_EFF_DT</t>
        </is>
      </c>
      <c r="D102" s="415" t="inlineStr">
        <is>
          <t>1:1</t>
        </is>
      </c>
      <c r="E102" s="415" t="inlineStr">
        <is>
          <t>Interface Customer</t>
        </is>
      </c>
      <c r="F102" s="415" t="inlineStr">
        <is>
          <t>Business Registration Effective Date</t>
        </is>
      </c>
      <c r="G102" s="415" t="inlineStr">
        <is>
          <t>INF_CST</t>
        </is>
      </c>
      <c r="H102" s="415" t="inlineStr">
        <is>
          <t>BSN_RGST_EFF_DT</t>
        </is>
      </c>
      <c r="I102" s="415" t="inlineStr">
        <is>
          <t>DATE</t>
        </is>
      </c>
      <c r="J102" s="415" t="n"/>
      <c r="K102" s="415" t="inlineStr">
        <is>
          <t>Ngày phát hành hóa đơn</t>
        </is>
      </c>
      <c r="N102" s="334" t="inlineStr">
        <is>
          <t>BSN_RGST_EFF_DT</t>
        </is>
      </c>
      <c r="O102" s="415">
        <f>"COMMENT ON COLUMN PG_GOLD."&amp;G102&amp;"."&amp;H102&amp;" IS '"&amp;K102&amp;"';"</f>
        <v/>
      </c>
      <c r="P102" s="334" t="inlineStr">
        <is>
          <t>Map 1:1 từ ORG_PRFL.BSN_RGST_EFF_DT (VAT_INV_DATE)</t>
        </is>
      </c>
    </row>
    <row r="103" ht="14.25" customHeight="1" s="335">
      <c r="A103" s="486" t="inlineStr">
        <is>
          <t>PG_SILVER</t>
        </is>
      </c>
      <c r="B103" s="415" t="inlineStr">
        <is>
          <t>IP_ALT_IDENTN</t>
        </is>
      </c>
      <c r="C103" s="415" t="inlineStr">
        <is>
          <t>IDENTN_EXPIRY_DT</t>
        </is>
      </c>
      <c r="D103" s="415" t="inlineStr">
        <is>
          <t>1:1</t>
        </is>
      </c>
      <c r="E103" s="415" t="inlineStr">
        <is>
          <t>Interface Customer</t>
        </is>
      </c>
      <c r="F103" s="415" t="inlineStr">
        <is>
          <t>Business Registration Expiry date</t>
        </is>
      </c>
      <c r="G103" s="415" t="inlineStr">
        <is>
          <t>INF_CST</t>
        </is>
      </c>
      <c r="H103" s="415" t="inlineStr">
        <is>
          <t>BSN_RGST_EXPIRY_DT</t>
        </is>
      </c>
      <c r="I103" s="489" t="inlineStr">
        <is>
          <t>DATE</t>
        </is>
      </c>
      <c r="J103" s="415" t="n"/>
      <c r="K103" s="415" t="inlineStr">
        <is>
          <t>Ngày hêt hạn căn cước</t>
        </is>
      </c>
      <c r="N103" s="334" t="inlineStr">
        <is>
          <t>BSN_RGST_EXPIRY_DT</t>
        </is>
      </c>
      <c r="O103" s="415">
        <f>"COMMENT ON COLUMN PG_GOLD."&amp;G103&amp;"."&amp;H103&amp;" IS '"&amp;K103&amp;"';"</f>
        <v/>
      </c>
    </row>
    <row r="104" ht="14.25" customHeight="1" s="335">
      <c r="A104" s="486" t="inlineStr">
        <is>
          <t>PG_SILVER</t>
        </is>
      </c>
      <c r="B104" s="415" t="inlineStr">
        <is>
          <t>ORG_PRFL</t>
        </is>
      </c>
      <c r="C104" s="415" t="inlineStr">
        <is>
          <t>CST_CODE</t>
        </is>
      </c>
      <c r="D104" s="415" t="inlineStr">
        <is>
          <t>NULL</t>
        </is>
      </c>
      <c r="E104" s="415" t="inlineStr">
        <is>
          <t>Interface Customer</t>
        </is>
      </c>
      <c r="F104" s="415" t="inlineStr">
        <is>
          <t>Gender</t>
        </is>
      </c>
      <c r="G104" s="415" t="inlineStr">
        <is>
          <t>INF_CST</t>
        </is>
      </c>
      <c r="H104" s="415" t="inlineStr">
        <is>
          <t>GND</t>
        </is>
      </c>
      <c r="I104" s="489" t="inlineStr">
        <is>
          <t>VARCHAR2</t>
        </is>
      </c>
      <c r="J104" s="495" t="n">
        <v>20</v>
      </c>
      <c r="K104" s="415" t="inlineStr">
        <is>
          <t>Giới tính</t>
        </is>
      </c>
      <c r="N104" s="334" t="inlineStr">
        <is>
          <t>GND</t>
        </is>
      </c>
      <c r="O104" s="415">
        <f>"COMMENT ON COLUMN PG_GOLD."&amp;G104&amp;"."&amp;H104&amp;" IS '"&amp;K104&amp;"';"</f>
        <v/>
      </c>
    </row>
    <row r="105" ht="41.25" customHeight="1" s="335">
      <c r="A105" s="486" t="inlineStr">
        <is>
          <t>PG_SILVER</t>
        </is>
      </c>
      <c r="B105" s="486" t="inlineStr">
        <is>
          <t>CST</t>
        </is>
      </c>
      <c r="C105" s="415" t="inlineStr">
        <is>
          <t>CHKER_OFCR_CODE</t>
        </is>
      </c>
      <c r="D105" s="415" t="inlineStr">
        <is>
          <t>1:1</t>
        </is>
      </c>
      <c r="E105" s="415" t="inlineStr">
        <is>
          <t>Interface Customer</t>
        </is>
      </c>
      <c r="F105" s="415" t="inlineStr">
        <is>
          <t>Checker Officer</t>
        </is>
      </c>
      <c r="G105" s="415" t="inlineStr">
        <is>
          <t>INF_CST</t>
        </is>
      </c>
      <c r="H105" s="463" t="inlineStr">
        <is>
          <t>CHKER_OFCR</t>
        </is>
      </c>
      <c r="I105" s="501" t="inlineStr">
        <is>
          <t>VARCHAR2</t>
        </is>
      </c>
      <c r="J105" s="488" t="n">
        <v>20</v>
      </c>
      <c r="K105" s="415" t="inlineStr">
        <is>
          <t>NHOM_KH_DH</t>
        </is>
      </c>
      <c r="N105" s="334" t="inlineStr">
        <is>
          <t>CHKER_OFCR</t>
        </is>
      </c>
      <c r="O105" s="415">
        <f>"COMMENT ON COLUMN PG_GOLD."&amp;G105&amp;"."&amp;H105&amp;" IS '"&amp;K105&amp;"';"</f>
        <v/>
      </c>
      <c r="P105" s="414" t="inlineStr">
        <is>
          <t>Khớp cột đích `CHKER_OFCR` và kiểu `VARCHAR2` (trước khi xóa dòng dư MST_DN bị lệch thành `CHKER_OFCR` / `VARCHAR2`).</t>
        </is>
      </c>
    </row>
    <row r="106" ht="41.25" customHeight="1" s="335">
      <c r="A106" s="490" t="inlineStr">
        <is>
          <t>PG_SILVER</t>
        </is>
      </c>
      <c r="B106" s="490" t="inlineStr">
        <is>
          <t>ORG_PRFL</t>
        </is>
      </c>
      <c r="C106" s="456" t="inlineStr">
        <is>
          <t>ESTB_DT</t>
        </is>
      </c>
      <c r="D106" s="456" t="inlineStr">
        <is>
          <t>1:1</t>
        </is>
      </c>
      <c r="E106" s="456" t="inlineStr">
        <is>
          <t>Interface Customer</t>
        </is>
      </c>
      <c r="F106" s="456" t="inlineStr">
        <is>
          <t>Date Of Birth</t>
        </is>
      </c>
      <c r="G106" s="456" t="inlineStr">
        <is>
          <t>INF_CST</t>
        </is>
      </c>
      <c r="H106" s="499" t="inlineStr">
        <is>
          <t>DOB</t>
        </is>
      </c>
      <c r="I106" s="502" t="inlineStr">
        <is>
          <t>DATE</t>
        </is>
      </c>
      <c r="J106" s="492" t="n"/>
      <c r="K106" s="456" t="inlineStr">
        <is>
          <t>Ngày sinh</t>
        </is>
      </c>
      <c r="L106" s="452" t="n"/>
      <c r="N106" s="452" t="inlineStr">
        <is>
          <t>DOB</t>
        </is>
      </c>
      <c r="O106" s="456">
        <f>"COMMENT ON COLUMN PG_GOLD."&amp;G106&amp;"."&amp;H106&amp;" IS '"&amp;K106&amp;"';"</f>
        <v/>
      </c>
      <c r="P106" s="414" t="inlineStr">
        <is>
          <t>Khớp cột đích `DOB` và kiểu `DATE` (trước khi xóa dòng dư MST_DN bị lệch thành `DOB` / `VARCHAR2`).</t>
        </is>
      </c>
    </row>
    <row r="107" ht="41.25" customHeight="1" s="335">
      <c r="A107" s="486" t="inlineStr">
        <is>
          <t>PG_SILVER</t>
        </is>
      </c>
      <c r="B107" s="486" t="inlineStr">
        <is>
          <t>CST</t>
        </is>
      </c>
      <c r="C107" s="415" t="inlineStr">
        <is>
          <t>OU_CODE</t>
        </is>
      </c>
      <c r="D107" s="415" t="inlineStr">
        <is>
          <t>1:1</t>
        </is>
      </c>
      <c r="E107" s="415" t="inlineStr">
        <is>
          <t>Interface Customer</t>
        </is>
      </c>
      <c r="F107" s="415" t="inlineStr">
        <is>
          <t>Organization Unit Code</t>
        </is>
      </c>
      <c r="G107" s="415" t="inlineStr">
        <is>
          <t>INF_CST</t>
        </is>
      </c>
      <c r="H107" s="463" t="inlineStr">
        <is>
          <t>OU_CODE</t>
        </is>
      </c>
      <c r="I107" s="501" t="inlineStr">
        <is>
          <t>VARCHAR2</t>
        </is>
      </c>
      <c r="J107" s="488" t="n">
        <v>20</v>
      </c>
      <c r="K107" s="415" t="inlineStr">
        <is>
          <t>CN_QL</t>
        </is>
      </c>
      <c r="N107" s="334" t="inlineStr">
        <is>
          <t>OU_CODE</t>
        </is>
      </c>
      <c r="O107" s="415">
        <f>"COMMENT ON COLUMN PG_GOLD."&amp;G107&amp;"."&amp;H107&amp;" IS '"&amp;K107&amp;"';"</f>
        <v/>
      </c>
      <c r="P107" s="414" t="inlineStr">
        <is>
          <t>Khớp cột đích `OU_CODE` và kiểu `VARCHAR2` (trước khi xóa dòng dư MST_DN bị lệch thành `OU_CODE` / `DATE`).</t>
        </is>
      </c>
    </row>
    <row r="108" ht="41.25" customHeight="1" s="335">
      <c r="A108" s="490" t="inlineStr">
        <is>
          <t>PG_SILVER</t>
        </is>
      </c>
      <c r="B108" s="490" t="inlineStr">
        <is>
          <t>ORG_PRFL</t>
        </is>
      </c>
      <c r="C108" s="456" t="inlineStr">
        <is>
          <t>VIP_TP_CODE</t>
        </is>
      </c>
      <c r="D108" s="456" t="inlineStr">
        <is>
          <t>1:1</t>
        </is>
      </c>
      <c r="E108" s="456" t="inlineStr">
        <is>
          <t>Interface Customer</t>
        </is>
      </c>
      <c r="F108" s="456" t="inlineStr">
        <is>
          <t>Vip Type Code</t>
        </is>
      </c>
      <c r="G108" s="456" t="inlineStr">
        <is>
          <t>INF_CST</t>
        </is>
      </c>
      <c r="H108" s="499" t="inlineStr">
        <is>
          <t>VIP_TP_CODE</t>
        </is>
      </c>
      <c r="I108" s="499" t="inlineStr">
        <is>
          <t>VARCHAR2</t>
        </is>
      </c>
      <c r="J108" s="456" t="n">
        <v>20</v>
      </c>
      <c r="K108" s="456" t="inlineStr">
        <is>
          <t>Phân hạng khách hàng vip</t>
        </is>
      </c>
      <c r="L108" s="452" t="n"/>
      <c r="N108" s="452" t="inlineStr">
        <is>
          <t>VIP_TP_CODE</t>
        </is>
      </c>
      <c r="O108" s="456">
        <f>"COMMENT ON COLUMN PG_GOLD."&amp;G108&amp;"."&amp;H108&amp;" IS '"&amp;K108&amp;"';"</f>
        <v/>
      </c>
      <c r="P108" s="414" t="inlineStr">
        <is>
          <t>Map 1:1 từ ORG_PRFL.VIP_TP_CODE (FFB_TYPE)</t>
        </is>
      </c>
    </row>
    <row r="109" ht="41.25" customHeight="1" s="335">
      <c r="A109" s="486" t="inlineStr">
        <is>
          <t>PG_SILVER</t>
        </is>
      </c>
      <c r="B109" s="486" t="inlineStr">
        <is>
          <t>ORG_PRFL</t>
        </is>
      </c>
      <c r="C109" s="415" t="inlineStr">
        <is>
          <t>VIP_EFF_DT</t>
        </is>
      </c>
      <c r="D109" s="415" t="inlineStr">
        <is>
          <t>1:1</t>
        </is>
      </c>
      <c r="E109" s="415" t="inlineStr">
        <is>
          <t>Interface Customer</t>
        </is>
      </c>
      <c r="F109" s="415" t="inlineStr">
        <is>
          <t>Vip Effective Date</t>
        </is>
      </c>
      <c r="G109" s="415" t="inlineStr">
        <is>
          <t>INF_CST</t>
        </is>
      </c>
      <c r="H109" s="463" t="inlineStr">
        <is>
          <t>VIP_EFF_DT</t>
        </is>
      </c>
      <c r="I109" s="501" t="inlineStr">
        <is>
          <t>DATE</t>
        </is>
      </c>
      <c r="J109" s="488" t="n"/>
      <c r="K109" s="415" t="inlineStr">
        <is>
          <t>Ngày hiệu lực khách hàng vip</t>
        </is>
      </c>
      <c r="N109" s="334" t="inlineStr">
        <is>
          <t>VIP_EFF_DT</t>
        </is>
      </c>
      <c r="O109" s="415">
        <f>"COMMENT ON COLUMN PG_GOLD."&amp;G109&amp;"."&amp;H109&amp;" IS '"&amp;K109&amp;"';"</f>
        <v/>
      </c>
      <c r="P109" s="414" t="inlineStr">
        <is>
          <t>Map 1:1 từ ORG_PRFL.VIP_EFF_DT (CU_EFF_DATE)</t>
        </is>
      </c>
    </row>
    <row r="110" ht="41.25" customHeight="1" s="335">
      <c r="A110" s="486" t="inlineStr">
        <is>
          <t>PG_SILVER</t>
        </is>
      </c>
      <c r="B110" s="486" t="inlineStr">
        <is>
          <t>CST</t>
        </is>
      </c>
      <c r="C110" s="415" t="inlineStr">
        <is>
          <t>EMPE_CODE</t>
        </is>
      </c>
      <c r="D110" s="415" t="inlineStr">
        <is>
          <t>1:1</t>
        </is>
      </c>
      <c r="E110" s="415" t="inlineStr">
        <is>
          <t>Interface Customer</t>
        </is>
      </c>
      <c r="F110" s="415" t="inlineStr">
        <is>
          <t>Employee Code</t>
        </is>
      </c>
      <c r="G110" s="415" t="inlineStr">
        <is>
          <t>INF_CST</t>
        </is>
      </c>
      <c r="H110" s="463" t="inlineStr">
        <is>
          <t>EMPE_CODE</t>
        </is>
      </c>
      <c r="I110" s="501" t="inlineStr">
        <is>
          <t>VARCHAR2</t>
        </is>
      </c>
      <c r="J110" s="488" t="n">
        <v>20</v>
      </c>
      <c r="K110" s="415" t="inlineStr">
        <is>
          <t>Mã nhân viên giới thiệu</t>
        </is>
      </c>
      <c r="N110" s="334" t="inlineStr">
        <is>
          <t>EMPE_CODE</t>
        </is>
      </c>
      <c r="O110" s="415">
        <f>"COMMENT ON COLUMN PG_GOLD."&amp;G110&amp;"."&amp;H110&amp;" IS '"&amp;K110&amp;"';"</f>
        <v/>
      </c>
      <c r="P110" s="414" t="inlineStr">
        <is>
          <t>Map 1:1 từ CST.EMPE_CODE (ACCOUNT_OFFICER)</t>
        </is>
      </c>
    </row>
    <row r="111" ht="41.25" customHeight="1" s="335">
      <c r="A111" s="486" t="inlineStr">
        <is>
          <t>PG_SILVER</t>
        </is>
      </c>
      <c r="B111" s="486" t="inlineStr">
        <is>
          <t>CST</t>
        </is>
      </c>
      <c r="C111" s="415" t="inlineStr">
        <is>
          <t>SHRT_NM</t>
        </is>
      </c>
      <c r="D111" s="415" t="inlineStr">
        <is>
          <t>1:1</t>
        </is>
      </c>
      <c r="E111" s="415" t="inlineStr">
        <is>
          <t>Interface Customer</t>
        </is>
      </c>
      <c r="F111" s="415" t="inlineStr">
        <is>
          <t>Short Name</t>
        </is>
      </c>
      <c r="G111" s="415" t="inlineStr">
        <is>
          <t>INF_CST</t>
        </is>
      </c>
      <c r="H111" s="463" t="inlineStr">
        <is>
          <t>SHRT_NM</t>
        </is>
      </c>
      <c r="I111" s="463" t="inlineStr">
        <is>
          <t>VARCHAR2</t>
        </is>
      </c>
      <c r="J111" s="415" t="n">
        <v>255</v>
      </c>
      <c r="K111" s="415" t="inlineStr">
        <is>
          <t>Tên viết tắt khách hàng</t>
        </is>
      </c>
      <c r="L111" s="334" t="inlineStr">
        <is>
          <t>x</t>
        </is>
      </c>
      <c r="M111" s="334" t="inlineStr">
        <is>
          <t>x</t>
        </is>
      </c>
      <c r="N111" s="334" t="inlineStr">
        <is>
          <t>SHRT_NM</t>
        </is>
      </c>
      <c r="O111" s="415">
        <f>"COMMENT ON COLUMN PG_GOLD."&amp;G111&amp;"."&amp;H111&amp;" IS '"&amp;K111&amp;"';"</f>
        <v/>
      </c>
      <c r="P111" s="414" t="inlineStr">
        <is>
          <t>Khớp cột đích `SHRT_NM` và kiểu `VARCHAR2` (trước khi xóa dòng dư MST_DN bị lệch thành `SHRT_NM` / `VARCHAR2`).</t>
        </is>
      </c>
    </row>
    <row r="112" ht="41.25" customHeight="1" s="335">
      <c r="A112" s="486" t="inlineStr">
        <is>
          <t>PG_SILVER</t>
        </is>
      </c>
      <c r="B112" s="486" t="inlineStr">
        <is>
          <t>CST</t>
        </is>
      </c>
      <c r="C112" s="415" t="inlineStr">
        <is>
          <t>CST_NM</t>
        </is>
      </c>
      <c r="D112" s="415" t="inlineStr">
        <is>
          <t>1:1</t>
        </is>
      </c>
      <c r="E112" s="415" t="inlineStr">
        <is>
          <t>Interface Customer</t>
        </is>
      </c>
      <c r="F112" s="415" t="inlineStr">
        <is>
          <t>Customer Name</t>
        </is>
      </c>
      <c r="G112" s="415" t="inlineStr">
        <is>
          <t>INF_CST</t>
        </is>
      </c>
      <c r="H112" s="463" t="inlineStr">
        <is>
          <t>CST_NM</t>
        </is>
      </c>
      <c r="I112" s="501" t="inlineStr">
        <is>
          <t>VARCHAR2</t>
        </is>
      </c>
      <c r="J112" s="488" t="n">
        <v>255</v>
      </c>
      <c r="K112" s="415" t="inlineStr">
        <is>
          <t>Tên khách hàng đầy đủ</t>
        </is>
      </c>
      <c r="L112" s="334" t="inlineStr">
        <is>
          <t>x</t>
        </is>
      </c>
      <c r="M112" s="334" t="inlineStr">
        <is>
          <t>x</t>
        </is>
      </c>
      <c r="N112" s="334" t="inlineStr">
        <is>
          <t>CST_NM</t>
        </is>
      </c>
      <c r="O112" s="415">
        <f>"COMMENT ON COLUMN PG_GOLD."&amp;G112&amp;"."&amp;H112&amp;" IS '"&amp;K112&amp;"';"</f>
        <v/>
      </c>
      <c r="P112" s="414" t="inlineStr">
        <is>
          <t>Khớp cột đích `CST_NM` và kiểu `VARCHAR2` (trước khi xóa dòng dư MST_DN bị lệch thành `CST_NM` / `VARCHAR2`).</t>
        </is>
      </c>
    </row>
    <row r="113" ht="41.25" customHeight="1" s="335">
      <c r="A113" s="486" t="inlineStr">
        <is>
          <t>PG_SILVER</t>
        </is>
      </c>
      <c r="B113" s="486" t="inlineStr">
        <is>
          <t>CST</t>
        </is>
      </c>
      <c r="C113" s="415" t="inlineStr">
        <is>
          <t>CST_CODE</t>
        </is>
      </c>
      <c r="D113" s="415" t="inlineStr">
        <is>
          <t>${ETL_DATE}</t>
        </is>
      </c>
      <c r="E113" s="415" t="inlineStr">
        <is>
          <t>Interface Customer</t>
        </is>
      </c>
      <c r="F113" s="415" t="inlineStr">
        <is>
          <t>Calendar Date</t>
        </is>
      </c>
      <c r="G113" s="415" t="inlineStr">
        <is>
          <t>INF_CST</t>
        </is>
      </c>
      <c r="H113" s="463" t="inlineStr">
        <is>
          <t>CDR_DT</t>
        </is>
      </c>
      <c r="I113" s="473" t="inlineStr">
        <is>
          <t>DATE</t>
        </is>
      </c>
      <c r="J113" s="495" t="n"/>
      <c r="K113" s="415" t="inlineStr">
        <is>
          <t>Ngày dữ liệu</t>
        </is>
      </c>
      <c r="N113" s="334" t="inlineStr">
        <is>
          <t>CDR_DT</t>
        </is>
      </c>
      <c r="O113" s="415">
        <f>"COMMENT ON COLUMN PG_GOLD."&amp;G113&amp;"."&amp;H113&amp;" IS '"&amp;K113&amp;"';"</f>
        <v/>
      </c>
      <c r="P113" s="414" t="inlineStr">
        <is>
          <t>Khớp cột đích `CDR_DT` và kiểu `DATE` (trước khi xóa dòng dư MST_DN bị lệch thành `CDR_DT` / `VARCHAR2`).</t>
        </is>
      </c>
    </row>
    <row r="114" ht="41.25" customHeight="1" s="335">
      <c r="A114" s="486" t="inlineStr">
        <is>
          <t>PG_SILVER</t>
        </is>
      </c>
      <c r="B114" s="486" t="inlineStr">
        <is>
          <t>CST</t>
        </is>
      </c>
      <c r="C114" s="415" t="inlineStr">
        <is>
          <t>SCTR_CODE</t>
        </is>
      </c>
      <c r="D114" s="415" t="inlineStr">
        <is>
          <t>1:1</t>
        </is>
      </c>
      <c r="E114" s="415" t="inlineStr">
        <is>
          <t>Interface Customer</t>
        </is>
      </c>
      <c r="F114" s="415" t="inlineStr">
        <is>
          <t>Sector Code</t>
        </is>
      </c>
      <c r="G114" s="415" t="inlineStr">
        <is>
          <t>INF_CST</t>
        </is>
      </c>
      <c r="H114" s="463" t="inlineStr">
        <is>
          <t>SCTR_CODE</t>
        </is>
      </c>
      <c r="I114" s="473" t="inlineStr">
        <is>
          <t>VARCHAR2</t>
        </is>
      </c>
      <c r="J114" s="495" t="n">
        <v>40</v>
      </c>
      <c r="K114" s="415" t="inlineStr">
        <is>
          <t>Mã phân loại khách hàng</t>
        </is>
      </c>
      <c r="N114" s="334" t="inlineStr">
        <is>
          <t>SCTR_CODE</t>
        </is>
      </c>
      <c r="O114" s="415">
        <f>"COMMENT ON COLUMN PG_GOLD."&amp;G114&amp;"."&amp;H114&amp;" IS '"&amp;K114&amp;"';"</f>
        <v/>
      </c>
      <c r="P114" s="414" t="inlineStr">
        <is>
          <t>Khớp cột đích `SCTR_CODE` và kiểu `VARCHAR2` (trước khi xóa dòng dư MST_DN bị lệch thành `SCTR_CODE` / `DATE`).</t>
        </is>
      </c>
    </row>
    <row r="115" ht="41.25" customHeight="1" s="335">
      <c r="A115" s="486" t="inlineStr">
        <is>
          <t>PG_SILVER</t>
        </is>
      </c>
      <c r="B115" s="486" t="inlineStr">
        <is>
          <t>CST</t>
        </is>
      </c>
      <c r="C115" s="415" t="inlineStr">
        <is>
          <t>CST_GRP_CODE</t>
        </is>
      </c>
      <c r="D115" s="415" t="inlineStr">
        <is>
          <t>1:1</t>
        </is>
      </c>
      <c r="E115" s="415" t="inlineStr">
        <is>
          <t>Interface Customer</t>
        </is>
      </c>
      <c r="F115" s="415" t="inlineStr">
        <is>
          <t>Customer Group Code</t>
        </is>
      </c>
      <c r="G115" s="415" t="inlineStr">
        <is>
          <t>INF_CST</t>
        </is>
      </c>
      <c r="H115" s="463" t="inlineStr">
        <is>
          <t>CST_GRP_CODE</t>
        </is>
      </c>
      <c r="I115" s="463" t="inlineStr">
        <is>
          <t>VARCHAR2</t>
        </is>
      </c>
      <c r="J115" s="415" t="n">
        <v>20</v>
      </c>
      <c r="K115" s="415" t="inlineStr">
        <is>
          <t>Khối quản lý khách hàng</t>
        </is>
      </c>
      <c r="N115" s="334" t="inlineStr">
        <is>
          <t>CST_GRP_CODE</t>
        </is>
      </c>
      <c r="O115" s="415">
        <f>"COMMENT ON COLUMN PG_GOLD."&amp;G115&amp;"."&amp;H115&amp;" IS '"&amp;K115&amp;"';"</f>
        <v/>
      </c>
      <c r="P115" s="414" t="inlineStr">
        <is>
          <t>Khớp cột đích `CST_GRP_CODE` và kiểu `VARCHAR2` (trước khi xóa dòng dư MST_DN bị lệch thành `CST_GRP_CODE` / `VARCHAR2`).</t>
        </is>
      </c>
    </row>
    <row r="116" ht="41.25" customHeight="1" s="335">
      <c r="A116" s="486" t="inlineStr">
        <is>
          <t>PG_SILVER</t>
        </is>
      </c>
      <c r="B116" s="486" t="inlineStr">
        <is>
          <t>CST</t>
        </is>
      </c>
      <c r="C116" s="415" t="inlineStr">
        <is>
          <t>MAKER_OFCR_CODE</t>
        </is>
      </c>
      <c r="D116" s="415" t="inlineStr">
        <is>
          <t>1:1</t>
        </is>
      </c>
      <c r="E116" s="415" t="inlineStr">
        <is>
          <t>Interface Customer</t>
        </is>
      </c>
      <c r="F116" s="415" t="inlineStr">
        <is>
          <t>Maker Officer</t>
        </is>
      </c>
      <c r="G116" s="415" t="inlineStr">
        <is>
          <t>INF_CST</t>
        </is>
      </c>
      <c r="H116" s="463" t="inlineStr">
        <is>
          <t>MAKER_OFCR</t>
        </is>
      </c>
      <c r="I116" s="473" t="inlineStr">
        <is>
          <t>VARCHAR2</t>
        </is>
      </c>
      <c r="J116" s="495" t="n">
        <v>20</v>
      </c>
      <c r="K116" s="415" t="inlineStr">
        <is>
          <t>Mã nhân viên hạch toán</t>
        </is>
      </c>
      <c r="N116" s="334" t="inlineStr">
        <is>
          <t>MAKER_OFCR</t>
        </is>
      </c>
      <c r="O116" s="415">
        <f>"COMMENT ON COLUMN PG_GOLD."&amp;G116&amp;"."&amp;H116&amp;" IS '"&amp;K116&amp;"';"</f>
        <v/>
      </c>
      <c r="P116" s="414" t="inlineStr">
        <is>
          <t>Khớp cột đích `MAKER_OFCR` và kiểu `VARCHAR2` (trước khi xóa dòng dư MST_DN bị lệch thành `MAKER_OFCR` / `VARCHAR2`).</t>
        </is>
      </c>
    </row>
    <row r="117" ht="41.25" customHeight="1" s="335">
      <c r="A117" s="486" t="inlineStr">
        <is>
          <t>PG_SILVER</t>
        </is>
      </c>
      <c r="B117" s="486" t="inlineStr">
        <is>
          <t>IP_PST_ADR</t>
        </is>
      </c>
      <c r="C117" s="415" t="inlineStr">
        <is>
          <t>CTY_NM</t>
        </is>
      </c>
      <c r="D117" s="415" t="inlineStr">
        <is>
          <t>d1.CTY_NM</t>
        </is>
      </c>
      <c r="E117" s="415" t="inlineStr">
        <is>
          <t>Interface Customer</t>
        </is>
      </c>
      <c r="F117" s="415" t="inlineStr">
        <is>
          <t>Country Name</t>
        </is>
      </c>
      <c r="G117" s="415" t="inlineStr">
        <is>
          <t>INF_CST</t>
        </is>
      </c>
      <c r="H117" s="463" t="inlineStr">
        <is>
          <t>CTY_NM</t>
        </is>
      </c>
      <c r="I117" s="473" t="inlineStr">
        <is>
          <t>VARCHAR2</t>
        </is>
      </c>
      <c r="J117" s="495" t="n">
        <v>100</v>
      </c>
      <c r="K117" s="415" t="inlineStr">
        <is>
          <t>Quốc gia cư trú hiện tại</t>
        </is>
      </c>
      <c r="N117" s="334" t="inlineStr">
        <is>
          <t>CTY_NM</t>
        </is>
      </c>
      <c r="O117" s="415">
        <f>"COMMENT ON COLUMN PG_GOLD."&amp;G117&amp;"."&amp;H117&amp;" IS '"&amp;K117&amp;"';"</f>
        <v/>
      </c>
      <c r="P117" s="414" t="inlineStr">
        <is>
          <t>Khớp cột đích `CTY_NM` và kiểu `VARCHAR2` (trước khi xóa dòng dư MST_DN bị lệch thành `CTY_NM` / `VARCHAR2`).</t>
        </is>
      </c>
    </row>
    <row r="118" ht="41.25" customHeight="1" s="335">
      <c r="A118" s="486" t="inlineStr">
        <is>
          <t>PG_SILVER</t>
        </is>
      </c>
      <c r="B118" s="415" t="inlineStr">
        <is>
          <t>ORG_PRFL</t>
        </is>
      </c>
      <c r="C118" s="415" t="inlineStr">
        <is>
          <t>CST_ST_CODE</t>
        </is>
      </c>
      <c r="D118" s="415" t="inlineStr">
        <is>
          <t>1:1</t>
        </is>
      </c>
      <c r="E118" s="415" t="inlineStr">
        <is>
          <t>Interface Customer</t>
        </is>
      </c>
      <c r="F118" s="415" t="inlineStr">
        <is>
          <t>Customer Status Code</t>
        </is>
      </c>
      <c r="G118" s="415" t="inlineStr">
        <is>
          <t>INF_CST</t>
        </is>
      </c>
      <c r="H118" s="503" t="inlineStr">
        <is>
          <t>CST_ST_CODE</t>
        </is>
      </c>
      <c r="I118" s="473" t="inlineStr">
        <is>
          <t>VARCHAR2</t>
        </is>
      </c>
      <c r="J118" s="495" t="n">
        <v>20</v>
      </c>
      <c r="K118" s="415" t="inlineStr">
        <is>
          <t>Trạng thái khách hàng</t>
        </is>
      </c>
      <c r="N118" s="334" t="inlineStr">
        <is>
          <t>CST_ST_CODE</t>
        </is>
      </c>
      <c r="O118" s="415">
        <f>"COMMENT ON COLUMN PG_GOLD."&amp;G118&amp;"."&amp;H118&amp;" IS '"&amp;K118&amp;"';"</f>
        <v/>
      </c>
      <c r="P118" s="414" t="inlineStr">
        <is>
          <t>Khớp cột đích `CST_ST_CODE` và kiểu `VARCHAR2` (trước khi xóa dòng dư MST_DN bị lệch thành `CST_ST_CODE` / `VARCHAR2`).</t>
        </is>
      </c>
    </row>
    <row r="119" ht="41.25" customHeight="1" s="335">
      <c r="A119" s="486" t="inlineStr">
        <is>
          <t>PG_SILVER</t>
        </is>
      </c>
      <c r="B119" s="415" t="inlineStr">
        <is>
          <t>IP_PST_ADR</t>
        </is>
      </c>
      <c r="C119" s="415" t="inlineStr">
        <is>
          <t>CTY_NM</t>
        </is>
      </c>
      <c r="D119" s="415" t="inlineStr">
        <is>
          <t>d2.CTY_NM</t>
        </is>
      </c>
      <c r="E119" s="415" t="inlineStr">
        <is>
          <t>Interface Customer</t>
        </is>
      </c>
      <c r="F119" s="415" t="inlineStr">
        <is>
          <t>Country Name 2</t>
        </is>
      </c>
      <c r="G119" s="415" t="inlineStr">
        <is>
          <t>INF_CST</t>
        </is>
      </c>
      <c r="H119" s="463" t="inlineStr">
        <is>
          <t>CTY_NM_2</t>
        </is>
      </c>
      <c r="I119" s="473" t="inlineStr">
        <is>
          <t>VARCHAR2</t>
        </is>
      </c>
      <c r="J119" s="495" t="n">
        <v>100</v>
      </c>
      <c r="K119" s="415" t="inlineStr">
        <is>
          <t>Quốc gia thường trú</t>
        </is>
      </c>
      <c r="N119" s="334" t="inlineStr">
        <is>
          <t>CTY_NM_2</t>
        </is>
      </c>
      <c r="O119" s="415">
        <f>"COMMENT ON COLUMN PG_GOLD."&amp;G119&amp;"."&amp;H119&amp;" IS '"&amp;K119&amp;"';"</f>
        <v/>
      </c>
      <c r="P119" s="414" t="inlineStr">
        <is>
          <t>Khớp cột đích `CTY_NM_2` và kiểu `VARCHAR2` (trước khi xóa dòng dư MST_DN bị lệch thành `CTY_NM` / `VARCHAR2`).</t>
        </is>
      </c>
    </row>
    <row r="120" ht="41.25" customHeight="1" s="335">
      <c r="A120" s="486" t="inlineStr">
        <is>
          <t>PG_SILVER</t>
        </is>
      </c>
      <c r="B120" s="415" t="inlineStr">
        <is>
          <t>IP_PST_ADR</t>
        </is>
      </c>
      <c r="C120" s="415" t="inlineStr">
        <is>
          <t>CST_CODE</t>
        </is>
      </c>
      <c r="D120" s="415" t="inlineStr">
        <is>
          <t>NULL</t>
        </is>
      </c>
      <c r="E120" s="415" t="inlineStr">
        <is>
          <t>Interface Customer</t>
        </is>
      </c>
      <c r="F120" s="415" t="inlineStr">
        <is>
          <t>Country Of Citizenship Code</t>
        </is>
      </c>
      <c r="G120" s="415" t="inlineStr">
        <is>
          <t>INF_CST</t>
        </is>
      </c>
      <c r="H120" s="463" t="inlineStr">
        <is>
          <t>CTY_OF_CTZN_CODE</t>
        </is>
      </c>
      <c r="I120" s="473" t="inlineStr">
        <is>
          <t>VARCHAR2</t>
        </is>
      </c>
      <c r="J120" s="495" t="n">
        <v>40</v>
      </c>
      <c r="K120" s="415" t="inlineStr">
        <is>
          <t>Quốc tịch</t>
        </is>
      </c>
      <c r="N120" s="334" t="inlineStr">
        <is>
          <t>CTY_OF_CTZN_CODE</t>
        </is>
      </c>
      <c r="O120" s="415">
        <f>"COMMENT ON COLUMN PG_GOLD."&amp;G120&amp;"."&amp;H120&amp;" IS '"&amp;K120&amp;"';"</f>
        <v/>
      </c>
      <c r="P120" s="414" t="inlineStr">
        <is>
          <t>Khớp cột đích `CTY_OF_CTZN_CODE` và kiểu `VARCHAR2` (trước khi xóa dòng dư MST_DN bị lệch thành `CTY_OF_CTZN_CODE` / `VARCHAR2`).</t>
        </is>
      </c>
    </row>
    <row r="121" ht="41.25" customHeight="1" s="335">
      <c r="A121" s="486" t="inlineStr">
        <is>
          <t>PG_SILVER</t>
        </is>
      </c>
      <c r="B121" s="486" t="inlineStr">
        <is>
          <t>ORG_PRFL</t>
        </is>
      </c>
      <c r="C121" s="415" t="inlineStr">
        <is>
          <t>CST_CODE</t>
        </is>
      </c>
      <c r="D121" s="415" t="inlineStr">
        <is>
          <t>NULL</t>
        </is>
      </c>
      <c r="E121" s="415" t="inlineStr">
        <is>
          <t>Interface Customer</t>
        </is>
      </c>
      <c r="F121" s="415" t="inlineStr">
        <is>
          <t>Occupation Code</t>
        </is>
      </c>
      <c r="G121" s="415" t="inlineStr">
        <is>
          <t>INF_CST</t>
        </is>
      </c>
      <c r="H121" s="463" t="inlineStr">
        <is>
          <t>OCP_CODE</t>
        </is>
      </c>
      <c r="I121" s="473" t="inlineStr">
        <is>
          <t>VARCHAR2</t>
        </is>
      </c>
      <c r="J121" s="495" t="n">
        <v>100</v>
      </c>
      <c r="K121" s="415" t="inlineStr">
        <is>
          <t>Nghề nghiệp khách hàng</t>
        </is>
      </c>
      <c r="N121" s="334" t="inlineStr">
        <is>
          <t>OCP_CODE</t>
        </is>
      </c>
      <c r="O121" s="415">
        <f>"COMMENT ON COLUMN PG_GOLD."&amp;G121&amp;"."&amp;H121&amp;" IS '"&amp;K121&amp;"';"</f>
        <v/>
      </c>
      <c r="P121" s="414" t="inlineStr">
        <is>
          <t>Khớp cột đích `OCP_CODE` và kiểu `VARCHAR2` (trước khi xóa dòng dư MST_DN bị lệch thành `OCP_CODE` / `VARCHAR2`).</t>
        </is>
      </c>
    </row>
    <row r="122" ht="41.25" customHeight="1" s="335">
      <c r="A122" s="486" t="inlineStr">
        <is>
          <t>PG_SILVER</t>
        </is>
      </c>
      <c r="B122" s="433" t="inlineStr">
        <is>
          <t>IP_ELC_ADR</t>
        </is>
      </c>
      <c r="C122" s="415" t="inlineStr">
        <is>
          <t>ELC_ADR_VAL</t>
        </is>
      </c>
      <c r="D122" s="415" t="inlineStr">
        <is>
          <t>c1.ELC_ADR_VAL</t>
        </is>
      </c>
      <c r="E122" s="415" t="inlineStr">
        <is>
          <t>Interface Customer</t>
        </is>
      </c>
      <c r="F122" s="497" t="inlineStr">
        <is>
          <t>Email Adress</t>
        </is>
      </c>
      <c r="G122" s="415" t="inlineStr">
        <is>
          <t>INF_CST</t>
        </is>
      </c>
      <c r="H122" s="463" t="inlineStr">
        <is>
          <t>EMAIL_ADRESS</t>
        </is>
      </c>
      <c r="I122" s="473" t="inlineStr">
        <is>
          <t>VARCHAR2</t>
        </is>
      </c>
      <c r="J122" s="495" t="n">
        <v>100</v>
      </c>
      <c r="K122" s="415" t="inlineStr">
        <is>
          <t>Địa chỉ email</t>
        </is>
      </c>
      <c r="N122" s="334" t="inlineStr">
        <is>
          <t>EMAIL_ADRESS</t>
        </is>
      </c>
      <c r="O122" s="415">
        <f>"COMMENT ON COLUMN PG_GOLD."&amp;G122&amp;"."&amp;H122&amp;" IS '"&amp;K122&amp;"';"</f>
        <v/>
      </c>
      <c r="P122" s="414" t="inlineStr">
        <is>
          <t>Khớp cột đích `EMAIL_ADRESS` và kiểu `VARCHAR2` (trước khi xóa dòng dư MST_DN bị lệch thành `EMAIL_ADRESS` / `VARCHAR2`).</t>
        </is>
      </c>
    </row>
    <row r="123" ht="41.25" customHeight="1" s="335">
      <c r="A123" s="486" t="inlineStr">
        <is>
          <t>PG_SILVER</t>
        </is>
      </c>
      <c r="B123" s="486" t="inlineStr">
        <is>
          <t>ORG_PRFL</t>
        </is>
      </c>
      <c r="C123" s="415" t="inlineStr">
        <is>
          <t>VIP_F</t>
        </is>
      </c>
      <c r="D123" s="415" t="inlineStr">
        <is>
          <t>1:1</t>
        </is>
      </c>
      <c r="E123" s="415" t="inlineStr">
        <is>
          <t>Interface Customer</t>
        </is>
      </c>
      <c r="F123" s="415" t="inlineStr">
        <is>
          <t>VIP Flag</t>
        </is>
      </c>
      <c r="G123" s="415" t="inlineStr">
        <is>
          <t>INF_CST</t>
        </is>
      </c>
      <c r="H123" s="463" t="inlineStr">
        <is>
          <t>VIP_F</t>
        </is>
      </c>
      <c r="I123" s="473" t="inlineStr">
        <is>
          <t>VARCHAR2</t>
        </is>
      </c>
      <c r="J123" s="495" t="n">
        <v>20</v>
      </c>
      <c r="K123" s="415" t="inlineStr">
        <is>
          <t>Đánh dấu khách hàng vip</t>
        </is>
      </c>
      <c r="N123" s="334" t="inlineStr">
        <is>
          <t>VIP_F</t>
        </is>
      </c>
      <c r="O123" s="415">
        <f>"COMMENT ON COLUMN PG_GOLD."&amp;G123&amp;"."&amp;H123&amp;" IS '"&amp;K123&amp;"';"</f>
        <v/>
      </c>
      <c r="P123" s="414" t="inlineStr">
        <is>
          <t>Khớp cột đích `VIP_F` và kiểu `VARCHAR2` (trước khi xóa dòng dư MST_DN bị lệch thành `VIP_F` / `VARCHAR2`).</t>
        </is>
      </c>
    </row>
    <row r="124" ht="41.25" customHeight="1" s="335">
      <c r="A124" s="486" t="inlineStr">
        <is>
          <t>PG_SILVER</t>
        </is>
      </c>
      <c r="B124" s="486" t="inlineStr">
        <is>
          <t>ORG_PRFL</t>
        </is>
      </c>
      <c r="C124" s="415" t="inlineStr">
        <is>
          <t>KYC_CNL_CODE</t>
        </is>
      </c>
      <c r="D124" s="415" t="inlineStr">
        <is>
          <t>1:1</t>
        </is>
      </c>
      <c r="E124" s="415" t="inlineStr">
        <is>
          <t>Interface Customer</t>
        </is>
      </c>
      <c r="F124" s="415" t="inlineStr">
        <is>
          <t>KYC Channel Code</t>
        </is>
      </c>
      <c r="G124" s="415" t="inlineStr">
        <is>
          <t>INF_CST</t>
        </is>
      </c>
      <c r="H124" s="463" t="inlineStr">
        <is>
          <t>KYC_CNL_CODE</t>
        </is>
      </c>
      <c r="I124" s="473" t="inlineStr">
        <is>
          <t>VARCHAR2</t>
        </is>
      </c>
      <c r="J124" s="495" t="n">
        <v>20</v>
      </c>
      <c r="K124" s="415" t="inlineStr">
        <is>
          <t>Kênh thực hiện KYC</t>
        </is>
      </c>
      <c r="N124" s="334" t="inlineStr">
        <is>
          <t>KYC_CNL_CODE</t>
        </is>
      </c>
      <c r="O124" s="415">
        <f>"COMMENT ON COLUMN PG_GOLD."&amp;G124&amp;"."&amp;H124&amp;" IS '"&amp;K124&amp;"';"</f>
        <v/>
      </c>
      <c r="P124" s="414" t="inlineStr">
        <is>
          <t>Map 1:1 từ ORG_PRFL.KYC_CNL_CODE (KYC_CHANNEL)</t>
        </is>
      </c>
    </row>
    <row r="125" ht="41.25" customHeight="1" s="335">
      <c r="A125" s="486" t="inlineStr">
        <is>
          <t>PG_SILVER</t>
        </is>
      </c>
      <c r="B125" s="486" t="inlineStr">
        <is>
          <t>ORG_PRFL</t>
        </is>
      </c>
      <c r="C125" s="415" t="inlineStr">
        <is>
          <t>CST_LCS_CODE</t>
        </is>
      </c>
      <c r="D125" s="415" t="inlineStr">
        <is>
          <t>1:1</t>
        </is>
      </c>
      <c r="E125" s="415" t="inlineStr">
        <is>
          <t>Interface Customer</t>
        </is>
      </c>
      <c r="F125" s="415" t="inlineStr">
        <is>
          <t>Customer Life Cycle Status Code</t>
        </is>
      </c>
      <c r="G125" s="415" t="inlineStr">
        <is>
          <t>INF_CST</t>
        </is>
      </c>
      <c r="H125" s="463" t="inlineStr">
        <is>
          <t>CST_LCS_CODE</t>
        </is>
      </c>
      <c r="I125" s="473" t="inlineStr">
        <is>
          <t>VARCHAR2</t>
        </is>
      </c>
      <c r="J125" s="495" t="n">
        <v>20</v>
      </c>
      <c r="K125" s="415" t="inlineStr">
        <is>
          <t>Trạng thái hoạt động</t>
        </is>
      </c>
      <c r="N125" s="334" t="inlineStr">
        <is>
          <t>CST_LCS_CODE</t>
        </is>
      </c>
      <c r="O125" s="415">
        <f>"COMMENT ON COLUMN PG_GOLD."&amp;G125&amp;"."&amp;H125&amp;" IS '"&amp;K125&amp;"';"</f>
        <v/>
      </c>
      <c r="P125" s="414" t="inlineStr">
        <is>
          <t>Khớp cột đích `CST_LCS_CODE` và kiểu `VARCHAR2` (trước khi xóa dòng dư MST_DN bị lệch thành `CST_LCS_CODE` / `VARCHAR2`).</t>
        </is>
      </c>
    </row>
    <row r="126" ht="41.25" customHeight="1" s="335">
      <c r="A126" s="486" t="inlineStr">
        <is>
          <t>PG_SILVER</t>
        </is>
      </c>
      <c r="B126" s="486" t="inlineStr">
        <is>
          <t>IP_PST_ADR</t>
        </is>
      </c>
      <c r="C126" s="415" t="inlineStr">
        <is>
          <t>STR_NM</t>
        </is>
      </c>
      <c r="D126" s="415" t="inlineStr">
        <is>
          <t>d1.STR_NM</t>
        </is>
      </c>
      <c r="E126" s="415" t="inlineStr">
        <is>
          <t>Interface Customer</t>
        </is>
      </c>
      <c r="F126" s="415" t="inlineStr">
        <is>
          <t>Street Name</t>
        </is>
      </c>
      <c r="G126" s="415" t="inlineStr">
        <is>
          <t>INF_CST</t>
        </is>
      </c>
      <c r="H126" s="463" t="inlineStr">
        <is>
          <t>STR_NM</t>
        </is>
      </c>
      <c r="I126" s="473" t="inlineStr">
        <is>
          <t>VARCHAR2</t>
        </is>
      </c>
      <c r="J126" s="495" t="n">
        <v>100</v>
      </c>
      <c r="K126" s="415" t="inlineStr">
        <is>
          <t>Tên đường đầy đủ theo địa chỉ</t>
        </is>
      </c>
      <c r="N126" s="334" t="inlineStr">
        <is>
          <t>STR_NM</t>
        </is>
      </c>
      <c r="O126" s="415">
        <f>"COMMENT ON COLUMN PG_GOLD."&amp;G126&amp;"."&amp;H126&amp;" IS '"&amp;K126&amp;"';"</f>
        <v/>
      </c>
      <c r="P126" s="414" t="inlineStr">
        <is>
          <t>Khớp cột đích `STR_NM` và kiểu `VARCHAR2` (trước khi xóa dòng dư MST_DN bị lệch thành `STR_NM` / `VARCHAR2`).</t>
        </is>
      </c>
    </row>
    <row r="127" ht="41.25" customHeight="1" s="335">
      <c r="A127" s="486" t="inlineStr">
        <is>
          <t>PG_SILVER</t>
        </is>
      </c>
      <c r="B127" s="415" t="inlineStr">
        <is>
          <t>CST</t>
        </is>
      </c>
      <c r="C127" s="415" t="inlineStr">
        <is>
          <t>STR_ADDR</t>
        </is>
      </c>
      <c r="D127" s="415" t="inlineStr">
        <is>
          <t>1:1</t>
        </is>
      </c>
      <c r="E127" s="415" t="inlineStr">
        <is>
          <t>Interface Customer</t>
        </is>
      </c>
      <c r="F127" s="415" t="inlineStr">
        <is>
          <t>Street Address Raw</t>
        </is>
      </c>
      <c r="G127" s="415" t="inlineStr">
        <is>
          <t>INF_CST</t>
        </is>
      </c>
      <c r="H127" s="463" t="inlineStr">
        <is>
          <t>STR_ADDR</t>
        </is>
      </c>
      <c r="I127" s="473" t="inlineStr">
        <is>
          <t>VARCHAR2</t>
        </is>
      </c>
      <c r="J127" s="495" t="n">
        <v>100</v>
      </c>
      <c r="K127" s="415" t="inlineStr">
        <is>
          <t>STREET</t>
        </is>
      </c>
      <c r="N127" s="334" t="inlineStr">
        <is>
          <t>STR_ADDR</t>
        </is>
      </c>
      <c r="O127" s="415">
        <f>"COMMENT ON COLUMN PG_GOLD."&amp;G127&amp;"."&amp;H127&amp;" IS '"&amp;K127&amp;"';"</f>
        <v/>
      </c>
      <c r="P127" s="414" t="inlineStr">
        <is>
          <t>Map 1:1 từ CST.STR_ADDR (STREET)</t>
        </is>
      </c>
    </row>
    <row r="128" ht="41.25" customHeight="1" s="335">
      <c r="A128" s="490" t="inlineStr">
        <is>
          <t>PG_SILVER</t>
        </is>
      </c>
      <c r="B128" s="490" t="inlineStr">
        <is>
          <t>CST</t>
        </is>
      </c>
      <c r="C128" s="456" t="inlineStr">
        <is>
          <t>TRGT_CODE</t>
        </is>
      </c>
      <c r="D128" s="456" t="inlineStr">
        <is>
          <t>1:1</t>
        </is>
      </c>
      <c r="E128" s="456" t="inlineStr">
        <is>
          <t>Interface Customer</t>
        </is>
      </c>
      <c r="F128" s="456" t="inlineStr">
        <is>
          <t>Target Segment Code</t>
        </is>
      </c>
      <c r="G128" s="456" t="inlineStr">
        <is>
          <t>INF_CST</t>
        </is>
      </c>
      <c r="H128" s="499" t="inlineStr">
        <is>
          <t>TRGT_CODE</t>
        </is>
      </c>
      <c r="I128" s="504" t="inlineStr">
        <is>
          <t>VARCHAR2</t>
        </is>
      </c>
      <c r="J128" s="494" t="n">
        <v>20</v>
      </c>
      <c r="K128" s="456" t="inlineStr">
        <is>
          <t>TARGET</t>
        </is>
      </c>
      <c r="L128" s="452" t="n"/>
      <c r="N128" s="452" t="inlineStr">
        <is>
          <t>TRGT_CODE</t>
        </is>
      </c>
      <c r="O128" s="456">
        <f>"COMMENT ON COLUMN PG_GOLD."&amp;G128&amp;"."&amp;H128&amp;" IS '"&amp;K128&amp;"';"</f>
        <v/>
      </c>
      <c r="P128" s="414" t="inlineStr">
        <is>
          <t>Map 1:1 từ CST.TRGT_CODE (TARGET)</t>
        </is>
      </c>
    </row>
    <row r="129" ht="41.25" customHeight="1" s="335">
      <c r="A129" s="486" t="inlineStr">
        <is>
          <t>PG_SILVER</t>
        </is>
      </c>
      <c r="B129" s="486" t="inlineStr">
        <is>
          <t>IP_ALT_IDENTN</t>
        </is>
      </c>
      <c r="C129" s="415" t="inlineStr">
        <is>
          <t>IDENTN_TP_CODE</t>
        </is>
      </c>
      <c r="D129" s="415" t="inlineStr">
        <is>
          <t>1:1</t>
        </is>
      </c>
      <c r="E129" s="415" t="inlineStr">
        <is>
          <t>Interface Customer</t>
        </is>
      </c>
      <c r="F129" s="456" t="inlineStr">
        <is>
          <t>Identification Type Code</t>
        </is>
      </c>
      <c r="G129" s="456" t="inlineStr">
        <is>
          <t>INF_CST</t>
        </is>
      </c>
      <c r="H129" s="499" t="inlineStr">
        <is>
          <t>IDENTN_TP_CODE</t>
        </is>
      </c>
      <c r="I129" s="504" t="inlineStr">
        <is>
          <t>VARCHAR2</t>
        </is>
      </c>
      <c r="J129" s="494" t="n">
        <v>20</v>
      </c>
      <c r="K129" s="415" t="inlineStr">
        <is>
          <t>Loại căn cước</t>
        </is>
      </c>
      <c r="N129" s="334" t="inlineStr">
        <is>
          <t>IDENTN_TP_CODE</t>
        </is>
      </c>
      <c r="O129" s="415">
        <f>"COMMENT ON COLUMN PG_GOLD."&amp;G129&amp;"."&amp;H129&amp;" IS '"&amp;K129&amp;"';"</f>
        <v/>
      </c>
      <c r="P129" s="414" t="inlineStr">
        <is>
          <t>Khớp cột đích `IDENTN_TP_CODE` và kiểu `VARCHAR2` (trước khi xóa dòng dư MST_DN bị lệch thành `IDENTN_TP_CODE` / `VARCHAR2`).</t>
        </is>
      </c>
    </row>
    <row r="130" ht="41.25" customHeight="1" s="335">
      <c r="A130" s="486" t="inlineStr">
        <is>
          <t>PG_SILVER</t>
        </is>
      </c>
      <c r="B130" s="415" t="inlineStr">
        <is>
          <t>ORG_PRFL</t>
        </is>
      </c>
      <c r="C130" s="415" t="inlineStr">
        <is>
          <t>GEN_DIR_PLC</t>
        </is>
      </c>
      <c r="D130" s="415" t="inlineStr">
        <is>
          <t>1:1</t>
        </is>
      </c>
      <c r="E130" s="415" t="inlineStr">
        <is>
          <t>Interface Customer</t>
        </is>
      </c>
      <c r="F130" s="415" t="inlineStr">
        <is>
          <t>General Director Place</t>
        </is>
      </c>
      <c r="G130" s="415" t="inlineStr">
        <is>
          <t>INF_CST</t>
        </is>
      </c>
      <c r="H130" s="463" t="inlineStr">
        <is>
          <t>GEN_DIR_PLC</t>
        </is>
      </c>
      <c r="I130" s="473" t="inlineStr">
        <is>
          <t>VARCHAR2</t>
        </is>
      </c>
      <c r="J130" s="495" t="n">
        <v>100</v>
      </c>
      <c r="K130" s="415" t="inlineStr">
        <is>
          <t>GEN_DIR_PLC</t>
        </is>
      </c>
      <c r="N130" s="334" t="inlineStr">
        <is>
          <t>GEN_DIR_PLC</t>
        </is>
      </c>
      <c r="O130" s="415">
        <f>"COMMENT ON COLUMN PG_GOLD."&amp;G130&amp;"."&amp;H130&amp;" IS '"&amp;K130&amp;"';"</f>
        <v/>
      </c>
      <c r="P130" s="414" t="inlineStr">
        <is>
          <t>Map 1:1 từ ORG_PRFL.GEN_DIR_PLC (Nơi sinh TGĐ)</t>
        </is>
      </c>
    </row>
    <row r="131" ht="41.25" customHeight="1" s="335">
      <c r="A131" s="486" t="inlineStr">
        <is>
          <t>PG_SILVER</t>
        </is>
      </c>
      <c r="B131" s="486" t="inlineStr">
        <is>
          <t>CST</t>
        </is>
      </c>
      <c r="C131" s="415" t="inlineStr">
        <is>
          <t>FRST_OU_CODE</t>
        </is>
      </c>
      <c r="D131" s="415" t="inlineStr">
        <is>
          <t>1:1</t>
        </is>
      </c>
      <c r="E131" s="415" t="inlineStr">
        <is>
          <t>Interface Customer</t>
        </is>
      </c>
      <c r="F131" s="415" t="inlineStr">
        <is>
          <t>Open Organization Unit Code</t>
        </is>
      </c>
      <c r="G131" s="415" t="inlineStr">
        <is>
          <t>INF_CST</t>
        </is>
      </c>
      <c r="H131" s="463" t="inlineStr">
        <is>
          <t>OPN_OU_CODE</t>
        </is>
      </c>
      <c r="I131" s="501" t="inlineStr">
        <is>
          <t>VARCHAR2</t>
        </is>
      </c>
      <c r="J131" s="488" t="n">
        <v>20</v>
      </c>
      <c r="K131" s="415" t="inlineStr">
        <is>
          <t>Chi nhánh mở CIF</t>
        </is>
      </c>
      <c r="L131" s="334" t="inlineStr">
        <is>
          <t>x</t>
        </is>
      </c>
      <c r="M131" s="334" t="inlineStr">
        <is>
          <t>x</t>
        </is>
      </c>
      <c r="N131" s="334" t="inlineStr">
        <is>
          <t>OPN_OU_CODE</t>
        </is>
      </c>
      <c r="O131" s="415">
        <f>"COMMENT ON COLUMN PG_GOLD."&amp;G131&amp;"."&amp;H131&amp;" IS '"&amp;K131&amp;"';"</f>
        <v/>
      </c>
      <c r="P131" s="414" t="inlineStr">
        <is>
          <t>Khớp cột đích `OPN_OU_CODE` và kiểu `VARCHAR2` (trước khi xóa dòng dư MST_DN bị lệch thành `FRST_OU_CODE` / `VARCHAR2`).</t>
        </is>
      </c>
    </row>
    <row r="132" ht="41.25" customHeight="1" s="335">
      <c r="A132" s="486" t="inlineStr">
        <is>
          <t>PG_SILVER</t>
        </is>
      </c>
      <c r="B132" s="486" t="inlineStr">
        <is>
          <t>ORG_PRFL</t>
        </is>
      </c>
      <c r="C132" s="415" t="inlineStr">
        <is>
          <t>OU_CODE</t>
        </is>
      </c>
      <c r="D132" s="415" t="inlineStr">
        <is>
          <t>1:1</t>
        </is>
      </c>
      <c r="E132" s="415" t="inlineStr">
        <is>
          <t>Interface Customer</t>
        </is>
      </c>
      <c r="F132" s="415" t="inlineStr">
        <is>
          <t>Management Organization Unit Code</t>
        </is>
      </c>
      <c r="G132" s="415" t="inlineStr">
        <is>
          <t>INF_CST</t>
        </is>
      </c>
      <c r="H132" s="463" t="inlineStr">
        <is>
          <t>MGT_OU_CODE</t>
        </is>
      </c>
      <c r="I132" s="473" t="inlineStr">
        <is>
          <t>VARCHAR2</t>
        </is>
      </c>
      <c r="J132" s="495" t="n">
        <v>20</v>
      </c>
      <c r="K132" s="415" t="inlineStr">
        <is>
          <t>Chi nhánh quản lý khách hàng</t>
        </is>
      </c>
      <c r="N132" s="334" t="inlineStr">
        <is>
          <t>MGT_OU_CODE</t>
        </is>
      </c>
      <c r="O132" s="415">
        <f>"COMMENT ON COLUMN PG_GOLD."&amp;G132&amp;"."&amp;H132&amp;" IS '"&amp;K132&amp;"';"</f>
        <v/>
      </c>
      <c r="P132" s="414" t="inlineStr">
        <is>
          <t>Khớp cột đích `MGT_OU_CODE` và kiểu `VARCHAR2` (trước khi xóa dòng dư MST_DN bị lệch thành `OU_CODE` / `VARCHAR2`).</t>
        </is>
      </c>
    </row>
    <row r="133" ht="41.25" customHeight="1" s="335">
      <c r="A133" s="486" t="inlineStr">
        <is>
          <t>PG_SILVER</t>
        </is>
      </c>
      <c r="B133" s="486" t="inlineStr">
        <is>
          <t>ORG_PRFL</t>
        </is>
      </c>
      <c r="C133" s="415" t="inlineStr">
        <is>
          <t>DIR_DOB</t>
        </is>
      </c>
      <c r="D133" s="415" t="inlineStr">
        <is>
          <t>1:1</t>
        </is>
      </c>
      <c r="E133" s="415" t="inlineStr">
        <is>
          <t>Interface Customer</t>
        </is>
      </c>
      <c r="F133" s="415" t="inlineStr">
        <is>
          <t>Director Date Of Birth</t>
        </is>
      </c>
      <c r="G133" s="415" t="inlineStr">
        <is>
          <t>INF_CST</t>
        </is>
      </c>
      <c r="H133" s="463" t="inlineStr">
        <is>
          <t>DIR_DOB</t>
        </is>
      </c>
      <c r="I133" s="501" t="inlineStr">
        <is>
          <t>DATE</t>
        </is>
      </c>
      <c r="J133" s="488" t="n"/>
      <c r="K133" s="415" t="inlineStr">
        <is>
          <t>BDAY_DIRECTOR</t>
        </is>
      </c>
      <c r="N133" s="334" t="inlineStr">
        <is>
          <t>DIR_DOB</t>
        </is>
      </c>
      <c r="O133" s="415">
        <f>"COMMENT ON COLUMN PG_GOLD."&amp;G133&amp;"."&amp;H133&amp;" IS '"&amp;K133&amp;"';"</f>
        <v/>
      </c>
      <c r="P133" s="414" t="inlineStr">
        <is>
          <t>Map 1:1 từ ORG_PRFL.DIR_DOB (BDAY_DIRECTOR)</t>
        </is>
      </c>
    </row>
    <row r="134" ht="41.25" customHeight="1" s="335">
      <c r="A134" s="486" t="inlineStr">
        <is>
          <t>PG_SILVER</t>
        </is>
      </c>
      <c r="B134" s="486" t="inlineStr">
        <is>
          <t>IP_ALT_IDENTN</t>
        </is>
      </c>
      <c r="C134" s="415" t="inlineStr">
        <is>
          <t>IDENTN_NBR</t>
        </is>
      </c>
      <c r="D134" s="415" t="inlineStr">
        <is>
          <t>1:1</t>
        </is>
      </c>
      <c r="E134" s="415" t="inlineStr">
        <is>
          <t>Interface Customer</t>
        </is>
      </c>
      <c r="F134" s="415" t="inlineStr">
        <is>
          <t>National Identification Number</t>
        </is>
      </c>
      <c r="G134" s="415" t="inlineStr">
        <is>
          <t>INF_CST</t>
        </is>
      </c>
      <c r="H134" s="463" t="inlineStr">
        <is>
          <t>NAT_ID_NBR</t>
        </is>
      </c>
      <c r="I134" s="501" t="inlineStr">
        <is>
          <t>VARCHAR2</t>
        </is>
      </c>
      <c r="J134" s="488" t="n">
        <v>100</v>
      </c>
      <c r="K134" s="415" t="inlineStr">
        <is>
          <t>Mã quốc gia</t>
        </is>
      </c>
      <c r="N134" s="334" t="inlineStr">
        <is>
          <t>NAT_ID_NBR</t>
        </is>
      </c>
      <c r="O134" s="415">
        <f>"COMMENT ON COLUMN PG_GOLD."&amp;G134&amp;"."&amp;H134&amp;" IS '"&amp;K134&amp;"';"</f>
        <v/>
      </c>
      <c r="P134" s="414" t="inlineStr">
        <is>
          <t>Khớp cột đích `NAT_ID_NBR` và kiểu `VARCHAR2` (trước khi xóa dòng dư MST_DN bị lệch thành `IDENTN_NBR` / `DATE`).</t>
        </is>
      </c>
    </row>
    <row r="135" ht="41.25" customHeight="1" s="335">
      <c r="A135" s="486" t="inlineStr">
        <is>
          <t>PG_SILVER</t>
        </is>
      </c>
      <c r="B135" s="415" t="inlineStr">
        <is>
          <t>CST</t>
        </is>
      </c>
      <c r="C135" s="415" t="inlineStr">
        <is>
          <t>CHKER_OFCR_CODE</t>
        </is>
      </c>
      <c r="D135" s="415" t="inlineStr">
        <is>
          <t>1:1</t>
        </is>
      </c>
      <c r="E135" s="415" t="inlineStr">
        <is>
          <t>Interface Customer</t>
        </is>
      </c>
      <c r="F135" s="415" t="inlineStr">
        <is>
          <t>Second Officer Code</t>
        </is>
      </c>
      <c r="G135" s="415" t="inlineStr">
        <is>
          <t>INF_CST</t>
        </is>
      </c>
      <c r="H135" s="463" t="inlineStr">
        <is>
          <t>SCD_OFCR_CODE</t>
        </is>
      </c>
      <c r="I135" s="463" t="inlineStr">
        <is>
          <t>VARCHAR2</t>
        </is>
      </c>
      <c r="J135" s="415" t="n">
        <v>20</v>
      </c>
      <c r="K135" s="415" t="inlineStr">
        <is>
          <t>Mã nhân viên hạch toán thứ 2</t>
        </is>
      </c>
      <c r="N135" s="334" t="inlineStr">
        <is>
          <t>SCD_OFCR_CODE</t>
        </is>
      </c>
      <c r="O135" s="415">
        <f>"COMMENT ON COLUMN PG_GOLD."&amp;G135&amp;"."&amp;H135&amp;" IS '"&amp;K135&amp;"';"</f>
        <v/>
      </c>
      <c r="P135" s="414" t="inlineStr">
        <is>
          <t>Khớp cột đích `SCD_OFCR_CODE` và kiểu `VARCHAR2` (trước khi xóa dòng dư MST_DN bị lệch thành `CHKER_OFCR` / `VARCHAR2`).</t>
        </is>
      </c>
    </row>
    <row r="136" ht="41.25" customHeight="1" s="335">
      <c r="A136" s="486" t="inlineStr">
        <is>
          <t>PG_SILVER</t>
        </is>
      </c>
      <c r="B136" s="486" t="inlineStr">
        <is>
          <t>IP_ALT_IDENTN</t>
        </is>
      </c>
      <c r="C136" s="415" t="inlineStr">
        <is>
          <t>ISSU_PLC_CODE</t>
        </is>
      </c>
      <c r="D136" s="415" t="inlineStr">
        <is>
          <t>1:1</t>
        </is>
      </c>
      <c r="E136" s="415" t="inlineStr">
        <is>
          <t>Interface Customer</t>
        </is>
      </c>
      <c r="F136" s="415" t="inlineStr">
        <is>
          <t>Issue Place Code</t>
        </is>
      </c>
      <c r="G136" s="415" t="inlineStr">
        <is>
          <t>INF_CST</t>
        </is>
      </c>
      <c r="H136" s="463" t="inlineStr">
        <is>
          <t>ISSU_PLC_CODE</t>
        </is>
      </c>
      <c r="I136" s="473" t="inlineStr">
        <is>
          <t>VARCHAR2</t>
        </is>
      </c>
      <c r="J136" s="495" t="n">
        <v>20</v>
      </c>
      <c r="K136" s="415" t="inlineStr">
        <is>
          <t>Nơi cấp Căn cước</t>
        </is>
      </c>
      <c r="N136" s="334" t="inlineStr">
        <is>
          <t>ISSU_PLC_CODE</t>
        </is>
      </c>
      <c r="O136" s="415">
        <f>"COMMENT ON COLUMN PG_GOLD."&amp;G136&amp;"."&amp;H136&amp;" IS '"&amp;K136&amp;"';"</f>
        <v/>
      </c>
      <c r="P136" s="414" t="inlineStr">
        <is>
          <t>Khớp cột đích `ISSU_PLC_CODE` và kiểu `VARCHAR2` (trước khi xóa dòng dư MST_DN bị lệch thành `ISSU_PLC_CODE` / `VARCHAR2`).</t>
        </is>
      </c>
    </row>
    <row r="137" ht="41.25" customHeight="1" s="335">
      <c r="A137" s="486" t="inlineStr">
        <is>
          <t>PG_SILVER</t>
        </is>
      </c>
      <c r="B137" s="415" t="inlineStr">
        <is>
          <t>ORG_PRFL</t>
        </is>
      </c>
      <c r="C137" s="415" t="inlineStr">
        <is>
          <t>CNTCT_PRSN</t>
        </is>
      </c>
      <c r="D137" s="415" t="inlineStr">
        <is>
          <t>1:1</t>
        </is>
      </c>
      <c r="E137" s="415" t="inlineStr">
        <is>
          <t>Interface Customer</t>
        </is>
      </c>
      <c r="F137" s="415" t="inlineStr">
        <is>
          <t>Contact Person</t>
        </is>
      </c>
      <c r="G137" s="415" t="inlineStr">
        <is>
          <t>INF_CST</t>
        </is>
      </c>
      <c r="H137" s="463" t="inlineStr">
        <is>
          <t>CNTCT_PRSN</t>
        </is>
      </c>
      <c r="I137" s="473" t="inlineStr">
        <is>
          <t>VARCHAR2</t>
        </is>
      </c>
      <c r="J137" s="495" t="n">
        <v>40</v>
      </c>
      <c r="K137" s="415" t="inlineStr">
        <is>
          <t>CONTACT_PERSON</t>
        </is>
      </c>
      <c r="N137" s="334" t="inlineStr">
        <is>
          <t>CNTCT_PRSN</t>
        </is>
      </c>
      <c r="O137" s="415">
        <f>"COMMENT ON COLUMN PG_GOLD."&amp;G137&amp;"."&amp;H137&amp;" IS '"&amp;K137&amp;"';"</f>
        <v/>
      </c>
      <c r="P137" s="414" t="inlineStr">
        <is>
          <t>Map 1:1 từ ORG_PRFL.CNTCT_PRSN (CONTACT_PERSON)</t>
        </is>
      </c>
    </row>
    <row r="138" ht="41.25" customHeight="1" s="335">
      <c r="A138" s="490" t="inlineStr">
        <is>
          <t>PG_SILVER</t>
        </is>
      </c>
      <c r="B138" s="490" t="inlineStr">
        <is>
          <t>ORG_PRFL</t>
        </is>
      </c>
      <c r="C138" s="456" t="inlineStr">
        <is>
          <t>MBL_BNKG_F</t>
        </is>
      </c>
      <c r="D138" s="456" t="inlineStr">
        <is>
          <t>1:1</t>
        </is>
      </c>
      <c r="E138" s="456" t="inlineStr">
        <is>
          <t>Interface Customer</t>
        </is>
      </c>
      <c r="F138" s="456" t="inlineStr">
        <is>
          <t>Mobile Banking Flag</t>
        </is>
      </c>
      <c r="G138" s="456" t="inlineStr">
        <is>
          <t>INF_CST</t>
        </is>
      </c>
      <c r="H138" s="499" t="inlineStr">
        <is>
          <t>MBL_BNKG_F</t>
        </is>
      </c>
      <c r="I138" s="504" t="inlineStr">
        <is>
          <t>VARCHAR2</t>
        </is>
      </c>
      <c r="J138" s="494" t="n">
        <v>20</v>
      </c>
      <c r="K138" s="456" t="inlineStr">
        <is>
          <t>Đánh dấu sử dụng dịch vụ mobile banking</t>
        </is>
      </c>
      <c r="L138" s="452" t="n"/>
      <c r="N138" s="452" t="inlineStr">
        <is>
          <t>MBL_BNKG_F</t>
        </is>
      </c>
      <c r="O138" s="456">
        <f>"COMMENT ON COLUMN PG_GOLD."&amp;G138&amp;"."&amp;H138&amp;" IS '"&amp;K138&amp;"';"</f>
        <v/>
      </c>
      <c r="P138" s="414" t="inlineStr">
        <is>
          <t>Khớp cột đích `MBL_BNKG_F` và kiểu `VARCHAR2` (trước khi xóa dòng dư MST_DN bị lệch thành `MBL_BNKG_F` / `VARCHAR2`).</t>
        </is>
      </c>
    </row>
    <row r="139" ht="41.25" customHeight="1" s="335">
      <c r="A139" s="486" t="inlineStr">
        <is>
          <t>PG_SILVER</t>
        </is>
      </c>
      <c r="B139" s="486" t="inlineStr">
        <is>
          <t>ORG_PRFL</t>
        </is>
      </c>
      <c r="C139" s="415" t="inlineStr">
        <is>
          <t>INN_BNKG_F</t>
        </is>
      </c>
      <c r="D139" s="415" t="inlineStr">
        <is>
          <t>1:1</t>
        </is>
      </c>
      <c r="E139" s="415" t="inlineStr">
        <is>
          <t>Interface Customer</t>
        </is>
      </c>
      <c r="F139" s="415" t="inlineStr">
        <is>
          <t>Internet Banking Flag</t>
        </is>
      </c>
      <c r="G139" s="415" t="inlineStr">
        <is>
          <t>INF_CST</t>
        </is>
      </c>
      <c r="H139" s="463" t="inlineStr">
        <is>
          <t>INN_BNKG_F</t>
        </is>
      </c>
      <c r="I139" s="473" t="inlineStr">
        <is>
          <t>VARCHAR2</t>
        </is>
      </c>
      <c r="J139" s="495" t="n">
        <v>20</v>
      </c>
      <c r="K139" s="415" t="inlineStr">
        <is>
          <t>Đánh dấu sử dụng dịch vụ internet banking</t>
        </is>
      </c>
      <c r="N139" s="334" t="inlineStr">
        <is>
          <t>INN_BNKG_F</t>
        </is>
      </c>
      <c r="O139" s="415">
        <f>"COMMENT ON COLUMN PG_GOLD."&amp;G139&amp;"."&amp;H139&amp;" IS '"&amp;K139&amp;"';"</f>
        <v/>
      </c>
      <c r="P139" s="414" t="inlineStr">
        <is>
          <t>Khớp cột đích `INN_BNKG_F` và kiểu `VARCHAR2` (trước khi xóa dòng dư MST_DN bị lệch thành `INN_BNKG_F` / `VARCHAR2`).</t>
        </is>
      </c>
    </row>
    <row r="140" ht="41.25" customHeight="1" s="335">
      <c r="A140" s="486" t="inlineStr">
        <is>
          <t>PG_SILVER</t>
        </is>
      </c>
      <c r="B140" s="486" t="inlineStr">
        <is>
          <t>ORG_PRFL</t>
        </is>
      </c>
      <c r="C140" s="415" t="inlineStr">
        <is>
          <t>AML_RSLT</t>
        </is>
      </c>
      <c r="D140" s="415" t="inlineStr">
        <is>
          <t>1:1</t>
        </is>
      </c>
      <c r="E140" s="415" t="inlineStr">
        <is>
          <t>Interface Customer</t>
        </is>
      </c>
      <c r="F140" s="415" t="inlineStr">
        <is>
          <t>AML Result</t>
        </is>
      </c>
      <c r="G140" s="415" t="inlineStr">
        <is>
          <t>INF_CST</t>
        </is>
      </c>
      <c r="H140" s="463" t="inlineStr">
        <is>
          <t>AML_RSLT</t>
        </is>
      </c>
      <c r="I140" s="473" t="inlineStr">
        <is>
          <t>VARCHAR2</t>
        </is>
      </c>
      <c r="J140" s="495" t="n">
        <v>100</v>
      </c>
      <c r="K140" s="415" t="inlineStr">
        <is>
          <t>Liên quan tới hệ thống Phòng Chống rửa tiền</t>
        </is>
      </c>
      <c r="N140" s="334" t="inlineStr">
        <is>
          <t>AML_RSLT</t>
        </is>
      </c>
      <c r="O140" s="415">
        <f>"COMMENT ON COLUMN PG_GOLD."&amp;G140&amp;"."&amp;H140&amp;" IS '"&amp;K140&amp;"';"</f>
        <v/>
      </c>
      <c r="P140" s="414" t="inlineStr">
        <is>
          <t>Map 1:1 từ ORG_PRFL.AML_RSLT (AML_RESULT)</t>
        </is>
      </c>
    </row>
    <row r="141" ht="41.25" customHeight="1" s="335">
      <c r="A141" s="486" t="inlineStr">
        <is>
          <t>PG_SILVER</t>
        </is>
      </c>
      <c r="B141" s="486" t="inlineStr">
        <is>
          <t>ORG_PRFL</t>
        </is>
      </c>
      <c r="C141" s="415" t="inlineStr">
        <is>
          <t>AML_CHK_F</t>
        </is>
      </c>
      <c r="D141" s="415" t="inlineStr">
        <is>
          <t>1:1</t>
        </is>
      </c>
      <c r="E141" s="415" t="inlineStr">
        <is>
          <t>Interface Customer</t>
        </is>
      </c>
      <c r="F141" s="415" t="inlineStr">
        <is>
          <t>AML Check Flag</t>
        </is>
      </c>
      <c r="G141" s="415" t="inlineStr">
        <is>
          <t>INF_CST</t>
        </is>
      </c>
      <c r="H141" s="463" t="inlineStr">
        <is>
          <t>AML_CHK_F</t>
        </is>
      </c>
      <c r="I141" s="473" t="inlineStr">
        <is>
          <t>VARCHAR2</t>
        </is>
      </c>
      <c r="J141" s="495" t="n">
        <v>20</v>
      </c>
      <c r="K141" s="415" t="inlineStr">
        <is>
          <t>Đánh dấu liên quan tới hệ thống Phòng Chống rửa tiền</t>
        </is>
      </c>
      <c r="N141" s="334" t="inlineStr">
        <is>
          <t>AML_CHK_F</t>
        </is>
      </c>
      <c r="O141" s="415">
        <f>"COMMENT ON COLUMN PG_GOLD."&amp;G141&amp;"."&amp;H141&amp;" IS '"&amp;K141&amp;"';"</f>
        <v/>
      </c>
      <c r="P141" s="414" t="inlineStr">
        <is>
          <t>Map 1:1 từ ORG_PRFL.AML_CHK_F (AML_CHECK)</t>
        </is>
      </c>
    </row>
    <row r="142" ht="41.25" customHeight="1" s="335">
      <c r="A142" s="486" t="inlineStr">
        <is>
          <t>PG_SILVER</t>
        </is>
      </c>
      <c r="B142" s="486" t="inlineStr">
        <is>
          <t>ORG_PRFL</t>
        </is>
      </c>
      <c r="C142" s="415" t="inlineStr">
        <is>
          <t>CST_CODE</t>
        </is>
      </c>
      <c r="D142" s="415" t="inlineStr">
        <is>
          <t>NULL</t>
        </is>
      </c>
      <c r="E142" s="415" t="inlineStr">
        <is>
          <t>Interface Customer</t>
        </is>
      </c>
      <c r="F142" s="415" t="inlineStr">
        <is>
          <t>Individual Employment Status Code</t>
        </is>
      </c>
      <c r="G142" s="415" t="inlineStr">
        <is>
          <t>INF_CST</t>
        </is>
      </c>
      <c r="H142" s="463" t="inlineStr">
        <is>
          <t>IDV_EMP_ST_CODE</t>
        </is>
      </c>
      <c r="I142" s="473" t="inlineStr">
        <is>
          <t>VARCHAR2</t>
        </is>
      </c>
      <c r="J142" s="495" t="n">
        <v>20</v>
      </c>
      <c r="K142" s="415" t="inlineStr">
        <is>
          <t>Tình trạng làm việc</t>
        </is>
      </c>
      <c r="N142" s="334" t="inlineStr">
        <is>
          <t>IDV_EMP_ST_CODE</t>
        </is>
      </c>
      <c r="O142" s="415">
        <f>"COMMENT ON COLUMN PG_GOLD."&amp;G142&amp;"."&amp;H142&amp;" IS '"&amp;K142&amp;"';"</f>
        <v/>
      </c>
      <c r="P142" s="414" t="inlineStr">
        <is>
          <t>Khớp cột đích `IDV_EMP_ST_CODE` và kiểu `VARCHAR2` (trước khi xóa dòng dư MST_DN bị lệch thành `IDV_EMP_ST_CODE` / `VARCHAR2`).</t>
        </is>
      </c>
    </row>
    <row r="143" ht="41.25" customHeight="1" s="335">
      <c r="A143" s="486" t="inlineStr">
        <is>
          <t>PG_SILVER</t>
        </is>
      </c>
      <c r="B143" s="433" t="inlineStr">
        <is>
          <t>ORG_PRFL</t>
        </is>
      </c>
      <c r="C143" s="415" t="inlineStr">
        <is>
          <t>JNT_LBY_F</t>
        </is>
      </c>
      <c r="D143" s="415" t="inlineStr">
        <is>
          <t>1:1</t>
        </is>
      </c>
      <c r="E143" s="415" t="inlineStr">
        <is>
          <t>Interface Customer</t>
        </is>
      </c>
      <c r="F143" s="415" t="inlineStr">
        <is>
          <t>Joint liability Flag</t>
        </is>
      </c>
      <c r="G143" s="415" t="inlineStr">
        <is>
          <t>INF_CST</t>
        </is>
      </c>
      <c r="H143" s="463" t="inlineStr">
        <is>
          <t>JNT_LBY_F</t>
        </is>
      </c>
      <c r="I143" s="473" t="inlineStr">
        <is>
          <t>VARCHAR2</t>
        </is>
      </c>
      <c r="J143" s="495" t="n">
        <v>20</v>
      </c>
      <c r="K143" s="415" t="inlineStr">
        <is>
          <t>Đánh dấu nợ liên đới</t>
        </is>
      </c>
      <c r="N143" s="334" t="inlineStr">
        <is>
          <t>JNT_LBY_F</t>
        </is>
      </c>
      <c r="O143" s="415">
        <f>"COMMENT ON COLUMN PG_GOLD."&amp;G143&amp;"."&amp;H143&amp;" IS '"&amp;K143&amp;"';"</f>
        <v/>
      </c>
      <c r="P143" s="414" t="inlineStr">
        <is>
          <t>Khớp cột đích `JNT_LBY_F` và kiểu `VARCHAR2` (trước khi xóa dòng dư MST_DN bị lệch thành `JNT_LBY_F` / `VARCHAR2`).</t>
        </is>
      </c>
    </row>
    <row r="144" ht="41.25" customHeight="1" s="335">
      <c r="A144" s="486" t="inlineStr">
        <is>
          <t>PG_SILVER</t>
        </is>
      </c>
      <c r="B144" s="486" t="inlineStr">
        <is>
          <t>ORG_PRFL</t>
        </is>
      </c>
      <c r="C144" s="415" t="inlineStr">
        <is>
          <t>MB_CR_ST</t>
        </is>
      </c>
      <c r="D144" s="415" t="inlineStr">
        <is>
          <t>1:1</t>
        </is>
      </c>
      <c r="E144" s="415" t="inlineStr">
        <is>
          <t>Interface Customer</t>
        </is>
      </c>
      <c r="F144" s="415" t="inlineStr">
        <is>
          <t>MB Credit Status</t>
        </is>
      </c>
      <c r="G144" s="415" t="inlineStr">
        <is>
          <t>INF_CST</t>
        </is>
      </c>
      <c r="H144" s="463" t="inlineStr">
        <is>
          <t>MB_CR_ST</t>
        </is>
      </c>
      <c r="I144" s="473" t="inlineStr">
        <is>
          <t>VARCHAR2</t>
        </is>
      </c>
      <c r="J144" s="495" t="n">
        <v>20</v>
      </c>
      <c r="K144" s="415" t="inlineStr">
        <is>
          <t>MB_CR_STT</t>
        </is>
      </c>
      <c r="N144" s="334" t="inlineStr">
        <is>
          <t>MB_CR_ST</t>
        </is>
      </c>
      <c r="O144" s="415">
        <f>"COMMENT ON COLUMN PG_GOLD."&amp;G144&amp;"."&amp;H144&amp;" IS '"&amp;K144&amp;"';"</f>
        <v/>
      </c>
      <c r="P144" s="414" t="inlineStr">
        <is>
          <t>Map 1:1 từ ORG_PRFL.MB_CR_ST (MB_CR_STT)</t>
        </is>
      </c>
    </row>
    <row r="145" ht="41.25" customHeight="1" s="335">
      <c r="A145" s="486" t="inlineStr">
        <is>
          <t>PG_SILVER</t>
        </is>
      </c>
      <c r="B145" s="486" t="inlineStr">
        <is>
          <t>ORG_PRFL</t>
        </is>
      </c>
      <c r="C145" s="415" t="inlineStr">
        <is>
          <t>CST_FNC_ST_CODE</t>
        </is>
      </c>
      <c r="D145" s="415" t="inlineStr">
        <is>
          <t>1:1</t>
        </is>
      </c>
      <c r="E145" s="415" t="inlineStr">
        <is>
          <t>Interface Customer</t>
        </is>
      </c>
      <c r="F145" s="415" t="inlineStr">
        <is>
          <t>Customer Financial Status Code</t>
        </is>
      </c>
      <c r="G145" s="415" t="inlineStr">
        <is>
          <t>INF_CST</t>
        </is>
      </c>
      <c r="H145" s="463" t="inlineStr">
        <is>
          <t>CST_FNC_ST_CODE</t>
        </is>
      </c>
      <c r="I145" s="473" t="inlineStr">
        <is>
          <t>VARCHAR2</t>
        </is>
      </c>
      <c r="J145" s="495" t="n">
        <v>20</v>
      </c>
      <c r="K145" s="415" t="inlineStr">
        <is>
          <t>Nhóm nợ khách hàng Core tính</t>
        </is>
      </c>
      <c r="N145" s="334" t="inlineStr">
        <is>
          <t>CST_FNC_ST_CODE</t>
        </is>
      </c>
      <c r="O145" s="415">
        <f>"COMMENT ON COLUMN PG_GOLD."&amp;G145&amp;"."&amp;H145&amp;" IS '"&amp;K145&amp;"';"</f>
        <v/>
      </c>
      <c r="P145" s="414" t="inlineStr">
        <is>
          <t>Khớp cột đích `CST_FNC_ST_CODE` và kiểu `VARCHAR2` (trước khi xóa dòng dư MST_DN bị lệch thành `CST_FNC_ST_CODE` / `VARCHAR2`).</t>
        </is>
      </c>
    </row>
    <row r="146" ht="41.25" customHeight="1" s="335">
      <c r="A146" s="486" t="inlineStr">
        <is>
          <t>PG_SILVER</t>
        </is>
      </c>
      <c r="B146" s="486" t="inlineStr">
        <is>
          <t>ORG_PRFL</t>
        </is>
      </c>
      <c r="C146" s="415" t="inlineStr">
        <is>
          <t>CST_CODE</t>
        </is>
      </c>
      <c r="D146" s="415" t="inlineStr">
        <is>
          <t>NULL</t>
        </is>
      </c>
      <c r="E146" s="415" t="inlineStr">
        <is>
          <t>Interface Customer</t>
        </is>
      </c>
      <c r="F146" s="415" t="inlineStr">
        <is>
          <t>Annual Income</t>
        </is>
      </c>
      <c r="G146" s="415" t="inlineStr">
        <is>
          <t>INF_CST</t>
        </is>
      </c>
      <c r="H146" s="463" t="inlineStr">
        <is>
          <t>ANUL_INCM</t>
        </is>
      </c>
      <c r="I146" s="473" t="inlineStr">
        <is>
          <t>NUMBER</t>
        </is>
      </c>
      <c r="J146" s="495" t="n">
        <v>25.5</v>
      </c>
      <c r="K146" s="415" t="inlineStr">
        <is>
          <t>Thu nhập theo tháng</t>
        </is>
      </c>
      <c r="N146" s="334" t="inlineStr">
        <is>
          <t>ANUL_INCM</t>
        </is>
      </c>
      <c r="O146" s="415">
        <f>"COMMENT ON COLUMN PG_GOLD."&amp;G146&amp;"."&amp;H146&amp;" IS '"&amp;K146&amp;"';"</f>
        <v/>
      </c>
      <c r="P146" s="414" t="inlineStr">
        <is>
          <t>Khớp cột đích `ANUL_INCM` và kiểu `NUMBER` (trước khi xóa dòng dư MST_DN bị lệch thành `ANUL_INCM` / `NUMBER`).</t>
        </is>
      </c>
    </row>
    <row r="147" ht="41.25" customHeight="1" s="335">
      <c r="A147" s="486" t="inlineStr">
        <is>
          <t>PG_SILVER</t>
        </is>
      </c>
      <c r="B147" s="486" t="inlineStr">
        <is>
          <t>CST</t>
        </is>
      </c>
      <c r="C147" s="415" t="inlineStr">
        <is>
          <t>SRC_DT_TM</t>
        </is>
      </c>
      <c r="D147" s="415" t="inlineStr">
        <is>
          <t>1:1</t>
        </is>
      </c>
      <c r="E147" s="415" t="inlineStr">
        <is>
          <t>Interface Customer</t>
        </is>
      </c>
      <c r="F147" s="497" t="inlineStr">
        <is>
          <t>Source Date Time</t>
        </is>
      </c>
      <c r="G147" s="415" t="inlineStr">
        <is>
          <t>INF_CST</t>
        </is>
      </c>
      <c r="H147" s="473" t="inlineStr">
        <is>
          <t>SRC_DT_TM</t>
        </is>
      </c>
      <c r="I147" s="473" t="inlineStr">
        <is>
          <t>DATE</t>
        </is>
      </c>
      <c r="J147" s="495" t="n"/>
      <c r="K147" s="415" t="inlineStr">
        <is>
          <t>DATE_TIME</t>
        </is>
      </c>
      <c r="N147" s="334" t="inlineStr">
        <is>
          <t>SRC_DT_TM</t>
        </is>
      </c>
      <c r="O147" s="415">
        <f>"COMMENT ON COLUMN PG_GOLD."&amp;G147&amp;"."&amp;H147&amp;" IS '"&amp;K147&amp;"';"</f>
        <v/>
      </c>
      <c r="P147" s="414" t="inlineStr">
        <is>
          <t>Map 1:1 từ CST.SRC_DT_TM (DATE_TIME)</t>
        </is>
      </c>
    </row>
    <row r="148" ht="41.25" customHeight="1" s="335">
      <c r="A148" s="490" t="inlineStr">
        <is>
          <t>PG_SILVER</t>
        </is>
      </c>
      <c r="B148" s="490" t="inlineStr">
        <is>
          <t>IP_PST_ADR</t>
        </is>
      </c>
      <c r="C148" s="456" t="inlineStr">
        <is>
          <t>PROV_NM</t>
        </is>
      </c>
      <c r="D148" s="456" t="inlineStr">
        <is>
          <t>d1.PROV_NM</t>
        </is>
      </c>
      <c r="E148" s="456" t="inlineStr">
        <is>
          <t>Interface Customer</t>
        </is>
      </c>
      <c r="F148" s="456" t="inlineStr">
        <is>
          <t>Province Name</t>
        </is>
      </c>
      <c r="G148" s="456" t="inlineStr">
        <is>
          <t>INF_CST</t>
        </is>
      </c>
      <c r="H148" s="499" t="inlineStr">
        <is>
          <t>PROV_NM</t>
        </is>
      </c>
      <c r="I148" s="499" t="inlineStr">
        <is>
          <t>VARCHAR2</t>
        </is>
      </c>
      <c r="J148" s="456" t="n">
        <v>100</v>
      </c>
      <c r="K148" s="456" t="inlineStr">
        <is>
          <t>Tỉnh/thành phố nơi cư trú</t>
        </is>
      </c>
      <c r="L148" s="452" t="n"/>
      <c r="N148" s="452" t="inlineStr">
        <is>
          <t>PROV_NM</t>
        </is>
      </c>
      <c r="O148" s="456">
        <f>"COMMENT ON COLUMN PG_GOLD."&amp;G148&amp;"."&amp;H148&amp;" IS '"&amp;K148&amp;"';"</f>
        <v/>
      </c>
      <c r="P148" s="414" t="inlineStr">
        <is>
          <t>Khớp cột đích `PROV_NM` và kiểu `VARCHAR2` (trước khi xóa dòng dư MST_DN bị lệch thành `PROV_NM` / `VARCHAR2`).</t>
        </is>
      </c>
    </row>
    <row r="149" ht="41.25" customHeight="1" s="335">
      <c r="A149" s="486" t="inlineStr">
        <is>
          <t>PG_SILVER</t>
        </is>
      </c>
      <c r="B149" s="415" t="inlineStr">
        <is>
          <t>ORG_PRFL</t>
        </is>
      </c>
      <c r="C149" s="415" t="inlineStr">
        <is>
          <t>IDY_LV1_CL_CODE</t>
        </is>
      </c>
      <c r="D149" s="415" t="inlineStr">
        <is>
          <t>1:1</t>
        </is>
      </c>
      <c r="E149" s="415" t="inlineStr">
        <is>
          <t>Interface Customer</t>
        </is>
      </c>
      <c r="F149" s="415" t="inlineStr">
        <is>
          <t>Industry LV1 Classification Code</t>
        </is>
      </c>
      <c r="G149" s="415" t="inlineStr">
        <is>
          <t>INF_CST</t>
        </is>
      </c>
      <c r="H149" s="463" t="inlineStr">
        <is>
          <t>IDY_LV1_CL_CODE</t>
        </is>
      </c>
      <c r="I149" s="473" t="inlineStr">
        <is>
          <t>VARCHAR2</t>
        </is>
      </c>
      <c r="J149" s="495" t="n">
        <v>20</v>
      </c>
      <c r="K149" s="415" t="inlineStr">
        <is>
          <t>Mã ngành nghê kinh tế cha</t>
        </is>
      </c>
      <c r="N149" s="334" t="inlineStr">
        <is>
          <t>IDY_LV1_CL_CODE</t>
        </is>
      </c>
      <c r="O149" s="415">
        <f>"COMMENT ON COLUMN PG_GOLD."&amp;G149&amp;"."&amp;H149&amp;" IS '"&amp;K149&amp;"';"</f>
        <v/>
      </c>
      <c r="P149" s="414" t="inlineStr">
        <is>
          <t>Khớp cột đích `IDY_LV1_CL_CODE` và kiểu `VARCHAR2` (trước khi xóa dòng dư MST_DN bị lệch thành `IDY_LV1_CL_CODE` / `VARCHAR2`).</t>
        </is>
      </c>
    </row>
    <row r="150" ht="41.25" customHeight="1" s="335">
      <c r="A150" s="486" t="inlineStr">
        <is>
          <t>PG_SILVER</t>
        </is>
      </c>
      <c r="B150" s="486" t="inlineStr">
        <is>
          <t>CST</t>
        </is>
      </c>
      <c r="C150" s="415" t="inlineStr">
        <is>
          <t>REFR_CODE</t>
        </is>
      </c>
      <c r="D150" s="415" t="inlineStr">
        <is>
          <t>1:1</t>
        </is>
      </c>
      <c r="E150" s="415" t="inlineStr">
        <is>
          <t>Interface Customer</t>
        </is>
      </c>
      <c r="F150" s="415" t="inlineStr">
        <is>
          <t>Reference Code</t>
        </is>
      </c>
      <c r="G150" s="415" t="inlineStr">
        <is>
          <t>INF_CST</t>
        </is>
      </c>
      <c r="H150" s="463" t="inlineStr">
        <is>
          <t>REFR_CODE</t>
        </is>
      </c>
      <c r="I150" s="473" t="inlineStr">
        <is>
          <t>VARCHAR2</t>
        </is>
      </c>
      <c r="J150" s="495" t="n">
        <v>40</v>
      </c>
      <c r="K150" s="415" t="inlineStr">
        <is>
          <t>Mã người tham chiếu/giới thiệu</t>
        </is>
      </c>
      <c r="N150" s="334" t="inlineStr">
        <is>
          <t>REFR_CODE</t>
        </is>
      </c>
      <c r="O150" s="415">
        <f>"COMMENT ON COLUMN PG_GOLD."&amp;G150&amp;"."&amp;H150&amp;" IS '"&amp;K150&amp;"';"</f>
        <v/>
      </c>
      <c r="P150" s="414" t="inlineStr">
        <is>
          <t>Khớp cột đích `REFR_CODE` và kiểu `VARCHAR2` (trước khi xóa dòng dư MST_DN bị lệch thành `REFR_CODE` / `VARCHAR2`).</t>
        </is>
      </c>
    </row>
    <row r="151" ht="41.25" customHeight="1" s="335">
      <c r="A151" s="486" t="inlineStr">
        <is>
          <t>PG_SILVER</t>
        </is>
      </c>
      <c r="B151" s="486" t="inlineStr">
        <is>
          <t>ORG_PRFL</t>
        </is>
      </c>
      <c r="C151" s="415" t="inlineStr">
        <is>
          <t>CNTCT_PRSN_PHN</t>
        </is>
      </c>
      <c r="D151" s="415" t="inlineStr">
        <is>
          <t>1:1</t>
        </is>
      </c>
      <c r="E151" s="415" t="inlineStr">
        <is>
          <t>Interface Customer</t>
        </is>
      </c>
      <c r="F151" s="415" t="inlineStr">
        <is>
          <t>Contact Person Phone</t>
        </is>
      </c>
      <c r="G151" s="415" t="inlineStr">
        <is>
          <t>INF_CST</t>
        </is>
      </c>
      <c r="H151" s="463" t="inlineStr">
        <is>
          <t>CNTCT_PRSN_PHN</t>
        </is>
      </c>
      <c r="I151" s="473" t="inlineStr">
        <is>
          <t>VARCHAR2</t>
        </is>
      </c>
      <c r="J151" s="495" t="n">
        <v>100</v>
      </c>
      <c r="K151" s="415" t="inlineStr">
        <is>
          <t>PHONE_CONT_PER</t>
        </is>
      </c>
      <c r="N151" s="334" t="inlineStr">
        <is>
          <t>CNTCT_PRSN_PHN</t>
        </is>
      </c>
      <c r="O151" s="415">
        <f>"COMMENT ON COLUMN PG_GOLD."&amp;G151&amp;"."&amp;H151&amp;" IS '"&amp;K151&amp;"';"</f>
        <v/>
      </c>
      <c r="P151" s="414" t="inlineStr">
        <is>
          <t>Map 1:1 từ ORG_PRFL.CNTCT_PRSN_PHN (PHONE_CONT_PER)</t>
        </is>
      </c>
    </row>
    <row r="152" ht="41.25" customHeight="1" s="335">
      <c r="A152" s="490" t="inlineStr">
        <is>
          <t>PG_SILVER</t>
        </is>
      </c>
      <c r="B152" s="490" t="inlineStr">
        <is>
          <t>CST</t>
        </is>
      </c>
      <c r="C152" s="456" t="inlineStr">
        <is>
          <t>CTR_TMPL_CODE</t>
        </is>
      </c>
      <c r="D152" s="456" t="inlineStr">
        <is>
          <t>1:1</t>
        </is>
      </c>
      <c r="E152" s="456" t="inlineStr">
        <is>
          <t>Interface Customer</t>
        </is>
      </c>
      <c r="F152" s="456" t="inlineStr">
        <is>
          <t>Contract Template Code</t>
        </is>
      </c>
      <c r="G152" s="456" t="inlineStr">
        <is>
          <t>INF_CST</t>
        </is>
      </c>
      <c r="H152" s="499" t="inlineStr">
        <is>
          <t>CTR_TMPL_CODE</t>
        </is>
      </c>
      <c r="I152" s="504" t="inlineStr">
        <is>
          <t>VARCHAR2</t>
        </is>
      </c>
      <c r="J152" s="494" t="n">
        <v>100</v>
      </c>
      <c r="K152" s="456" t="inlineStr">
        <is>
          <t>MAU_HD</t>
        </is>
      </c>
      <c r="L152" s="452" t="n"/>
      <c r="N152" s="452" t="inlineStr">
        <is>
          <t>CTR_TMPL_CODE</t>
        </is>
      </c>
      <c r="O152" s="456">
        <f>"COMMENT ON COLUMN PG_GOLD."&amp;G152&amp;"."&amp;H152&amp;" IS '"&amp;K152&amp;"';"</f>
        <v/>
      </c>
      <c r="P152" s="414" t="inlineStr">
        <is>
          <t>Map 1:1 từ CST.CTR_TMPL_CODE (MAU_HD)</t>
        </is>
      </c>
    </row>
    <row r="153" ht="41.25" customHeight="1" s="335">
      <c r="A153" s="490" t="inlineStr">
        <is>
          <t>PG_SILVER</t>
        </is>
      </c>
      <c r="B153" s="490" t="inlineStr">
        <is>
          <t>IP_PST_ADR</t>
        </is>
      </c>
      <c r="C153" s="456" t="inlineStr">
        <is>
          <t>PROV_NM</t>
        </is>
      </c>
      <c r="D153" s="456" t="inlineStr">
        <is>
          <t>d2.PROV_NM</t>
        </is>
      </c>
      <c r="E153" s="456" t="inlineStr">
        <is>
          <t>Interface Customer</t>
        </is>
      </c>
      <c r="F153" s="456" t="inlineStr">
        <is>
          <t>City Name</t>
        </is>
      </c>
      <c r="G153" s="456" t="inlineStr">
        <is>
          <t>INF_CST</t>
        </is>
      </c>
      <c r="H153" s="499" t="inlineStr">
        <is>
          <t>CITY_NM</t>
        </is>
      </c>
      <c r="I153" s="504" t="inlineStr">
        <is>
          <t>VARCHAR2</t>
        </is>
      </c>
      <c r="J153" s="494" t="n">
        <v>100</v>
      </c>
      <c r="K153" s="456" t="inlineStr">
        <is>
          <t>Tên thành phố theo địa chỉ</t>
        </is>
      </c>
      <c r="L153" s="452" t="n"/>
      <c r="N153" s="452" t="inlineStr">
        <is>
          <t>CITY_NM</t>
        </is>
      </c>
      <c r="O153" s="456">
        <f>"COMMENT ON COLUMN PG_GOLD."&amp;G153&amp;"."&amp;H153&amp;" IS '"&amp;K153&amp;"';"</f>
        <v/>
      </c>
      <c r="P153" s="414" t="inlineStr">
        <is>
          <t>Khớp cột đích `CITY_NM` và kiểu `VARCHAR2` (trước khi xóa dòng dư MST_DN bị lệch thành `CITY_NM` / `VARCHAR2`).</t>
        </is>
      </c>
    </row>
    <row r="154" ht="41.25" customHeight="1" s="335">
      <c r="A154" s="486" t="inlineStr">
        <is>
          <t>PG_SILVER</t>
        </is>
      </c>
      <c r="B154" s="415" t="inlineStr">
        <is>
          <t>IP_PST_ADR</t>
        </is>
      </c>
      <c r="C154" s="415" t="inlineStr">
        <is>
          <t>CST_CODE</t>
        </is>
      </c>
      <c r="D154" s="415" t="inlineStr">
        <is>
          <t>NULL</t>
        </is>
      </c>
      <c r="E154" s="415" t="inlineStr">
        <is>
          <t>Interface Customer</t>
        </is>
      </c>
      <c r="F154" s="334" t="inlineStr">
        <is>
          <t>VSS Code</t>
        </is>
      </c>
      <c r="G154" s="415" t="inlineStr">
        <is>
          <t>INF_CST</t>
        </is>
      </c>
      <c r="H154" s="463" t="inlineStr">
        <is>
          <t>VSS_CODE</t>
        </is>
      </c>
      <c r="I154" s="473" t="inlineStr">
        <is>
          <t>VARCHAR2</t>
        </is>
      </c>
      <c r="J154" s="495" t="n">
        <v>40</v>
      </c>
      <c r="K154" s="415" t="inlineStr">
        <is>
          <t>Mã bảo hiểm xã hội</t>
        </is>
      </c>
      <c r="N154" s="334" t="inlineStr">
        <is>
          <t>VSS_CODE</t>
        </is>
      </c>
      <c r="O154" s="415">
        <f>"COMMENT ON COLUMN PG_GOLD."&amp;G154&amp;"."&amp;H154&amp;" IS '"&amp;K154&amp;"';"</f>
        <v/>
      </c>
      <c r="P154" s="414" t="inlineStr">
        <is>
          <t>Khớp cột đích `VSS_CODE` và kiểu `VARCHAR2` (trước khi xóa dòng dư MST_DN bị lệch thành `VSS_CODE` / `VARCHAR2`).</t>
        </is>
      </c>
    </row>
    <row r="155" ht="41.25" customHeight="1" s="335">
      <c r="A155" s="486" t="inlineStr">
        <is>
          <t>PG_SILVER</t>
        </is>
      </c>
      <c r="B155" s="486" t="inlineStr">
        <is>
          <t>CST</t>
        </is>
      </c>
      <c r="C155" s="415" t="inlineStr">
        <is>
          <t>CRS_SELL_RM_CODE</t>
        </is>
      </c>
      <c r="D155" s="415" t="inlineStr">
        <is>
          <t>1:1</t>
        </is>
      </c>
      <c r="E155" s="415" t="inlineStr">
        <is>
          <t>Interface Customer</t>
        </is>
      </c>
      <c r="F155" s="415" t="inlineStr">
        <is>
          <t>Cross Sell RM Officer Code</t>
        </is>
      </c>
      <c r="G155" s="415" t="inlineStr">
        <is>
          <t>INF_CST</t>
        </is>
      </c>
      <c r="H155" s="463" t="inlineStr">
        <is>
          <t>CRS_SELL_RM_CODE</t>
        </is>
      </c>
      <c r="I155" s="473" t="inlineStr">
        <is>
          <t>VARCHAR2</t>
        </is>
      </c>
      <c r="J155" s="495" t="n">
        <v>100</v>
      </c>
      <c r="K155" s="415" t="inlineStr">
        <is>
          <t>MB_RM_BANCHEO</t>
        </is>
      </c>
      <c r="N155" s="334" t="inlineStr">
        <is>
          <t>CRS_SELL_RM_CODE</t>
        </is>
      </c>
      <c r="O155" s="415">
        <f>"COMMENT ON COLUMN PG_GOLD."&amp;G155&amp;"."&amp;H155&amp;" IS '"&amp;K155&amp;"';"</f>
        <v/>
      </c>
      <c r="P155" s="414" t="inlineStr">
        <is>
          <t>Map 1:1 từ CST.CRS_SELL_RM_CODE (MB_RM_BANCHEO)</t>
        </is>
      </c>
    </row>
    <row r="156" ht="41.25" customHeight="1" s="335">
      <c r="A156" s="486" t="inlineStr">
        <is>
          <t>PG_SILVER</t>
        </is>
      </c>
      <c r="B156" s="486" t="inlineStr">
        <is>
          <t>IP_ELC_ADR</t>
        </is>
      </c>
      <c r="C156" s="415" t="inlineStr">
        <is>
          <t>ELC_ADR_VAL</t>
        </is>
      </c>
      <c r="D156" s="415" t="inlineStr">
        <is>
          <t>c2.ELC_ADR_VAL</t>
        </is>
      </c>
      <c r="E156" s="415" t="inlineStr">
        <is>
          <t>Interface Customer</t>
        </is>
      </c>
      <c r="F156" s="415" t="inlineStr">
        <is>
          <t>Home Number</t>
        </is>
      </c>
      <c r="G156" s="415" t="inlineStr">
        <is>
          <t>INF_CST</t>
        </is>
      </c>
      <c r="H156" s="463" t="inlineStr">
        <is>
          <t>HM_NBR</t>
        </is>
      </c>
      <c r="I156" s="473" t="inlineStr">
        <is>
          <t>VARCHAR2</t>
        </is>
      </c>
      <c r="J156" s="495" t="n">
        <v>100</v>
      </c>
      <c r="K156" s="415" t="inlineStr">
        <is>
          <t>Số điện thoại nhà riêng</t>
        </is>
      </c>
      <c r="N156" s="334" t="inlineStr">
        <is>
          <t>HM_NBR</t>
        </is>
      </c>
      <c r="O156" s="415">
        <f>"COMMENT ON COLUMN PG_GOLD."&amp;G156&amp;"."&amp;H156&amp;" IS '"&amp;K156&amp;"';"</f>
        <v/>
      </c>
      <c r="P156" s="414" t="inlineStr">
        <is>
          <t>Khớp cột đích `HM_NBR` và kiểu `VARCHAR2` (trước khi xóa dòng dư MST_DN bị lệch thành `HM_NBR` / `VARCHAR2`).</t>
        </is>
      </c>
    </row>
    <row r="157" ht="41.25" customHeight="1" s="335">
      <c r="A157" s="486" t="inlineStr">
        <is>
          <t>PG_SILVER</t>
        </is>
      </c>
      <c r="B157" s="415" t="inlineStr">
        <is>
          <t>IP_ELC_ADR</t>
        </is>
      </c>
      <c r="C157" s="415" t="inlineStr">
        <is>
          <t>ELC_ADR_VAL</t>
        </is>
      </c>
      <c r="D157" s="415" t="inlineStr">
        <is>
          <t>c3.ELC_ADR_VAL</t>
        </is>
      </c>
      <c r="E157" s="415" t="inlineStr">
        <is>
          <t>Interface Customer</t>
        </is>
      </c>
      <c r="F157" s="415" t="inlineStr">
        <is>
          <t>Mobile Number</t>
        </is>
      </c>
      <c r="G157" s="415" t="inlineStr">
        <is>
          <t>INF_CST</t>
        </is>
      </c>
      <c r="H157" s="463" t="inlineStr">
        <is>
          <t>MBL_NBR</t>
        </is>
      </c>
      <c r="I157" s="473" t="inlineStr">
        <is>
          <t>VARCHAR2</t>
        </is>
      </c>
      <c r="J157" s="495" t="n">
        <v>100</v>
      </c>
      <c r="K157" s="415" t="inlineStr">
        <is>
          <t>Số điện thoại di động</t>
        </is>
      </c>
      <c r="N157" s="334" t="inlineStr">
        <is>
          <t>MBL_NBR</t>
        </is>
      </c>
      <c r="O157" s="415">
        <f>"COMMENT ON COLUMN PG_GOLD."&amp;G157&amp;"."&amp;H157&amp;" IS '"&amp;K157&amp;"';"</f>
        <v/>
      </c>
      <c r="P157" s="414" t="inlineStr">
        <is>
          <t>Khớp cột đích `MBL_NBR` và kiểu `VARCHAR2` (trước khi xóa dòng dư MST_DN bị lệch thành `MBL_NBR` / `VARCHAR2`).</t>
        </is>
      </c>
    </row>
    <row r="158" ht="41.25" customHeight="1" s="335">
      <c r="A158" s="486" t="inlineStr">
        <is>
          <t>PG_SILVER</t>
        </is>
      </c>
      <c r="B158" s="415" t="inlineStr">
        <is>
          <t>ORG_PRFL</t>
        </is>
      </c>
      <c r="C158" s="415" t="inlineStr">
        <is>
          <t>IDY_LV2_CL_CODE</t>
        </is>
      </c>
      <c r="D158" s="415" t="inlineStr">
        <is>
          <t>1:1</t>
        </is>
      </c>
      <c r="E158" s="415" t="inlineStr">
        <is>
          <t>Interface Customer</t>
        </is>
      </c>
      <c r="F158" s="415" t="inlineStr">
        <is>
          <t>Industry LV2 Classification Code</t>
        </is>
      </c>
      <c r="G158" s="415" t="inlineStr">
        <is>
          <t>INF_CST</t>
        </is>
      </c>
      <c r="H158" s="463" t="inlineStr">
        <is>
          <t>IDY_LV2_CL_CODE</t>
        </is>
      </c>
      <c r="I158" s="473" t="inlineStr">
        <is>
          <t>VARCHAR2</t>
        </is>
      </c>
      <c r="J158" s="495" t="n">
        <v>20</v>
      </c>
      <c r="K158" s="415" t="inlineStr">
        <is>
          <t>Ngành nghề kinh tế</t>
        </is>
      </c>
      <c r="N158" s="334" t="inlineStr">
        <is>
          <t>IDY_LV2_CL_CODE</t>
        </is>
      </c>
      <c r="O158" s="415">
        <f>"COMMENT ON COLUMN PG_GOLD."&amp;G158&amp;"."&amp;H158&amp;" IS '"&amp;K158&amp;"';"</f>
        <v/>
      </c>
      <c r="P158" s="414" t="inlineStr">
        <is>
          <t>Khớp cột đích `IDY_LV2_CL_CODE` và kiểu `VARCHAR2` (trước khi xóa dòng dư MST_DN bị lệch thành `IDY_LV2_CL_CODE` / `VARCHAR2`).</t>
        </is>
      </c>
    </row>
    <row r="159" ht="14.25" customHeight="1" s="3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3C78D8"/>
    <outlinePr summaryBelow="1" summaryRight="1"/>
    <pageSetUpPr fitToPage="0"/>
  </sheetPr>
  <dimension ref="A1:P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2.88" customWidth="1" style="334" min="1" max="1"/>
    <col width="20.66" customWidth="1" style="334" min="2" max="2"/>
    <col width="24.88" customWidth="1" style="334" min="3" max="3"/>
    <col width="18" customWidth="1" style="334" min="4" max="4"/>
    <col width="23.56" customWidth="1" style="334" min="5" max="5"/>
    <col width="18.11" customWidth="1" style="334" min="6" max="6"/>
    <col width="31.33" customWidth="1" style="334" min="7" max="7"/>
    <col width="22.11" customWidth="1" style="334" min="8" max="8"/>
    <col width="15.66" customWidth="1" style="334" min="9" max="9"/>
    <col width="5.88" customWidth="1" style="334" min="10" max="10"/>
    <col width="47.33" customWidth="1" style="334" min="11" max="11"/>
    <col width="6.88" customWidth="1" style="334" min="12" max="12"/>
    <col width="30" customWidth="1" style="334" min="13" max="13"/>
    <col width="55" customWidth="1" style="334" min="16" max="16"/>
  </cols>
  <sheetData>
    <row r="1" ht="14.25" customHeight="1" s="335">
      <c r="A1" s="505" t="inlineStr">
        <is>
          <t>TYPE : SNAPSHOT</t>
        </is>
      </c>
      <c r="B1" s="505" t="n"/>
      <c r="C1" s="505" t="n"/>
      <c r="D1" s="505" t="n"/>
      <c r="E1" s="505" t="n"/>
      <c r="F1" s="505" t="n"/>
      <c r="G1" s="505" t="n"/>
      <c r="H1" s="505" t="n"/>
      <c r="I1" s="505" t="n"/>
      <c r="J1" s="506" t="n"/>
      <c r="K1" s="506" t="n"/>
      <c r="L1" s="506" t="n"/>
      <c r="M1" s="507" t="n"/>
      <c r="N1" s="508" t="n"/>
      <c r="O1" s="508" t="n"/>
    </row>
    <row r="2" ht="14.25" customHeight="1" s="335">
      <c r="A2" s="509" t="inlineStr">
        <is>
          <t>No</t>
        </is>
      </c>
      <c r="B2" s="510" t="inlineStr">
        <is>
          <t>System</t>
        </is>
      </c>
      <c r="C2" s="511" t="inlineStr">
        <is>
          <t>TABLE</t>
        </is>
      </c>
      <c r="D2" s="511" t="inlineStr">
        <is>
          <t>Short table</t>
        </is>
      </c>
      <c r="E2" s="511" t="inlineStr">
        <is>
          <t>Main Table</t>
        </is>
      </c>
      <c r="F2" s="511" t="inlineStr">
        <is>
          <t>Type join</t>
        </is>
      </c>
      <c r="G2" s="511" t="inlineStr">
        <is>
          <t>Condition JOIN</t>
        </is>
      </c>
      <c r="H2" s="511" t="inlineStr">
        <is>
          <t>Condition where</t>
        </is>
      </c>
      <c r="I2" s="511" t="inlineStr">
        <is>
          <t>Fields</t>
        </is>
      </c>
      <c r="J2" s="506" t="n"/>
      <c r="K2" s="506" t="n"/>
      <c r="L2" s="506" t="n"/>
      <c r="M2" s="507" t="n"/>
      <c r="N2" s="508" t="n"/>
      <c r="O2" s="508" t="n"/>
    </row>
    <row r="3" ht="114" customHeight="1" s="335">
      <c r="A3" s="512" t="n">
        <v>1</v>
      </c>
      <c r="B3" s="513" t="inlineStr">
        <is>
          <t>PG_SILVER</t>
        </is>
      </c>
      <c r="C3" s="514" t="inlineStr">
        <is>
          <t>AR_AVY_SHD_ITM</t>
        </is>
      </c>
      <c r="D3" s="515" t="inlineStr">
        <is>
          <t>arr_shd</t>
        </is>
      </c>
      <c r="E3" s="515" t="inlineStr">
        <is>
          <t>main</t>
        </is>
      </c>
      <c r="F3" s="516" t="n"/>
      <c r="G3" s="516" t="n"/>
      <c r="H3" s="517" t="inlineStr">
        <is>
          <t>arr_shd.AR_AVY_SHD_TP = 'LOAN_PD_SHD'
AND ${ETL_DATE} &lt;= arr_shd.EFF_MAT_DT
AND arr_shd.SYS_EXP_DT IS NULL</t>
        </is>
      </c>
      <c r="I3" s="515" t="n"/>
      <c r="J3" s="506" t="n"/>
      <c r="K3" s="506" t="n"/>
      <c r="L3" s="506" t="n"/>
      <c r="M3" s="507" t="n"/>
      <c r="N3" s="508" t="n"/>
      <c r="O3" s="508" t="n"/>
    </row>
    <row r="4" ht="33" customHeight="1" s="335">
      <c r="A4" s="512" t="n">
        <v>2</v>
      </c>
      <c r="B4" s="513" t="inlineStr">
        <is>
          <t>PG_SILVER</t>
        </is>
      </c>
      <c r="C4" s="514" t="inlineStr">
        <is>
          <t>LOAN_AR</t>
        </is>
      </c>
      <c r="D4" s="515" t="inlineStr">
        <is>
          <t>arr_loan</t>
        </is>
      </c>
      <c r="E4" s="515" t="inlineStr">
        <is>
          <t>sub</t>
        </is>
      </c>
      <c r="F4" s="516" t="inlineStr">
        <is>
          <t>left</t>
        </is>
      </c>
      <c r="G4" s="516" t="inlineStr">
        <is>
          <t>arr_shd.AR_ID = arr_loan.AR_ID</t>
        </is>
      </c>
      <c r="H4" s="518" t="inlineStr">
        <is>
          <t>arr_loan.SYS_EXP_DT IS NULL</t>
        </is>
      </c>
      <c r="I4" s="515" t="n"/>
      <c r="J4" s="506" t="n"/>
      <c r="K4" s="506" t="n"/>
      <c r="L4" s="506" t="n"/>
      <c r="M4" s="507" t="n"/>
      <c r="N4" s="508" t="n"/>
      <c r="O4" s="508" t="n"/>
    </row>
    <row r="5" ht="28.5" customHeight="1" s="335">
      <c r="A5" s="519" t="n">
        <v>3</v>
      </c>
      <c r="B5" s="513" t="inlineStr">
        <is>
          <t>PG_SILVER</t>
        </is>
      </c>
      <c r="C5" s="520" t="inlineStr">
        <is>
          <t>LOAN_AR_PRFL</t>
        </is>
      </c>
      <c r="D5" s="521" t="inlineStr">
        <is>
          <t>arr_prfl</t>
        </is>
      </c>
      <c r="E5" s="521" t="inlineStr">
        <is>
          <t>sub</t>
        </is>
      </c>
      <c r="F5" s="516" t="inlineStr">
        <is>
          <t>left</t>
        </is>
      </c>
      <c r="G5" s="522" t="inlineStr">
        <is>
          <t>arr_shd.AR_ID = arr_prfl.AR_ID</t>
        </is>
      </c>
      <c r="H5" s="518" t="inlineStr">
        <is>
          <t>arr_prfl.SYS_EXP_DT IS NULL</t>
        </is>
      </c>
      <c r="I5" s="515" t="n"/>
      <c r="J5" s="506" t="n"/>
      <c r="K5" s="506" t="n"/>
      <c r="L5" s="506" t="n"/>
      <c r="M5" s="507" t="n"/>
      <c r="N5" s="508" t="n"/>
      <c r="O5" s="508" t="n"/>
    </row>
    <row r="6" ht="14.25" customHeight="1" s="335">
      <c r="A6" s="377" t="n">
        <v>4</v>
      </c>
      <c r="B6" s="377" t="inlineStr">
        <is>
          <t>PG_SILVER</t>
        </is>
      </c>
      <c r="C6" s="377" t="inlineStr">
        <is>
          <t>CST</t>
        </is>
      </c>
      <c r="D6" s="377" t="inlineStr">
        <is>
          <t>cst</t>
        </is>
      </c>
      <c r="E6" s="377" t="inlineStr">
        <is>
          <t>sub</t>
        </is>
      </c>
      <c r="F6" s="377" t="inlineStr">
        <is>
          <t>left</t>
        </is>
      </c>
      <c r="G6" s="377" t="inlineStr">
        <is>
          <t>arr_shd.CST_ID = cst.CST_ID</t>
        </is>
      </c>
      <c r="H6" s="377" t="inlineStr">
        <is>
          <t>cst.SYS_EXP_DT IS NULL</t>
        </is>
      </c>
      <c r="I6" s="506" t="n"/>
      <c r="J6" s="506" t="n"/>
      <c r="K6" s="506" t="n"/>
      <c r="L6" s="506" t="n"/>
      <c r="M6" s="507" t="n"/>
      <c r="N6" s="508" t="n"/>
      <c r="O6" s="508" t="n"/>
    </row>
    <row r="7" ht="14.25" customHeight="1" s="335">
      <c r="A7" s="416" t="n">
        <v>5</v>
      </c>
      <c r="B7" s="416" t="inlineStr">
        <is>
          <t>PG_SILVER</t>
        </is>
      </c>
      <c r="C7" s="416" t="inlineStr">
        <is>
          <t>IDV_PRFL</t>
        </is>
      </c>
      <c r="D7" s="416" t="inlineStr">
        <is>
          <t>cst_idv</t>
        </is>
      </c>
      <c r="E7" s="416" t="inlineStr">
        <is>
          <t>sub</t>
        </is>
      </c>
      <c r="F7" s="416" t="inlineStr">
        <is>
          <t>left</t>
        </is>
      </c>
      <c r="G7" s="416" t="inlineStr">
        <is>
          <t>arr_shd.CST_ID = cst_idv.CST_ID</t>
        </is>
      </c>
      <c r="H7" s="416" t="inlineStr">
        <is>
          <t>cst_idv.SYS_EXP_DT IS NULL</t>
        </is>
      </c>
    </row>
    <row r="8" ht="14.25" customHeight="1" s="335">
      <c r="A8" s="416" t="n">
        <v>6</v>
      </c>
      <c r="B8" s="416" t="inlineStr">
        <is>
          <t>PG_SILVER</t>
        </is>
      </c>
      <c r="C8" s="416" t="inlineStr">
        <is>
          <t>ORG_PRFL</t>
        </is>
      </c>
      <c r="D8" s="416" t="inlineStr">
        <is>
          <t>cst_org</t>
        </is>
      </c>
      <c r="E8" s="416" t="inlineStr">
        <is>
          <t>sub</t>
        </is>
      </c>
      <c r="F8" s="416" t="inlineStr">
        <is>
          <t>left</t>
        </is>
      </c>
      <c r="G8" s="416" t="inlineStr">
        <is>
          <t>arr_shd.CST_ID = cst_org.CST_ID</t>
        </is>
      </c>
      <c r="H8" s="416" t="inlineStr">
        <is>
          <t>cst_org.SYS_EXP_DT IS NULL</t>
        </is>
      </c>
    </row>
    <row r="9" ht="14.25" customHeight="1" s="335">
      <c r="A9" s="505" t="inlineStr">
        <is>
          <t>Nguồn</t>
        </is>
      </c>
      <c r="B9" s="505" t="inlineStr">
        <is>
          <t>Bảng nguồn</t>
        </is>
      </c>
      <c r="C9" s="505" t="inlineStr">
        <is>
          <t>Cột nguồn</t>
        </is>
      </c>
      <c r="D9" s="505" t="inlineStr">
        <is>
          <t>Transform</t>
        </is>
      </c>
      <c r="E9" s="505" t="inlineStr">
        <is>
          <t>Entity</t>
        </is>
      </c>
      <c r="F9" s="505" t="inlineStr">
        <is>
          <t>Attribute</t>
        </is>
      </c>
      <c r="G9" s="505" t="inlineStr">
        <is>
          <t>Bảng đích</t>
        </is>
      </c>
      <c r="H9" s="505" t="inlineStr">
        <is>
          <t>Cột đích</t>
        </is>
      </c>
      <c r="I9" s="505" t="inlineStr">
        <is>
          <t>Kiểu dữ liệu</t>
        </is>
      </c>
      <c r="J9" s="505" t="inlineStr">
        <is>
          <t>Độ dài</t>
        </is>
      </c>
      <c r="K9" s="505" t="inlineStr">
        <is>
          <t>Diễn giải</t>
        </is>
      </c>
      <c r="L9" s="505" t="inlineStr">
        <is>
          <t>Term</t>
        </is>
      </c>
      <c r="M9" s="523" t="inlineStr">
        <is>
          <t>Glossary</t>
        </is>
      </c>
      <c r="N9" s="505" t="inlineStr">
        <is>
          <t>Note</t>
        </is>
      </c>
      <c r="O9" s="505" t="inlineStr">
        <is>
          <t>DDL Comment</t>
        </is>
      </c>
      <c r="P9" s="413" t="inlineStr">
        <is>
          <t>Ghi chú kỹ thuật &amp; Business Rule</t>
        </is>
      </c>
    </row>
    <row r="10" ht="14.25" customHeight="1" s="335">
      <c r="A10" s="513" t="inlineStr">
        <is>
          <t>PG_SILVER</t>
        </is>
      </c>
      <c r="B10" s="513" t="inlineStr">
        <is>
          <t>AR_AVY_SHD_ITM</t>
        </is>
      </c>
      <c r="C10" s="524" t="inlineStr">
        <is>
          <t>EFF_MAT_DT</t>
        </is>
      </c>
      <c r="D10" s="524" t="inlineStr">
        <is>
          <t>${ETL_DATE}</t>
        </is>
      </c>
      <c r="E10" s="525" t="inlineStr">
        <is>
          <t>Interface Loan Repayment Schedule</t>
        </is>
      </c>
      <c r="F10" s="515" t="inlineStr">
        <is>
          <t>Interface Loan Repayment Schedule</t>
        </is>
      </c>
      <c r="G10" s="515" t="inlineStr">
        <is>
          <t>INTF_LOAN_REPYMT_SHD</t>
        </is>
      </c>
      <c r="H10" s="508" t="inlineStr">
        <is>
          <t>CDR_DT</t>
        </is>
      </c>
      <c r="I10" s="515" t="inlineStr">
        <is>
          <t>DATE</t>
        </is>
      </c>
      <c r="J10" s="515" t="n"/>
      <c r="K10" s="525" t="inlineStr">
        <is>
          <t>Ngày snapshot</t>
        </is>
      </c>
      <c r="L10" s="526" t="inlineStr">
        <is>
          <t>x</t>
        </is>
      </c>
      <c r="M10" s="527" t="inlineStr">
        <is>
          <t>Ngày dữ liệu trong dwh</t>
        </is>
      </c>
      <c r="N10" s="508" t="n"/>
      <c r="O10" s="508">
        <f>"COMMENT ON COLUMN PG_GOLD."&amp;G10&amp;"."&amp;H10&amp;" IS '"&amp;K10&amp;"';"</f>
        <v/>
      </c>
    </row>
    <row r="11" ht="14.25" customHeight="1" s="335">
      <c r="A11" s="513" t="inlineStr">
        <is>
          <t>PG_SILVER</t>
        </is>
      </c>
      <c r="B11" s="514" t="inlineStr">
        <is>
          <t>AR_AVY_SHD_ITM</t>
        </is>
      </c>
      <c r="C11" s="528" t="inlineStr">
        <is>
          <t>CST_ID</t>
        </is>
      </c>
      <c r="D11" s="524" t="inlineStr">
        <is>
          <t>1:1</t>
        </is>
      </c>
      <c r="E11" s="525" t="inlineStr">
        <is>
          <t>Interface Loan Repayment Schedule</t>
        </is>
      </c>
      <c r="F11" s="515" t="inlineStr">
        <is>
          <t>Customer ID</t>
        </is>
      </c>
      <c r="G11" s="515" t="inlineStr">
        <is>
          <t>INTF_LOAN_REPYMT_SHD</t>
        </is>
      </c>
      <c r="H11" s="515" t="inlineStr">
        <is>
          <t>CST_ID</t>
        </is>
      </c>
      <c r="I11" s="515" t="inlineStr">
        <is>
          <t>CHAR</t>
        </is>
      </c>
      <c r="J11" s="515" t="n">
        <v>32</v>
      </c>
      <c r="K11" s="525" t="inlineStr">
        <is>
          <t>Mã số định danh duy nhất của khách hàng trên dwh</t>
        </is>
      </c>
      <c r="L11" s="526" t="inlineStr">
        <is>
          <t>x</t>
        </is>
      </c>
      <c r="M11" s="527" t="inlineStr">
        <is>
          <t>Key định danh trong dwh</t>
        </is>
      </c>
      <c r="N11" s="508" t="n"/>
      <c r="O11" s="508">
        <f>"COMMENT ON COLUMN PG_GOLD."&amp;G11&amp;"."&amp;H11&amp;" IS '"&amp;K11&amp;"';"</f>
        <v/>
      </c>
    </row>
    <row r="12" ht="14.25" customHeight="1" s="335">
      <c r="A12" s="513" t="inlineStr">
        <is>
          <t>PG_SILVER</t>
        </is>
      </c>
      <c r="B12" s="514" t="inlineStr">
        <is>
          <t>AR_AVY_SHD_ITM</t>
        </is>
      </c>
      <c r="C12" s="528" t="inlineStr">
        <is>
          <t>CST_CODE</t>
        </is>
      </c>
      <c r="D12" s="524" t="inlineStr">
        <is>
          <t>1:1</t>
        </is>
      </c>
      <c r="E12" s="525" t="inlineStr">
        <is>
          <t>Interface Loan Repayment Schedule</t>
        </is>
      </c>
      <c r="F12" s="515" t="inlineStr">
        <is>
          <t>Customer Code</t>
        </is>
      </c>
      <c r="G12" s="515" t="inlineStr">
        <is>
          <t>INTF_LOAN_REPYMT_SHD</t>
        </is>
      </c>
      <c r="H12" s="515" t="inlineStr">
        <is>
          <t>CST_CODE</t>
        </is>
      </c>
      <c r="I12" s="515" t="inlineStr">
        <is>
          <t>VARCHAR2</t>
        </is>
      </c>
      <c r="J12" s="515" t="n">
        <v>32</v>
      </c>
      <c r="K12" s="515" t="inlineStr">
        <is>
          <t>Mã khách hàng (CIF)</t>
        </is>
      </c>
      <c r="L12" s="526" t="n"/>
      <c r="M12" s="527" t="n"/>
      <c r="N12" s="508" t="n"/>
      <c r="O12" s="508">
        <f>"COMMENT ON COLUMN PG_GOLD."&amp;G12&amp;"."&amp;H12&amp;" IS '"&amp;K12&amp;"';"</f>
        <v/>
      </c>
    </row>
    <row r="13" ht="14.25" customHeight="1" s="335">
      <c r="A13" s="513" t="inlineStr">
        <is>
          <t>PG_SILVER</t>
        </is>
      </c>
      <c r="B13" s="514" t="inlineStr">
        <is>
          <t>AR_AVY_SHD_ITM</t>
        </is>
      </c>
      <c r="C13" s="515" t="inlineStr">
        <is>
          <t>AR_AVY_SHD_CODE</t>
        </is>
      </c>
      <c r="D13" s="524" t="inlineStr">
        <is>
          <t>1:1</t>
        </is>
      </c>
      <c r="E13" s="525" t="inlineStr">
        <is>
          <t>Interface Loan Repayment Schedule</t>
        </is>
      </c>
      <c r="F13" s="515" t="inlineStr">
        <is>
          <t>Arrangement Activity Schedule Code</t>
        </is>
      </c>
      <c r="G13" s="515" t="inlineStr">
        <is>
          <t>INTF_LOAN_REPYMT_SHD</t>
        </is>
      </c>
      <c r="H13" s="515" t="inlineStr">
        <is>
          <t>AR_AVY_SHD_CODE</t>
        </is>
      </c>
      <c r="I13" s="515" t="inlineStr">
        <is>
          <t>VARCHAR2</t>
        </is>
      </c>
      <c r="J13" s="515" t="n">
        <v>32</v>
      </c>
      <c r="K13" s="525" t="inlineStr">
        <is>
          <t>Mã số dòng lịch trên hệ thống nguồn</t>
        </is>
      </c>
      <c r="L13" s="529" t="inlineStr">
        <is>
          <t>X</t>
        </is>
      </c>
      <c r="M13" s="530" t="inlineStr">
        <is>
          <t>T24CORE.RECID</t>
        </is>
      </c>
      <c r="N13" s="508" t="n"/>
      <c r="O13" s="508">
        <f>"COMMENT ON COLUMN PG_GOLD."&amp;G13&amp;"."&amp;H13&amp;" IS '"&amp;K13&amp;"';"</f>
        <v/>
      </c>
    </row>
    <row r="14" ht="14.25" customHeight="1" s="335">
      <c r="A14" s="513" t="inlineStr">
        <is>
          <t>PG_SILVER</t>
        </is>
      </c>
      <c r="B14" s="514" t="inlineStr">
        <is>
          <t>AR_AVY_SHD_ITM</t>
        </is>
      </c>
      <c r="C14" s="531" t="inlineStr">
        <is>
          <t>AR_CODE</t>
        </is>
      </c>
      <c r="D14" s="524" t="inlineStr">
        <is>
          <t>1:1</t>
        </is>
      </c>
      <c r="E14" s="525" t="inlineStr">
        <is>
          <t>Interface Loan Repayment Schedule</t>
        </is>
      </c>
      <c r="F14" s="515" t="inlineStr">
        <is>
          <t>Arrangement  Code</t>
        </is>
      </c>
      <c r="G14" s="515" t="inlineStr">
        <is>
          <t>INTF_LOAN_REPYMT_SHD</t>
        </is>
      </c>
      <c r="H14" s="531" t="inlineStr">
        <is>
          <t>AR_CODE</t>
        </is>
      </c>
      <c r="I14" s="515" t="inlineStr">
        <is>
          <t>VARCHAR2</t>
        </is>
      </c>
      <c r="J14" s="515" t="n">
        <v>32</v>
      </c>
      <c r="K14" s="525" t="inlineStr">
        <is>
          <t>Mã tài khoản vay</t>
        </is>
      </c>
      <c r="L14" s="526" t="inlineStr">
        <is>
          <t>x</t>
        </is>
      </c>
      <c r="M14" s="527" t="inlineStr">
        <is>
          <t>Mã hợp đồng vay</t>
        </is>
      </c>
      <c r="N14" s="508" t="n"/>
      <c r="O14" s="508">
        <f>"COMMENT ON COLUMN PG_GOLD."&amp;G14&amp;"."&amp;H14&amp;" IS '"&amp;K14&amp;"';"</f>
        <v/>
      </c>
    </row>
    <row r="15" ht="14.25" customHeight="1" s="335">
      <c r="A15" s="513" t="inlineStr">
        <is>
          <t>PG_SILVER</t>
        </is>
      </c>
      <c r="B15" s="520" t="inlineStr">
        <is>
          <t>LOAN_AR_PRFL</t>
        </is>
      </c>
      <c r="C15" s="520" t="inlineStr">
        <is>
          <t>OU_CODE</t>
        </is>
      </c>
      <c r="D15" s="524" t="inlineStr">
        <is>
          <t>1:1</t>
        </is>
      </c>
      <c r="E15" s="532" t="inlineStr">
        <is>
          <t>Interface Loan Repayment Schedule</t>
        </is>
      </c>
      <c r="F15" s="515" t="inlineStr">
        <is>
          <t>Organization Unit Code</t>
        </is>
      </c>
      <c r="G15" s="515" t="inlineStr">
        <is>
          <t>INTF_LOAN_REPYMT_SHD</t>
        </is>
      </c>
      <c r="H15" s="515" t="inlineStr">
        <is>
          <t>OU_CODE</t>
        </is>
      </c>
      <c r="I15" s="515" t="inlineStr">
        <is>
          <t>VARCHAR2</t>
        </is>
      </c>
      <c r="J15" s="515" t="n">
        <v>32</v>
      </c>
      <c r="K15" s="525" t="inlineStr">
        <is>
          <t>Chi nhánh hạch toán</t>
        </is>
      </c>
      <c r="L15" s="533" t="inlineStr">
        <is>
          <t>x</t>
        </is>
      </c>
      <c r="M15" s="534" t="inlineStr">
        <is>
          <t>Mã chi nhánh hạch toán</t>
        </is>
      </c>
      <c r="N15" s="508" t="n"/>
      <c r="O15" s="508">
        <f>"COMMENT ON COLUMN PG_GOLD."&amp;G15&amp;"."&amp;H15&amp;" IS '"&amp;K15&amp;"';"</f>
        <v/>
      </c>
    </row>
    <row r="16" ht="69" customHeight="1" s="335">
      <c r="A16" s="513" t="inlineStr">
        <is>
          <t>PG_SILVER</t>
        </is>
      </c>
      <c r="B16" s="514" t="inlineStr">
        <is>
          <t>AR_AVY_SHD_ITM</t>
        </is>
      </c>
      <c r="C16" s="515" t="inlineStr">
        <is>
          <t>EFF_MAT_DT</t>
        </is>
      </c>
      <c r="D16" s="524" t="inlineStr">
        <is>
          <t>1:1</t>
        </is>
      </c>
      <c r="E16" s="525" t="inlineStr">
        <is>
          <t>Interface Loan Repayment Schedule</t>
        </is>
      </c>
      <c r="F16" s="515" t="inlineStr">
        <is>
          <t>Effective Maturity Date</t>
        </is>
      </c>
      <c r="G16" s="515" t="inlineStr">
        <is>
          <t>INTF_LOAN_REPYMT_SHD</t>
        </is>
      </c>
      <c r="H16" s="515" t="inlineStr">
        <is>
          <t>EFF_MAT_DT</t>
        </is>
      </c>
      <c r="I16" s="515" t="inlineStr">
        <is>
          <t>DATE</t>
        </is>
      </c>
      <c r="J16" s="515" t="n"/>
      <c r="K16" s="535" t="inlineStr">
        <is>
          <t>Ngày đáo hạn thực tế</t>
        </is>
      </c>
      <c r="L16" s="533" t="inlineStr">
        <is>
          <t>x</t>
        </is>
      </c>
      <c r="M16" s="534" t="inlineStr">
        <is>
          <t>Ngày hiệu lực của lịch trả nợ</t>
        </is>
      </c>
      <c r="N16" s="508" t="n"/>
      <c r="O16" s="508">
        <f>"COMMENT ON COLUMN PG_GOLD."&amp;G16&amp;"."&amp;H16&amp;" IS '"&amp;K16&amp;"';"</f>
        <v/>
      </c>
    </row>
    <row r="17" ht="14.25" customHeight="1" s="335">
      <c r="A17" s="513" t="inlineStr">
        <is>
          <t>PG_SILVER</t>
        </is>
      </c>
      <c r="B17" s="514" t="inlineStr">
        <is>
          <t>AR_AVY_SHD_ITM</t>
        </is>
      </c>
      <c r="C17" s="515" t="inlineStr">
        <is>
          <t>CCY_CODE</t>
        </is>
      </c>
      <c r="D17" s="524" t="inlineStr">
        <is>
          <t>1:1</t>
        </is>
      </c>
      <c r="E17" s="532" t="inlineStr">
        <is>
          <t>Interface Loan Repayment Schedule</t>
        </is>
      </c>
      <c r="F17" s="515" t="inlineStr">
        <is>
          <t>Currency Code</t>
        </is>
      </c>
      <c r="G17" s="515" t="inlineStr">
        <is>
          <t>INTF_LOAN_REPYMT_SHD</t>
        </is>
      </c>
      <c r="H17" s="515" t="inlineStr">
        <is>
          <t>CCY_CODE</t>
        </is>
      </c>
      <c r="I17" s="515" t="inlineStr">
        <is>
          <t>VARCHAR2</t>
        </is>
      </c>
      <c r="J17" s="515" t="n">
        <v>20</v>
      </c>
      <c r="K17" s="525" t="inlineStr">
        <is>
          <t>Mã loại tiền</t>
        </is>
      </c>
      <c r="L17" s="533" t="inlineStr">
        <is>
          <t>x</t>
        </is>
      </c>
      <c r="M17" s="534" t="inlineStr">
        <is>
          <t>Mã loại tiền</t>
        </is>
      </c>
      <c r="N17" s="508" t="n"/>
      <c r="O17" s="508">
        <f>"COMMENT ON COLUMN PG_GOLD."&amp;G17&amp;"."&amp;H17&amp;" IS '"&amp;K17&amp;"';"</f>
        <v/>
      </c>
    </row>
    <row r="18" ht="14.25" customHeight="1" s="335">
      <c r="A18" s="513" t="inlineStr">
        <is>
          <t>PG_SILVER</t>
        </is>
      </c>
      <c r="B18" s="515" t="inlineStr">
        <is>
          <t>AR_AVY_SHD_ITM</t>
        </is>
      </c>
      <c r="C18" s="536" t="inlineStr">
        <is>
          <t>PBL_AMT_TP</t>
        </is>
      </c>
      <c r="D18" s="537" t="inlineStr">
        <is>
          <t>1:1</t>
        </is>
      </c>
      <c r="E18" s="525" t="inlineStr">
        <is>
          <t>Interface Loan Repayment Schedule</t>
        </is>
      </c>
      <c r="F18" s="515" t="inlineStr">
        <is>
          <t>Payable Amount  Type</t>
        </is>
      </c>
      <c r="G18" s="515" t="inlineStr">
        <is>
          <t>INTF_LOAN_REPYMT_SHD</t>
        </is>
      </c>
      <c r="H18" s="536" t="inlineStr">
        <is>
          <t>PBL_AMT_TP</t>
        </is>
      </c>
      <c r="I18" s="515" t="inlineStr">
        <is>
          <t>VARCHAR2</t>
        </is>
      </c>
      <c r="J18" s="515" t="n">
        <v>20</v>
      </c>
      <c r="K18" s="538" t="inlineStr">
        <is>
          <t>Phân loại tiền cần thanh toán trong kỳ bill tương ứng (PS/PE/LD,..)</t>
        </is>
      </c>
      <c r="L18" s="521" t="inlineStr">
        <is>
          <t>x</t>
        </is>
      </c>
      <c r="M18" s="539" t="inlineStr">
        <is>
          <t>Loại tiền phải trả:
 Gốc phải trả (Principal Due)
 Lãi phải trả (Interest Due)
 Lãi quá hạn (Past-due Interest)
 Lãi phạt (Penalty Interest)</t>
        </is>
      </c>
      <c r="N18" s="508" t="n"/>
      <c r="O18" s="508">
        <f>"COMMENT ON COLUMN PG_GOLD."&amp;G18&amp;"."&amp;H18&amp;" IS '"&amp;K18&amp;"';"</f>
        <v/>
      </c>
    </row>
    <row r="19" ht="14.25" customHeight="1" s="335">
      <c r="A19" s="513" t="inlineStr">
        <is>
          <t>PG_SILVER</t>
        </is>
      </c>
      <c r="B19" s="515" t="inlineStr">
        <is>
          <t>AR_AVY_SHD_ITM</t>
        </is>
      </c>
      <c r="C19" s="515" t="inlineStr">
        <is>
          <t>PBL_AMT_LCY</t>
        </is>
      </c>
      <c r="D19" s="537" t="inlineStr">
        <is>
          <t>1:1</t>
        </is>
      </c>
      <c r="E19" s="525" t="inlineStr">
        <is>
          <t>Interface Loan Repayment Schedule</t>
        </is>
      </c>
      <c r="F19" s="515" t="inlineStr">
        <is>
          <t>Payable Amount LCY</t>
        </is>
      </c>
      <c r="G19" s="515" t="inlineStr">
        <is>
          <t>INTF_LOAN_REPYMT_SHD</t>
        </is>
      </c>
      <c r="H19" s="537" t="inlineStr">
        <is>
          <t>PBL_AMT_LCY</t>
        </is>
      </c>
      <c r="I19" s="515" t="inlineStr">
        <is>
          <t>NUMBER</t>
        </is>
      </c>
      <c r="J19" s="515" t="n">
        <v>25.5</v>
      </c>
      <c r="K19" s="532" t="inlineStr">
        <is>
          <t>Số tiền cần thanh toán quy đổi trong kỳ bill tương ứng</t>
        </is>
      </c>
      <c r="L19" s="533" t="inlineStr">
        <is>
          <t>x</t>
        </is>
      </c>
      <c r="M19" s="534" t="inlineStr">
        <is>
          <t>Số tiền phải trả mỗi kỳ quy đổi</t>
        </is>
      </c>
      <c r="N19" s="508" t="n"/>
      <c r="O19" s="508">
        <f>"COMMENT ON COLUMN PG_GOLD."&amp;G19&amp;"."&amp;H19&amp;" IS '"&amp;K19&amp;"';"</f>
        <v/>
      </c>
    </row>
    <row r="20" ht="14.25" customHeight="1" s="335">
      <c r="A20" s="513" t="inlineStr">
        <is>
          <t>PG_SILVER</t>
        </is>
      </c>
      <c r="B20" s="515" t="inlineStr">
        <is>
          <t>AR_AVY_SHD_ITM</t>
        </is>
      </c>
      <c r="C20" s="515" t="inlineStr">
        <is>
          <t>PBL_AMT_FCY</t>
        </is>
      </c>
      <c r="D20" s="537" t="inlineStr">
        <is>
          <t>1:1</t>
        </is>
      </c>
      <c r="E20" s="525" t="inlineStr">
        <is>
          <t>Interface Loan Repayment Schedule</t>
        </is>
      </c>
      <c r="F20" s="515" t="inlineStr">
        <is>
          <t>Payable Amount FCY</t>
        </is>
      </c>
      <c r="G20" s="515" t="inlineStr">
        <is>
          <t>INTF_LOAN_REPYMT_SHD</t>
        </is>
      </c>
      <c r="H20" s="537" t="inlineStr">
        <is>
          <t>PBL_AMT_FCY</t>
        </is>
      </c>
      <c r="I20" s="515" t="inlineStr">
        <is>
          <t>NUMBER</t>
        </is>
      </c>
      <c r="J20" s="515" t="n">
        <v>25.5</v>
      </c>
      <c r="K20" s="532" t="inlineStr">
        <is>
          <t>Số tiền cần thanh toán nguyên tệ trong kỳ bill tương ứng</t>
        </is>
      </c>
      <c r="L20" s="533" t="inlineStr">
        <is>
          <t>x</t>
        </is>
      </c>
      <c r="M20" s="534" t="inlineStr">
        <is>
          <t>Số tiền phải trả mỗi kỳ nguyên tệ</t>
        </is>
      </c>
      <c r="N20" s="508" t="n"/>
      <c r="O20" s="508">
        <f>"COMMENT ON COLUMN PG_GOLD."&amp;G20&amp;"."&amp;H20&amp;" IS '"&amp;K20&amp;"';"</f>
        <v/>
      </c>
    </row>
    <row r="21" ht="14.25" customHeight="1" s="335">
      <c r="A21" s="513" t="inlineStr">
        <is>
          <t>PG_SILVER</t>
        </is>
      </c>
      <c r="B21" s="515" t="inlineStr">
        <is>
          <t>AR_AVY_SHD_ITM</t>
        </is>
      </c>
      <c r="C21" s="515" t="inlineStr">
        <is>
          <t>EXG_RATE</t>
        </is>
      </c>
      <c r="D21" s="537" t="inlineStr">
        <is>
          <t>1:1</t>
        </is>
      </c>
      <c r="E21" s="525" t="inlineStr">
        <is>
          <t>Interface Loan Repayment Schedule</t>
        </is>
      </c>
      <c r="F21" s="515" t="inlineStr">
        <is>
          <t>Exchange Rate</t>
        </is>
      </c>
      <c r="G21" s="515" t="inlineStr">
        <is>
          <t>INTF_LOAN_REPYMT_SHD</t>
        </is>
      </c>
      <c r="H21" s="515" t="inlineStr">
        <is>
          <t>EXG_RATE</t>
        </is>
      </c>
      <c r="I21" s="515" t="inlineStr">
        <is>
          <t>NUMBER</t>
        </is>
      </c>
      <c r="J21" s="515" t="n">
        <v>25.7</v>
      </c>
      <c r="K21" s="525" t="inlineStr">
        <is>
          <t>Tỷ giá thực hiện</t>
        </is>
      </c>
      <c r="L21" s="533" t="inlineStr">
        <is>
          <t>x</t>
        </is>
      </c>
      <c r="M21" s="534" t="inlineStr">
        <is>
          <t>Tỷ giá thực hiện</t>
        </is>
      </c>
      <c r="N21" s="508" t="n"/>
      <c r="O21" s="508">
        <f>"COMMENT ON COLUMN PG_GOLD."&amp;G21&amp;"."&amp;H21&amp;" IS '"&amp;K21&amp;"';"</f>
        <v/>
      </c>
    </row>
    <row r="22" ht="27" customHeight="1" s="335">
      <c r="A22" s="513" t="inlineStr">
        <is>
          <t>PG_SILVER</t>
        </is>
      </c>
      <c r="B22" s="514" t="inlineStr">
        <is>
          <t>AR_AVY_SHD_ITM</t>
        </is>
      </c>
      <c r="C22" s="537" t="inlineStr">
        <is>
          <t>PBL_AMT_TP</t>
        </is>
      </c>
      <c r="D22" s="524" t="inlineStr">
        <is>
          <t>'DUE'</t>
        </is>
      </c>
      <c r="E22" s="525" t="inlineStr">
        <is>
          <t>Interface Loan Repayment Schedule</t>
        </is>
      </c>
      <c r="F22" s="515" t="inlineStr">
        <is>
          <t>Lending Repayment Type</t>
        </is>
      </c>
      <c r="G22" s="515" t="inlineStr">
        <is>
          <t>INTF_LOAN_REPYMT_SHD</t>
        </is>
      </c>
      <c r="H22" s="515" t="inlineStr">
        <is>
          <t>LND_REPYMT_TP</t>
        </is>
      </c>
      <c r="I22" s="515" t="inlineStr">
        <is>
          <t>CHAR</t>
        </is>
      </c>
      <c r="J22" s="515" t="n">
        <v>10</v>
      </c>
      <c r="K22" s="532" t="inlineStr">
        <is>
          <t>Phân loại bút toán ( PAID/DUE)</t>
        </is>
      </c>
      <c r="L22" s="533" t="inlineStr">
        <is>
          <t>x</t>
        </is>
      </c>
      <c r="M22" s="540" t="inlineStr">
        <is>
          <t>Phân loại bút toán ( PAID/DUE)</t>
        </is>
      </c>
      <c r="N22" s="508" t="n"/>
      <c r="O22" s="508">
        <f>"COMMENT ON COLUMN PG_GOLD."&amp;G22&amp;"."&amp;H22&amp;" IS '"&amp;K22&amp;"';"</f>
        <v/>
      </c>
    </row>
    <row r="23" ht="14.25" customHeight="1" s="335">
      <c r="A23" s="513" t="inlineStr">
        <is>
          <t>PG_SILVER</t>
        </is>
      </c>
      <c r="B23" s="514" t="inlineStr">
        <is>
          <t>AR_AVY_SHD_ITM</t>
        </is>
      </c>
      <c r="C23" s="531" t="inlineStr">
        <is>
          <t>F_LAST_OD_DT</t>
        </is>
      </c>
      <c r="D23" s="537" t="inlineStr">
        <is>
          <t>1:1</t>
        </is>
      </c>
      <c r="E23" s="515" t="inlineStr">
        <is>
          <t>Interface Loan Repayment Schedule</t>
        </is>
      </c>
      <c r="F23" s="515" t="inlineStr">
        <is>
          <t>Flag Last Overdue Date</t>
        </is>
      </c>
      <c r="G23" s="515" t="inlineStr">
        <is>
          <t>INTF_LOAN_REPYMT_SHD</t>
        </is>
      </c>
      <c r="H23" s="531" t="inlineStr">
        <is>
          <t>F_LAST_OD_DT</t>
        </is>
      </c>
      <c r="I23" s="515" t="inlineStr">
        <is>
          <t>NUMBER</t>
        </is>
      </c>
      <c r="J23" s="512" t="n">
        <v>1</v>
      </c>
      <c r="K23" s="532" t="inlineStr">
        <is>
          <t>Cờ hợp đồng có đang tồn tại kỳ trả nợ quá hạn gần nhất hay không</t>
        </is>
      </c>
      <c r="L23" s="533" t="inlineStr">
        <is>
          <t>x</t>
        </is>
      </c>
      <c r="M23" s="534" t="inlineStr">
        <is>
          <t>Cờ đánh dấu kỳ trả nợ gần nhất</t>
        </is>
      </c>
      <c r="N23" s="508" t="n"/>
      <c r="O23" s="508">
        <f>"COMMENT ON COLUMN PG_GOLD."&amp;G23&amp;"."&amp;H23&amp;" IS '"&amp;K23&amp;"';"</f>
        <v/>
      </c>
    </row>
    <row r="24" ht="14.25" customHeight="1" s="335">
      <c r="A24" s="513" t="inlineStr">
        <is>
          <t>PG_SILVER</t>
        </is>
      </c>
      <c r="B24" s="514" t="inlineStr">
        <is>
          <t>AR_AVY_SHD_ITM</t>
        </is>
      </c>
      <c r="C24" s="531" t="inlineStr">
        <is>
          <t>LAST_OD_DT</t>
        </is>
      </c>
      <c r="D24" s="537" t="inlineStr">
        <is>
          <t>1:1</t>
        </is>
      </c>
      <c r="E24" s="515" t="inlineStr">
        <is>
          <t>Interface Loan Repayment Schedule</t>
        </is>
      </c>
      <c r="F24" s="515" t="inlineStr">
        <is>
          <t>Last Overdue Date</t>
        </is>
      </c>
      <c r="G24" s="515" t="inlineStr">
        <is>
          <t>INTF_LOAN_REPYMT_SHD</t>
        </is>
      </c>
      <c r="H24" s="531" t="inlineStr">
        <is>
          <t>LAST_OD_DT</t>
        </is>
      </c>
      <c r="I24" s="515" t="inlineStr">
        <is>
          <t>DATE</t>
        </is>
      </c>
      <c r="J24" s="515" t="n"/>
      <c r="K24" s="532" t="inlineStr">
        <is>
          <t>Ngày đến hạn của kỳ trả nợ gần nhất đã chuyển sang quá hạn</t>
        </is>
      </c>
      <c r="L24" s="533" t="inlineStr">
        <is>
          <t>x</t>
        </is>
      </c>
      <c r="M24" s="540" t="inlineStr">
        <is>
          <t>Ngày đến hạn của kỳ trả nợ gần nhất đã chuyển sang quá hạn</t>
        </is>
      </c>
      <c r="N24" s="508" t="n"/>
      <c r="O24" s="508">
        <f>"COMMENT ON COLUMN PG_GOLD."&amp;G24&amp;"."&amp;H24&amp;" IS '"&amp;K24&amp;"';"</f>
        <v/>
      </c>
    </row>
    <row r="25" ht="14.25" customHeight="1" s="335">
      <c r="A25" s="513" t="inlineStr">
        <is>
          <t>PG_SILVER</t>
        </is>
      </c>
      <c r="B25" s="514" t="inlineStr">
        <is>
          <t>LOAN_AR</t>
        </is>
      </c>
      <c r="C25" s="541" t="inlineStr">
        <is>
          <t>FCC_VAL_DT</t>
        </is>
      </c>
      <c r="D25" s="537" t="inlineStr">
        <is>
          <t>1:1</t>
        </is>
      </c>
      <c r="E25" s="508" t="inlineStr">
        <is>
          <t>Interface Loan Repayment Schedule</t>
        </is>
      </c>
      <c r="F25" s="515" t="inlineStr">
        <is>
          <t>FCC Value Date</t>
        </is>
      </c>
      <c r="G25" s="515" t="inlineStr">
        <is>
          <t>INTF_LOAN_REPYMT_SHD</t>
        </is>
      </c>
      <c r="H25" s="541" t="inlineStr">
        <is>
          <t>FCC_VAL_DT</t>
        </is>
      </c>
      <c r="I25" s="515" t="inlineStr">
        <is>
          <t>DATE</t>
        </is>
      </c>
      <c r="J25" s="515" t="n"/>
      <c r="K25" s="532" t="inlineStr">
        <is>
          <t>Ngày tạo bút toán ( booking_date)</t>
        </is>
      </c>
      <c r="L25" s="533" t="inlineStr">
        <is>
          <t>x</t>
        </is>
      </c>
      <c r="M25" s="540" t="inlineStr">
        <is>
          <t>Ngày tạo bút toán ( booking_date)</t>
        </is>
      </c>
      <c r="N25" s="508" t="n"/>
      <c r="O25" s="508">
        <f>"COMMENT ON COLUMN PG_GOLD."&amp;G25&amp;"."&amp;H25&amp;" IS '"&amp;K25&amp;"';"</f>
        <v/>
      </c>
    </row>
    <row r="26" ht="96" customHeight="1" s="335">
      <c r="A26" s="513" t="inlineStr">
        <is>
          <t>PG_SILVER</t>
        </is>
      </c>
      <c r="B26" s="514" t="inlineStr">
        <is>
          <t>LOAN_AR</t>
        </is>
      </c>
      <c r="C26" s="520" t="inlineStr">
        <is>
          <t>MAT_DT</t>
        </is>
      </c>
      <c r="D26" s="537" t="inlineStr">
        <is>
          <t>1:1</t>
        </is>
      </c>
      <c r="E26" s="524" t="inlineStr">
        <is>
          <t>Interface Loan Repayment Schedule</t>
        </is>
      </c>
      <c r="F26" s="515" t="inlineStr">
        <is>
          <t>Maturity Date</t>
        </is>
      </c>
      <c r="G26" s="515" t="inlineStr">
        <is>
          <t>INTF_LOAN_REPYMT_SHD</t>
        </is>
      </c>
      <c r="H26" s="520" t="inlineStr">
        <is>
          <t>MAT_DT</t>
        </is>
      </c>
      <c r="I26" s="515" t="inlineStr">
        <is>
          <t>DATE</t>
        </is>
      </c>
      <c r="J26" s="515" t="n"/>
      <c r="K26" s="535" t="inlineStr">
        <is>
          <t>Ngày đáo hạn trên hợp đồng</t>
        </is>
      </c>
      <c r="L26" s="533" t="inlineStr">
        <is>
          <t>x</t>
        </is>
      </c>
      <c r="M26" s="534" t="inlineStr">
        <is>
          <t>Ngày đáo hạn hợp đồng vay</t>
        </is>
      </c>
      <c r="N26" s="508" t="n"/>
      <c r="O26" s="508">
        <f>"COMMENT ON COLUMN PG_GOLD."&amp;G26&amp;"."&amp;H26&amp;" IS '"&amp;K26&amp;"';"</f>
        <v/>
      </c>
    </row>
    <row r="27" ht="54.75" customHeight="1" s="335">
      <c r="A27" s="513" t="inlineStr">
        <is>
          <t>PG_SILVER</t>
        </is>
      </c>
      <c r="B27" s="542" t="inlineStr">
        <is>
          <t>LOAN_AR_PRFL</t>
        </is>
      </c>
      <c r="C27" s="536" t="inlineStr">
        <is>
          <t>GL_ITM_CODE</t>
        </is>
      </c>
      <c r="D27" s="536" t="inlineStr">
        <is>
          <t>1:1</t>
        </is>
      </c>
      <c r="E27" s="508" t="inlineStr">
        <is>
          <t>Interface Loan Repayment Schedule</t>
        </is>
      </c>
      <c r="F27" s="515" t="inlineStr">
        <is>
          <t>General Ledger Item Code</t>
        </is>
      </c>
      <c r="G27" s="515" t="inlineStr">
        <is>
          <t>INTF_LOAN_REPYMT_SHD</t>
        </is>
      </c>
      <c r="H27" s="536" t="inlineStr">
        <is>
          <t>GL_ITM_CODE</t>
        </is>
      </c>
      <c r="I27" s="515" t="inlineStr">
        <is>
          <t>VARCHAR2</t>
        </is>
      </c>
      <c r="J27" s="515" t="n">
        <v>20</v>
      </c>
      <c r="K27" s="524" t="inlineStr">
        <is>
          <t>Mã hạch toán theo SBV</t>
        </is>
      </c>
      <c r="L27" s="508" t="inlineStr">
        <is>
          <t>x</t>
        </is>
      </c>
      <c r="M27" s="543" t="inlineStr">
        <is>
          <t>Số tài khoản SBV</t>
        </is>
      </c>
      <c r="N27" s="508" t="n"/>
      <c r="O27" s="508">
        <f>"COMMENT ON COLUMN PG_GOLD."&amp;G27&amp;"."&amp;H27&amp;" IS '"&amp;K27&amp;"';"</f>
        <v/>
      </c>
    </row>
    <row r="28" ht="14.25" customHeight="1" s="335">
      <c r="A28" s="544" t="inlineStr">
        <is>
          <t>PG_SILVER</t>
        </is>
      </c>
      <c r="B28" s="545" t="inlineStr">
        <is>
          <t>IDV_PRFL, ORG_PRFL</t>
        </is>
      </c>
      <c r="C28" s="546" t="inlineStr">
        <is>
          <t>CST_FNC_ST_CODE</t>
        </is>
      </c>
      <c r="D28" s="547" t="inlineStr">
        <is>
          <t>CAST(COALESCE(cst_org.CST_FNC_ST_CODE, cst_idv.CST_FNC_ST_CODE, '1') AS NUMBER(1,0))</t>
        </is>
      </c>
      <c r="E28" s="545" t="inlineStr">
        <is>
          <t>Interface Loan Repayment Schedule</t>
        </is>
      </c>
      <c r="F28" s="548" t="inlineStr">
        <is>
          <t>Cic Loan Group</t>
        </is>
      </c>
      <c r="G28" s="548" t="inlineStr">
        <is>
          <t>INTF_LOAN_REPYMT_SHD</t>
        </is>
      </c>
      <c r="H28" s="545" t="inlineStr">
        <is>
          <t>CIC_LOAN_GRP</t>
        </is>
      </c>
      <c r="I28" s="548" t="inlineStr">
        <is>
          <t>NUMBER</t>
        </is>
      </c>
      <c r="J28" s="549" t="n">
        <v>1</v>
      </c>
      <c r="K28" s="550" t="inlineStr">
        <is>
          <t>Phân loại nhóm nợ khách hàng</t>
        </is>
      </c>
      <c r="L28" s="533" t="n"/>
      <c r="M28" s="534" t="n"/>
      <c r="N28" s="551" t="n"/>
      <c r="O28" s="551">
        <f>"COMMENT ON COLUMN PG_GOLD."&amp;G28&amp;"."&amp;H28&amp;" IS '"&amp;K28&amp;"';"</f>
        <v/>
      </c>
      <c r="P28" s="414" t="inlineStr">
        <is>
          <t>Khai báo LEFT JOIN `IDV_PRFL`/`ORG_PRFL` và sửa thành `CAST(COALESCE(cst_org.CST_FNC_ST_CODE, cst_idv.CST_FNC_ST_CODE, '1') AS NUMBER(1,0))`.</t>
        </is>
      </c>
    </row>
    <row r="29" ht="14.25" customHeight="1" s="335">
      <c r="A29" s="544" t="inlineStr">
        <is>
          <t>PG_SILVER</t>
        </is>
      </c>
      <c r="B29" s="552" t="inlineStr">
        <is>
          <t>CST</t>
        </is>
      </c>
      <c r="C29" s="553" t="inlineStr">
        <is>
          <t>CST_NM</t>
        </is>
      </c>
      <c r="D29" s="547" t="inlineStr">
        <is>
          <t>cst.CST_NM</t>
        </is>
      </c>
      <c r="E29" s="554" t="inlineStr">
        <is>
          <t>Interface Loan Repayment Schedule</t>
        </is>
      </c>
      <c r="F29" s="548" t="inlineStr">
        <is>
          <t>Customer Full Name</t>
        </is>
      </c>
      <c r="G29" s="548" t="inlineStr">
        <is>
          <t>INTF_LOAN_REPYMT_SHD</t>
        </is>
      </c>
      <c r="H29" s="545" t="inlineStr">
        <is>
          <t>CST_FULL_NM</t>
        </is>
      </c>
      <c r="I29" s="548" t="inlineStr">
        <is>
          <t>VARCHAR2</t>
        </is>
      </c>
      <c r="J29" s="548" t="n">
        <v>255</v>
      </c>
      <c r="K29" s="545" t="inlineStr">
        <is>
          <t>Full tên của Khách hàng</t>
        </is>
      </c>
      <c r="L29" s="533" t="n"/>
      <c r="M29" s="534" t="n"/>
      <c r="N29" s="551" t="n"/>
      <c r="O29" s="551">
        <f>"COMMENT ON COLUMN PG_GOLD."&amp;G29&amp;"."&amp;H29&amp;" IS '"&amp;K29&amp;"';"</f>
        <v/>
      </c>
      <c r="P29" s="414" t="inlineStr">
        <is>
          <t>Bổ sung LEFT JOIN `PG_SILVER.CST cst` và lấy `cst.CST_NM`.</t>
        </is>
      </c>
    </row>
    <row r="30" ht="14.25" customHeight="1" s="335"/>
    <row r="31" ht="14.25" customHeight="1" s="335"/>
    <row r="32" ht="14.25" customHeight="1" s="335"/>
    <row r="33" ht="14.25" customHeight="1" s="335"/>
    <row r="34" ht="14.25" customHeight="1" s="335"/>
    <row r="35" ht="14.25" customHeight="1" s="335"/>
    <row r="36" ht="14.25" customHeight="1" s="335"/>
    <row r="37" ht="14.25" customHeight="1" s="335"/>
    <row r="38" ht="14.25" customHeight="1" s="335"/>
    <row r="39" ht="14.25" customHeight="1" s="335"/>
    <row r="40" ht="14.25" customHeight="1" s="335"/>
    <row r="41" ht="14.25" customHeight="1" s="335"/>
    <row r="42" ht="14.25" customHeight="1" s="335"/>
    <row r="43" ht="14.25" customHeight="1" s="335"/>
    <row r="44" ht="14.25" customHeight="1" s="335"/>
    <row r="45" ht="14.25" customHeight="1" s="335"/>
    <row r="46" ht="14.25" customHeight="1" s="335"/>
    <row r="47" ht="14.25" customHeight="1" s="335"/>
    <row r="48" ht="14.25" customHeight="1" s="335"/>
    <row r="49" ht="14.25" customHeight="1" s="335"/>
    <row r="50" ht="14.25" customHeight="1" s="335"/>
    <row r="51" ht="14.25" customHeight="1" s="335"/>
    <row r="52" ht="14.25" customHeight="1" s="335"/>
    <row r="53" ht="14.25" customHeight="1" s="335"/>
    <row r="54" ht="14.25" customHeight="1" s="335"/>
    <row r="55" ht="14.25" customHeight="1" s="335"/>
    <row r="56" ht="14.25" customHeight="1" s="335"/>
    <row r="57" ht="14.25" customHeight="1" s="335"/>
    <row r="58" ht="14.25" customHeight="1" s="335"/>
    <row r="59" ht="14.25" customHeight="1" s="335"/>
    <row r="60" ht="14.25" customHeight="1" s="335"/>
    <row r="61" ht="14.25" customHeight="1" s="335"/>
    <row r="62" ht="14.25" customHeight="1" s="335"/>
    <row r="63" ht="14.25" customHeight="1" s="335"/>
    <row r="64" ht="14.25" customHeight="1" s="335"/>
    <row r="65" ht="14.25" customHeight="1" s="335"/>
    <row r="66" ht="14.25" customHeight="1" s="335"/>
    <row r="67" ht="14.25" customHeight="1" s="335"/>
    <row r="68" ht="14.25" customHeight="1" s="335"/>
    <row r="69" ht="14.25" customHeight="1" s="335"/>
    <row r="70" ht="14.25" customHeight="1" s="335"/>
    <row r="71" ht="14.25" customHeight="1" s="335"/>
    <row r="72" ht="14.25" customHeight="1" s="335"/>
    <row r="73" ht="14.25" customHeight="1" s="335"/>
    <row r="74" ht="14.25" customHeight="1" s="335"/>
    <row r="75" ht="14.25" customHeight="1" s="335"/>
    <row r="76" ht="14.25" customHeight="1" s="335"/>
    <row r="77" ht="14.25" customHeight="1" s="335"/>
    <row r="78" ht="14.25" customHeight="1" s="335"/>
    <row r="79" ht="14.25" customHeight="1" s="335"/>
    <row r="80" ht="14.25" customHeight="1" s="335"/>
    <row r="81" ht="14.25" customHeight="1" s="335"/>
    <row r="82" ht="14.25" customHeight="1" s="335"/>
    <row r="83" ht="14.25" customHeight="1" s="335"/>
    <row r="84" ht="14.25" customHeight="1" s="335"/>
    <row r="85" ht="14.25" customHeight="1" s="335"/>
    <row r="86" ht="14.25" customHeight="1" s="335"/>
    <row r="87" ht="14.25" customHeight="1" s="335"/>
    <row r="88" ht="14.25" customHeight="1" s="335"/>
    <row r="89" ht="14.25" customHeight="1" s="335"/>
    <row r="90" ht="14.25" customHeight="1" s="335"/>
    <row r="91" ht="14.25" customHeight="1" s="335"/>
    <row r="92" ht="14.25" customHeight="1" s="335"/>
    <row r="93" ht="14.25" customHeight="1" s="335"/>
    <row r="94" ht="14.25" customHeight="1" s="335"/>
    <row r="95" ht="14.25" customHeight="1" s="335"/>
    <row r="96" ht="14.25" customHeight="1" s="335"/>
    <row r="97" ht="14.25" customHeight="1" s="335"/>
    <row r="98" ht="14.25" customHeight="1" s="335"/>
    <row r="99" ht="14.25" customHeight="1" s="335"/>
    <row r="100" ht="14.25" customHeight="1" s="335"/>
    <row r="101" ht="14.25" customHeight="1" s="335"/>
    <row r="102" ht="14.25" customHeight="1" s="335"/>
    <row r="103" ht="14.25" customHeight="1" s="335"/>
    <row r="104" ht="14.25" customHeight="1" s="335"/>
    <row r="105" ht="14.25" customHeight="1" s="335"/>
    <row r="106" ht="14.25" customHeight="1" s="335"/>
    <row r="107" ht="14.25" customHeight="1" s="335"/>
    <row r="108" ht="14.25" customHeight="1" s="335"/>
    <row r="109" ht="14.25" customHeight="1" s="335"/>
    <row r="110" ht="14.25" customHeight="1" s="335"/>
    <row r="111" ht="14.25" customHeight="1" s="335"/>
    <row r="112" ht="14.25" customHeight="1" s="335"/>
    <row r="113" ht="14.25" customHeight="1" s="335"/>
    <row r="114" ht="14.25" customHeight="1" s="335"/>
    <row r="115" ht="14.25" customHeight="1" s="335"/>
    <row r="116" ht="14.25" customHeight="1" s="335"/>
    <row r="117" ht="14.25" customHeight="1" s="335"/>
    <row r="118" ht="14.25" customHeight="1" s="335"/>
    <row r="119" ht="14.25" customHeight="1" s="335"/>
    <row r="120" ht="14.25" customHeight="1" s="335"/>
    <row r="121" ht="14.25" customHeight="1" s="335"/>
    <row r="122" ht="14.25" customHeight="1" s="335"/>
    <row r="123" ht="14.25" customHeight="1" s="335"/>
    <row r="124" ht="14.25" customHeight="1" s="335"/>
    <row r="125" ht="14.25" customHeight="1" s="335"/>
    <row r="126" ht="14.25" customHeight="1" s="335"/>
    <row r="127" ht="14.25" customHeight="1" s="335"/>
    <row r="128" ht="14.25" customHeight="1" s="335"/>
    <row r="129" ht="14.25" customHeight="1" s="335"/>
    <row r="130" ht="14.25" customHeight="1" s="335"/>
    <row r="131" ht="14.25" customHeight="1" s="335"/>
    <row r="132" ht="14.25" customHeight="1" s="335"/>
    <row r="133" ht="14.25" customHeight="1" s="335"/>
    <row r="134" ht="14.25" customHeight="1" s="335"/>
    <row r="135" ht="14.25" customHeight="1" s="335"/>
    <row r="136" ht="14.25" customHeight="1" s="335"/>
    <row r="137" ht="14.25" customHeight="1" s="335"/>
    <row r="138" ht="14.25" customHeight="1" s="335"/>
    <row r="139" ht="14.25" customHeight="1" s="335"/>
    <row r="140" ht="14.25" customHeight="1" s="335"/>
    <row r="141" ht="14.25" customHeight="1" s="335"/>
    <row r="142" ht="14.25" customHeight="1" s="335"/>
    <row r="143" ht="14.25" customHeight="1" s="335"/>
    <row r="144" ht="14.25" customHeight="1" s="335"/>
    <row r="145" ht="14.25" customHeight="1" s="335"/>
    <row r="146" ht="14.25" customHeight="1" s="335"/>
    <row r="147" ht="14.25" customHeight="1" s="335"/>
    <row r="148" ht="14.25" customHeight="1" s="335"/>
    <row r="149" ht="14.25" customHeight="1" s="335"/>
    <row r="150" ht="14.25" customHeight="1" s="335"/>
    <row r="151" ht="14.25" customHeight="1" s="335"/>
    <row r="152" ht="14.25" customHeight="1" s="335"/>
    <row r="153" ht="14.25" customHeight="1" s="335"/>
    <row r="154" ht="14.25" customHeight="1" s="335"/>
    <row r="155" ht="14.25" customHeight="1" s="335"/>
    <row r="156" ht="14.25" customHeight="1" s="335"/>
    <row r="157" ht="14.25" customHeight="1" s="335"/>
    <row r="158" ht="14.25" customHeight="1" s="335"/>
    <row r="159" ht="14.25" customHeight="1" s="335"/>
    <row r="160" ht="14.25" customHeight="1" s="335"/>
    <row r="161" ht="14.25" customHeight="1" s="335"/>
    <row r="162" ht="14.25" customHeight="1" s="335"/>
    <row r="163" ht="14.25" customHeight="1" s="335"/>
    <row r="164" ht="14.25" customHeight="1" s="335"/>
    <row r="165" ht="14.25" customHeight="1" s="335"/>
    <row r="166" ht="14.25" customHeight="1" s="335"/>
    <row r="167" ht="14.25" customHeight="1" s="335"/>
    <row r="168" ht="14.25" customHeight="1" s="335"/>
    <row r="169" ht="14.25" customHeight="1" s="335"/>
    <row r="170" ht="14.25" customHeight="1" s="335"/>
    <row r="171" ht="14.25" customHeight="1" s="335"/>
    <row r="172" ht="14.25" customHeight="1" s="335"/>
    <row r="173" ht="14.25" customHeight="1" s="335"/>
    <row r="174" ht="14.25" customHeight="1" s="335"/>
    <row r="175" ht="14.25" customHeight="1" s="335"/>
    <row r="176" ht="14.25" customHeight="1" s="335"/>
    <row r="177" ht="14.25" customHeight="1" s="335"/>
    <row r="178" ht="14.25" customHeight="1" s="335"/>
    <row r="179" ht="14.25" customHeight="1" s="335"/>
    <row r="180" ht="14.25" customHeight="1" s="335"/>
    <row r="181" ht="14.25" customHeight="1" s="335"/>
    <row r="182" ht="14.25" customHeight="1" s="335"/>
    <row r="183" ht="14.25" customHeight="1" s="335"/>
    <row r="184" ht="14.25" customHeight="1" s="335"/>
    <row r="185" ht="14.25" customHeight="1" s="335"/>
    <row r="186" ht="14.25" customHeight="1" s="335"/>
    <row r="187" ht="14.25" customHeight="1" s="335"/>
    <row r="188" ht="14.25" customHeight="1" s="335"/>
    <row r="189" ht="14.25" customHeight="1" s="335"/>
    <row r="190" ht="14.25" customHeight="1" s="335"/>
    <row r="191" ht="14.25" customHeight="1" s="335"/>
    <row r="192" ht="14.25" customHeight="1" s="335"/>
    <row r="193" ht="14.25" customHeight="1" s="335"/>
    <row r="194" ht="14.25" customHeight="1" s="335"/>
    <row r="195" ht="14.25" customHeight="1" s="335"/>
    <row r="196" ht="14.25" customHeight="1" s="335"/>
    <row r="197" ht="14.25" customHeight="1" s="335"/>
    <row r="198" ht="14.25" customHeight="1" s="335"/>
    <row r="199" ht="14.25" customHeight="1" s="335"/>
    <row r="200" ht="14.25" customHeight="1" s="335"/>
    <row r="201" ht="14.25" customHeight="1" s="335"/>
    <row r="202" ht="14.25" customHeight="1" s="335"/>
    <row r="203" ht="14.25" customHeight="1" s="335"/>
    <row r="204" ht="14.25" customHeight="1" s="335"/>
    <row r="205" ht="14.25" customHeight="1" s="335"/>
    <row r="206" ht="14.25" customHeight="1" s="335"/>
    <row r="207" ht="14.25" customHeight="1" s="335"/>
    <row r="208" ht="14.25" customHeight="1" s="335"/>
    <row r="209" ht="14.25" customHeight="1" s="335"/>
    <row r="210" ht="14.25" customHeight="1" s="335"/>
    <row r="211" ht="14.25" customHeight="1" s="335"/>
    <row r="212" ht="14.25" customHeight="1" s="335"/>
    <row r="213" ht="14.25" customHeight="1" s="335"/>
    <row r="214" ht="14.25" customHeight="1" s="335"/>
    <row r="215" ht="14.25" customHeight="1" s="335"/>
    <row r="216" ht="14.25" customHeight="1" s="335"/>
    <row r="217" ht="14.25" customHeight="1" s="335"/>
    <row r="218" ht="14.25" customHeight="1" s="335"/>
    <row r="219" ht="14.25" customHeight="1" s="335"/>
    <row r="220" ht="14.25" customHeight="1" s="335"/>
    <row r="221" ht="14.25" customHeight="1" s="335"/>
    <row r="222" ht="14.25" customHeight="1" s="335"/>
    <row r="223" ht="14.25" customHeight="1" s="335"/>
    <row r="224" ht="14.25" customHeight="1" s="335"/>
    <row r="225" ht="14.25" customHeight="1" s="335"/>
    <row r="226" ht="14.25" customHeight="1" s="335"/>
    <row r="227" ht="14.25" customHeight="1" s="335"/>
    <row r="228" ht="14.25" customHeight="1" s="335"/>
    <row r="229" ht="14.25" customHeight="1" s="335"/>
    <row r="230" ht="14.25" customHeight="1" s="335"/>
    <row r="231" ht="14.25" customHeight="1" s="335"/>
    <row r="232" ht="14.25" customHeight="1" s="335"/>
    <row r="233" ht="14.25" customHeight="1" s="335"/>
    <row r="234" ht="14.25" customHeight="1" s="335"/>
    <row r="235" ht="14.25" customHeight="1" s="335"/>
    <row r="236" ht="14.25" customHeight="1" s="335"/>
    <row r="237" ht="14.25" customHeight="1" s="335"/>
    <row r="238" ht="14.25" customHeight="1" s="335"/>
    <row r="239" ht="14.25" customHeight="1" s="335"/>
    <row r="240" ht="14.25" customHeight="1" s="335"/>
    <row r="241" ht="14.25" customHeight="1" s="335"/>
    <row r="242" ht="14.25" customHeight="1" s="335"/>
    <row r="243" ht="14.25" customHeight="1" s="335"/>
    <row r="244" ht="14.25" customHeight="1" s="335"/>
    <row r="245" ht="14.25" customHeight="1" s="335"/>
    <row r="246" ht="14.25" customHeight="1" s="335"/>
    <row r="247" ht="14.25" customHeight="1" s="335"/>
    <row r="248" ht="14.25" customHeight="1" s="335"/>
    <row r="249" ht="14.25" customHeight="1" s="335"/>
    <row r="250" ht="14.25" customHeight="1" s="335"/>
    <row r="251" ht="14.25" customHeight="1" s="335"/>
    <row r="252" ht="14.25" customHeight="1" s="335"/>
    <row r="253" ht="14.25" customHeight="1" s="335"/>
    <row r="254" ht="14.25" customHeight="1" s="335"/>
    <row r="255" ht="14.25" customHeight="1" s="335"/>
    <row r="256" ht="14.25" customHeight="1" s="335"/>
    <row r="257" ht="14.25" customHeight="1" s="335"/>
    <row r="258" ht="14.25" customHeight="1" s="335"/>
    <row r="259" ht="14.25" customHeight="1" s="335"/>
    <row r="260" ht="14.25" customHeight="1" s="335"/>
    <row r="261" ht="14.25" customHeight="1" s="335"/>
    <row r="262" ht="14.25" customHeight="1" s="335"/>
    <row r="263" ht="14.25" customHeight="1" s="335"/>
    <row r="264" ht="14.25" customHeight="1" s="335"/>
    <row r="265" ht="14.25" customHeight="1" s="335"/>
    <row r="266" ht="14.25" customHeight="1" s="335"/>
    <row r="267" ht="14.25" customHeight="1" s="335"/>
    <row r="268" ht="14.25" customHeight="1" s="335"/>
    <row r="269" ht="14.25" customHeight="1" s="335"/>
    <row r="270" ht="14.25" customHeight="1" s="335"/>
    <row r="271" ht="14.25" customHeight="1" s="335"/>
    <row r="272" ht="14.25" customHeight="1" s="335"/>
    <row r="273" ht="14.25" customHeight="1" s="335"/>
    <row r="274" ht="14.25" customHeight="1" s="335"/>
    <row r="275" ht="14.25" customHeight="1" s="335"/>
    <row r="276" ht="14.25" customHeight="1" s="335"/>
    <row r="277" ht="14.25" customHeight="1" s="335"/>
    <row r="278" ht="14.25" customHeight="1" s="335"/>
    <row r="279" ht="14.25" customHeight="1" s="335"/>
    <row r="280" ht="14.25" customHeight="1" s="335"/>
    <row r="281" ht="14.25" customHeight="1" s="335"/>
    <row r="282" ht="14.25" customHeight="1" s="335"/>
    <row r="283" ht="14.25" customHeight="1" s="335"/>
    <row r="284" ht="14.25" customHeight="1" s="335"/>
    <row r="285" ht="14.25" customHeight="1" s="335"/>
    <row r="286" ht="14.25" customHeight="1" s="335"/>
    <row r="287" ht="14.25" customHeight="1" s="335"/>
    <row r="288" ht="14.25" customHeight="1" s="335"/>
    <row r="289" ht="14.25" customHeight="1" s="335"/>
    <row r="290" ht="14.25" customHeight="1" s="335"/>
    <row r="291" ht="14.25" customHeight="1" s="335"/>
    <row r="292" ht="14.25" customHeight="1" s="335"/>
    <row r="293" ht="14.25" customHeight="1" s="335"/>
    <row r="294" ht="14.25" customHeight="1" s="335"/>
    <row r="295" ht="14.25" customHeight="1" s="335"/>
    <row r="296" ht="14.25" customHeight="1" s="335"/>
    <row r="297" ht="14.25" customHeight="1" s="335"/>
    <row r="298" ht="14.25" customHeight="1" s="335"/>
    <row r="299" ht="14.25" customHeight="1" s="335"/>
    <row r="300" ht="14.25" customHeight="1" s="335"/>
    <row r="301" ht="14.25" customHeight="1" s="335"/>
    <row r="302" ht="14.25" customHeight="1" s="335"/>
    <row r="303" ht="14.25" customHeight="1" s="335"/>
    <row r="304" ht="14.25" customHeight="1" s="335"/>
    <row r="305" ht="14.25" customHeight="1" s="335"/>
    <row r="306" ht="14.25" customHeight="1" s="335"/>
    <row r="307" ht="14.25" customHeight="1" s="335"/>
    <row r="308" ht="14.25" customHeight="1" s="335"/>
    <row r="309" ht="14.25" customHeight="1" s="335"/>
    <row r="310" ht="14.25" customHeight="1" s="335"/>
    <row r="311" ht="14.25" customHeight="1" s="335"/>
    <row r="312" ht="14.25" customHeight="1" s="335"/>
    <row r="313" ht="14.25" customHeight="1" s="335"/>
    <row r="314" ht="14.25" customHeight="1" s="335"/>
    <row r="315" ht="14.25" customHeight="1" s="335"/>
    <row r="316" ht="14.25" customHeight="1" s="335"/>
    <row r="317" ht="14.25" customHeight="1" s="335"/>
    <row r="318" ht="14.25" customHeight="1" s="335"/>
    <row r="319" ht="14.25" customHeight="1" s="335"/>
    <row r="320" ht="14.25" customHeight="1" s="335"/>
    <row r="321" ht="14.25" customHeight="1" s="335"/>
    <row r="322" ht="14.25" customHeight="1" s="335"/>
    <row r="323" ht="14.25" customHeight="1" s="335"/>
    <row r="324" ht="14.25" customHeight="1" s="335"/>
    <row r="325" ht="14.25" customHeight="1" s="335"/>
    <row r="326" ht="14.25" customHeight="1" s="335"/>
    <row r="327" ht="14.25" customHeight="1" s="335"/>
    <row r="328" ht="14.25" customHeight="1" s="335"/>
    <row r="329" ht="14.25" customHeight="1" s="335"/>
    <row r="330" ht="14.25" customHeight="1" s="335"/>
    <row r="331" ht="14.25" customHeight="1" s="335"/>
    <row r="332" ht="14.25" customHeight="1" s="335"/>
    <row r="333" ht="14.25" customHeight="1" s="335"/>
    <row r="334" ht="14.25" customHeight="1" s="335"/>
    <row r="335" ht="14.25" customHeight="1" s="335"/>
    <row r="336" ht="14.25" customHeight="1" s="335"/>
    <row r="337" ht="14.25" customHeight="1" s="335"/>
    <row r="338" ht="14.25" customHeight="1" s="335"/>
    <row r="339" ht="14.25" customHeight="1" s="335"/>
    <row r="340" ht="14.25" customHeight="1" s="335"/>
    <row r="341" ht="14.25" customHeight="1" s="335"/>
    <row r="342" ht="14.25" customHeight="1" s="335"/>
    <row r="343" ht="14.25" customHeight="1" s="335"/>
    <row r="344" ht="14.25" customHeight="1" s="335"/>
    <row r="345" ht="14.25" customHeight="1" s="335"/>
    <row r="346" ht="14.25" customHeight="1" s="335"/>
    <row r="347" ht="14.25" customHeight="1" s="335"/>
    <row r="348" ht="14.25" customHeight="1" s="335"/>
    <row r="349" ht="14.25" customHeight="1" s="335"/>
    <row r="350" ht="14.25" customHeight="1" s="335"/>
    <row r="351" ht="14.25" customHeight="1" s="335"/>
    <row r="352" ht="14.25" customHeight="1" s="335"/>
    <row r="353" ht="14.25" customHeight="1" s="335"/>
    <row r="354" ht="14.25" customHeight="1" s="335"/>
    <row r="355" ht="14.25" customHeight="1" s="335"/>
    <row r="356" ht="14.25" customHeight="1" s="335"/>
    <row r="357" ht="14.25" customHeight="1" s="335"/>
    <row r="358" ht="14.25" customHeight="1" s="335"/>
    <row r="359" ht="14.25" customHeight="1" s="335"/>
    <row r="360" ht="14.25" customHeight="1" s="335"/>
    <row r="361" ht="14.25" customHeight="1" s="335"/>
    <row r="362" ht="14.25" customHeight="1" s="335"/>
    <row r="363" ht="14.25" customHeight="1" s="335"/>
    <row r="364" ht="14.25" customHeight="1" s="335"/>
    <row r="365" ht="14.25" customHeight="1" s="335"/>
    <row r="366" ht="14.25" customHeight="1" s="335"/>
    <row r="367" ht="14.25" customHeight="1" s="335"/>
    <row r="368" ht="14.25" customHeight="1" s="335"/>
    <row r="369" ht="14.25" customHeight="1" s="335"/>
    <row r="370" ht="14.25" customHeight="1" s="335"/>
    <row r="371" ht="14.25" customHeight="1" s="335"/>
    <row r="372" ht="14.25" customHeight="1" s="335"/>
    <row r="373" ht="14.25" customHeight="1" s="335"/>
    <row r="374" ht="14.25" customHeight="1" s="335"/>
    <row r="375" ht="14.25" customHeight="1" s="335"/>
    <row r="376" ht="14.25" customHeight="1" s="335"/>
    <row r="377" ht="14.25" customHeight="1" s="335"/>
    <row r="378" ht="14.25" customHeight="1" s="335"/>
    <row r="379" ht="14.25" customHeight="1" s="335"/>
    <row r="380" ht="14.25" customHeight="1" s="335"/>
    <row r="381" ht="14.25" customHeight="1" s="335"/>
    <row r="382" ht="14.25" customHeight="1" s="335"/>
    <row r="383" ht="14.25" customHeight="1" s="335"/>
    <row r="384" ht="14.25" customHeight="1" s="335"/>
    <row r="385" ht="14.25" customHeight="1" s="335"/>
    <row r="386" ht="14.25" customHeight="1" s="335"/>
    <row r="387" ht="14.25" customHeight="1" s="335"/>
    <row r="388" ht="14.25" customHeight="1" s="335"/>
    <row r="389" ht="14.25" customHeight="1" s="335"/>
    <row r="390" ht="14.25" customHeight="1" s="335"/>
    <row r="391" ht="14.25" customHeight="1" s="335"/>
    <row r="392" ht="14.25" customHeight="1" s="335"/>
    <row r="393" ht="14.25" customHeight="1" s="335"/>
    <row r="394" ht="14.25" customHeight="1" s="335"/>
    <row r="395" ht="14.25" customHeight="1" s="335"/>
    <row r="396" ht="14.25" customHeight="1" s="335"/>
    <row r="397" ht="14.25" customHeight="1" s="335"/>
    <row r="398" ht="14.25" customHeight="1" s="335"/>
    <row r="399" ht="14.25" customHeight="1" s="335"/>
    <row r="400" ht="14.25" customHeight="1" s="335"/>
    <row r="401" ht="14.25" customHeight="1" s="335"/>
    <row r="402" ht="14.25" customHeight="1" s="335"/>
    <row r="403" ht="14.25" customHeight="1" s="335"/>
    <row r="404" ht="14.25" customHeight="1" s="335"/>
    <row r="405" ht="14.25" customHeight="1" s="335"/>
    <row r="406" ht="14.25" customHeight="1" s="335"/>
    <row r="407" ht="14.25" customHeight="1" s="335"/>
    <row r="408" ht="14.25" customHeight="1" s="335"/>
    <row r="409" ht="14.25" customHeight="1" s="335"/>
    <row r="410" ht="14.25" customHeight="1" s="335"/>
    <row r="411" ht="14.25" customHeight="1" s="335"/>
    <row r="412" ht="14.25" customHeight="1" s="335"/>
    <row r="413" ht="14.25" customHeight="1" s="335"/>
    <row r="414" ht="14.25" customHeight="1" s="335"/>
    <row r="415" ht="14.25" customHeight="1" s="335"/>
    <row r="416" ht="14.25" customHeight="1" s="335"/>
    <row r="417" ht="14.25" customHeight="1" s="335"/>
    <row r="418" ht="14.25" customHeight="1" s="335"/>
    <row r="419" ht="14.25" customHeight="1" s="335"/>
    <row r="420" ht="14.25" customHeight="1" s="335"/>
    <row r="421" ht="14.25" customHeight="1" s="335"/>
    <row r="422" ht="14.25" customHeight="1" s="335"/>
    <row r="423" ht="14.25" customHeight="1" s="335"/>
    <row r="424" ht="14.25" customHeight="1" s="335"/>
    <row r="425" ht="14.25" customHeight="1" s="335"/>
    <row r="426" ht="14.25" customHeight="1" s="335"/>
    <row r="427" ht="14.25" customHeight="1" s="335"/>
    <row r="428" ht="14.25" customHeight="1" s="335"/>
    <row r="429" ht="14.25" customHeight="1" s="335"/>
    <row r="430" ht="14.25" customHeight="1" s="335"/>
    <row r="431" ht="14.25" customHeight="1" s="335"/>
    <row r="432" ht="14.25" customHeight="1" s="335"/>
    <row r="433" ht="14.25" customHeight="1" s="335"/>
    <row r="434" ht="14.25" customHeight="1" s="335"/>
    <row r="435" ht="14.25" customHeight="1" s="335"/>
    <row r="436" ht="14.25" customHeight="1" s="335"/>
    <row r="437" ht="14.25" customHeight="1" s="335"/>
    <row r="438" ht="14.25" customHeight="1" s="335"/>
    <row r="439" ht="14.25" customHeight="1" s="335"/>
    <row r="440" ht="14.25" customHeight="1" s="335"/>
    <row r="441" ht="14.25" customHeight="1" s="335"/>
    <row r="442" ht="14.25" customHeight="1" s="335"/>
    <row r="443" ht="14.25" customHeight="1" s="335"/>
    <row r="444" ht="14.25" customHeight="1" s="335"/>
    <row r="445" ht="14.25" customHeight="1" s="335"/>
    <row r="446" ht="14.25" customHeight="1" s="335"/>
    <row r="447" ht="14.25" customHeight="1" s="335"/>
    <row r="448" ht="14.25" customHeight="1" s="335"/>
    <row r="449" ht="14.25" customHeight="1" s="335"/>
    <row r="450" ht="14.25" customHeight="1" s="335"/>
    <row r="451" ht="14.25" customHeight="1" s="335"/>
    <row r="452" ht="14.25" customHeight="1" s="335"/>
    <row r="453" ht="14.25" customHeight="1" s="335"/>
    <row r="454" ht="14.25" customHeight="1" s="335"/>
    <row r="455" ht="14.25" customHeight="1" s="335"/>
    <row r="456" ht="14.25" customHeight="1" s="335"/>
    <row r="457" ht="14.25" customHeight="1" s="335"/>
    <row r="458" ht="14.25" customHeight="1" s="335"/>
    <row r="459" ht="14.25" customHeight="1" s="335"/>
    <row r="460" ht="14.25" customHeight="1" s="335"/>
    <row r="461" ht="14.25" customHeight="1" s="335"/>
    <row r="462" ht="14.25" customHeight="1" s="335"/>
    <row r="463" ht="14.25" customHeight="1" s="335"/>
    <row r="464" ht="14.25" customHeight="1" s="335"/>
    <row r="465" ht="14.25" customHeight="1" s="335"/>
    <row r="466" ht="14.25" customHeight="1" s="335"/>
    <row r="467" ht="14.25" customHeight="1" s="335"/>
    <row r="468" ht="14.25" customHeight="1" s="335"/>
    <row r="469" ht="14.25" customHeight="1" s="335"/>
    <row r="470" ht="14.25" customHeight="1" s="335"/>
    <row r="471" ht="14.25" customHeight="1" s="335"/>
    <row r="472" ht="14.25" customHeight="1" s="335"/>
    <row r="473" ht="14.25" customHeight="1" s="335"/>
    <row r="474" ht="14.25" customHeight="1" s="335"/>
    <row r="475" ht="14.25" customHeight="1" s="335"/>
    <row r="476" ht="14.25" customHeight="1" s="335"/>
    <row r="477" ht="14.25" customHeight="1" s="335"/>
    <row r="478" ht="14.25" customHeight="1" s="335"/>
    <row r="479" ht="14.25" customHeight="1" s="335"/>
    <row r="480" ht="14.25" customHeight="1" s="335"/>
    <row r="481" ht="14.25" customHeight="1" s="335"/>
    <row r="482" ht="14.25" customHeight="1" s="335"/>
    <row r="483" ht="14.25" customHeight="1" s="335"/>
    <row r="484" ht="14.25" customHeight="1" s="335"/>
    <row r="485" ht="14.25" customHeight="1" s="335"/>
    <row r="486" ht="14.25" customHeight="1" s="335"/>
    <row r="487" ht="14.25" customHeight="1" s="335"/>
    <row r="488" ht="14.25" customHeight="1" s="335"/>
    <row r="489" ht="14.25" customHeight="1" s="335"/>
    <row r="490" ht="14.25" customHeight="1" s="335"/>
    <row r="491" ht="14.25" customHeight="1" s="335"/>
    <row r="492" ht="14.25" customHeight="1" s="335"/>
    <row r="493" ht="14.25" customHeight="1" s="335"/>
    <row r="494" ht="14.25" customHeight="1" s="335"/>
    <row r="495" ht="14.25" customHeight="1" s="335"/>
    <row r="496" ht="14.25" customHeight="1" s="335"/>
    <row r="497" ht="14.25" customHeight="1" s="335"/>
    <row r="498" ht="14.25" customHeight="1" s="335"/>
    <row r="499" ht="14.25" customHeight="1" s="335"/>
    <row r="500" ht="14.25" customHeight="1" s="335"/>
    <row r="501" ht="14.25" customHeight="1" s="335"/>
    <row r="502" ht="14.25" customHeight="1" s="335"/>
    <row r="503" ht="14.25" customHeight="1" s="335"/>
    <row r="504" ht="14.25" customHeight="1" s="335"/>
    <row r="505" ht="14.25" customHeight="1" s="335"/>
    <row r="506" ht="14.25" customHeight="1" s="335"/>
    <row r="507" ht="14.25" customHeight="1" s="335"/>
    <row r="508" ht="14.25" customHeight="1" s="335"/>
    <row r="509" ht="14.25" customHeight="1" s="335"/>
    <row r="510" ht="14.25" customHeight="1" s="335"/>
    <row r="511" ht="14.25" customHeight="1" s="335"/>
    <row r="512" ht="14.25" customHeight="1" s="335"/>
    <row r="513" ht="14.25" customHeight="1" s="335"/>
    <row r="514" ht="14.25" customHeight="1" s="335"/>
    <row r="515" ht="14.25" customHeight="1" s="335"/>
    <row r="516" ht="14.25" customHeight="1" s="335"/>
    <row r="517" ht="14.25" customHeight="1" s="335"/>
    <row r="518" ht="14.25" customHeight="1" s="335"/>
    <row r="519" ht="14.25" customHeight="1" s="335"/>
    <row r="520" ht="14.25" customHeight="1" s="335"/>
    <row r="521" ht="14.25" customHeight="1" s="335"/>
    <row r="522" ht="14.25" customHeight="1" s="335"/>
    <row r="523" ht="14.25" customHeight="1" s="335"/>
    <row r="524" ht="14.25" customHeight="1" s="335"/>
    <row r="525" ht="14.25" customHeight="1" s="335"/>
    <row r="526" ht="14.25" customHeight="1" s="335"/>
    <row r="527" ht="14.25" customHeight="1" s="335"/>
    <row r="528" ht="14.25" customHeight="1" s="335"/>
    <row r="529" ht="14.25" customHeight="1" s="335"/>
    <row r="530" ht="14.25" customHeight="1" s="335"/>
    <row r="531" ht="14.25" customHeight="1" s="335"/>
    <row r="532" ht="14.25" customHeight="1" s="335"/>
    <row r="533" ht="14.25" customHeight="1" s="335"/>
    <row r="534" ht="14.25" customHeight="1" s="335"/>
    <row r="535" ht="14.25" customHeight="1" s="335"/>
    <row r="536" ht="14.25" customHeight="1" s="335"/>
    <row r="537" ht="14.25" customHeight="1" s="335"/>
    <row r="538" ht="14.25" customHeight="1" s="335"/>
    <row r="539" ht="14.25" customHeight="1" s="335"/>
    <row r="540" ht="14.25" customHeight="1" s="335"/>
    <row r="541" ht="14.25" customHeight="1" s="335"/>
    <row r="542" ht="14.25" customHeight="1" s="335"/>
    <row r="543" ht="14.25" customHeight="1" s="335"/>
    <row r="544" ht="14.25" customHeight="1" s="335"/>
    <row r="545" ht="14.25" customHeight="1" s="335"/>
    <row r="546" ht="14.25" customHeight="1" s="335"/>
    <row r="547" ht="14.25" customHeight="1" s="335"/>
    <row r="548" ht="14.25" customHeight="1" s="335"/>
    <row r="549" ht="14.25" customHeight="1" s="335"/>
    <row r="550" ht="14.25" customHeight="1" s="335"/>
    <row r="551" ht="14.25" customHeight="1" s="335"/>
    <row r="552" ht="14.25" customHeight="1" s="335"/>
    <row r="553" ht="14.25" customHeight="1" s="335"/>
    <row r="554" ht="14.25" customHeight="1" s="335"/>
    <row r="555" ht="14.25" customHeight="1" s="335"/>
    <row r="556" ht="14.25" customHeight="1" s="335"/>
    <row r="557" ht="14.25" customHeight="1" s="335"/>
    <row r="558" ht="14.25" customHeight="1" s="335"/>
    <row r="559" ht="14.25" customHeight="1" s="335"/>
    <row r="560" ht="14.25" customHeight="1" s="335"/>
    <row r="561" ht="14.25" customHeight="1" s="335"/>
    <row r="562" ht="14.25" customHeight="1" s="335"/>
    <row r="563" ht="14.25" customHeight="1" s="335"/>
    <row r="564" ht="14.25" customHeight="1" s="335"/>
    <row r="565" ht="14.25" customHeight="1" s="335"/>
    <row r="566" ht="14.25" customHeight="1" s="335"/>
    <row r="567" ht="14.25" customHeight="1" s="335"/>
    <row r="568" ht="14.25" customHeight="1" s="335"/>
    <row r="569" ht="14.25" customHeight="1" s="335"/>
    <row r="570" ht="14.25" customHeight="1" s="335"/>
    <row r="571" ht="14.25" customHeight="1" s="335"/>
    <row r="572" ht="14.25" customHeight="1" s="335"/>
    <row r="573" ht="14.25" customHeight="1" s="335"/>
    <row r="574" ht="14.25" customHeight="1" s="335"/>
    <row r="575" ht="14.25" customHeight="1" s="335"/>
    <row r="576" ht="14.25" customHeight="1" s="335"/>
    <row r="577" ht="14.25" customHeight="1" s="335"/>
    <row r="578" ht="14.25" customHeight="1" s="335"/>
    <row r="579" ht="14.25" customHeight="1" s="335"/>
    <row r="580" ht="14.25" customHeight="1" s="335"/>
    <row r="581" ht="14.25" customHeight="1" s="335"/>
    <row r="582" ht="14.25" customHeight="1" s="335"/>
    <row r="583" ht="14.25" customHeight="1" s="335"/>
    <row r="584" ht="14.25" customHeight="1" s="335"/>
    <row r="585" ht="14.25" customHeight="1" s="335"/>
    <row r="586" ht="14.25" customHeight="1" s="335"/>
    <row r="587" ht="14.25" customHeight="1" s="335"/>
    <row r="588" ht="14.25" customHeight="1" s="335"/>
    <row r="589" ht="14.25" customHeight="1" s="335"/>
    <row r="590" ht="14.25" customHeight="1" s="335"/>
    <row r="591" ht="14.25" customHeight="1" s="335"/>
    <row r="592" ht="14.25" customHeight="1" s="335"/>
    <row r="593" ht="14.25" customHeight="1" s="335"/>
    <row r="594" ht="14.25" customHeight="1" s="335"/>
    <row r="595" ht="14.25" customHeight="1" s="335"/>
    <row r="596" ht="14.25" customHeight="1" s="335"/>
    <row r="597" ht="14.25" customHeight="1" s="335"/>
    <row r="598" ht="14.25" customHeight="1" s="335"/>
    <row r="599" ht="14.25" customHeight="1" s="335"/>
    <row r="600" ht="14.25" customHeight="1" s="335"/>
    <row r="601" ht="14.25" customHeight="1" s="335"/>
    <row r="602" ht="14.25" customHeight="1" s="335"/>
    <row r="603" ht="14.25" customHeight="1" s="335"/>
    <row r="604" ht="14.25" customHeight="1" s="335"/>
    <row r="605" ht="14.25" customHeight="1" s="335"/>
    <row r="606" ht="14.25" customHeight="1" s="335"/>
    <row r="607" ht="14.25" customHeight="1" s="335"/>
    <row r="608" ht="14.25" customHeight="1" s="335"/>
    <row r="609" ht="14.25" customHeight="1" s="335"/>
    <row r="610" ht="14.25" customHeight="1" s="335"/>
    <row r="611" ht="14.25" customHeight="1" s="335"/>
    <row r="612" ht="14.25" customHeight="1" s="335"/>
    <row r="613" ht="14.25" customHeight="1" s="335"/>
    <row r="614" ht="14.25" customHeight="1" s="335"/>
    <row r="615" ht="14.25" customHeight="1" s="335"/>
    <row r="616" ht="14.25" customHeight="1" s="335"/>
    <row r="617" ht="14.25" customHeight="1" s="335"/>
    <row r="618" ht="14.25" customHeight="1" s="335"/>
    <row r="619" ht="14.25" customHeight="1" s="335"/>
    <row r="620" ht="14.25" customHeight="1" s="335"/>
    <row r="621" ht="14.25" customHeight="1" s="335"/>
    <row r="622" ht="14.25" customHeight="1" s="335"/>
    <row r="623" ht="14.25" customHeight="1" s="335"/>
    <row r="624" ht="14.25" customHeight="1" s="335"/>
    <row r="625" ht="14.25" customHeight="1" s="335"/>
    <row r="626" ht="14.25" customHeight="1" s="335"/>
    <row r="627" ht="14.25" customHeight="1" s="335"/>
    <row r="628" ht="14.25" customHeight="1" s="335"/>
    <row r="629" ht="14.25" customHeight="1" s="335"/>
    <row r="630" ht="14.25" customHeight="1" s="335"/>
    <row r="631" ht="14.25" customHeight="1" s="335"/>
    <row r="632" ht="14.25" customHeight="1" s="335"/>
    <row r="633" ht="14.25" customHeight="1" s="335"/>
    <row r="634" ht="14.25" customHeight="1" s="335"/>
    <row r="635" ht="14.25" customHeight="1" s="335"/>
    <row r="636" ht="14.25" customHeight="1" s="335"/>
    <row r="637" ht="14.25" customHeight="1" s="335"/>
    <row r="638" ht="14.25" customHeight="1" s="335"/>
    <row r="639" ht="14.25" customHeight="1" s="335"/>
    <row r="640" ht="14.25" customHeight="1" s="335"/>
    <row r="641" ht="14.25" customHeight="1" s="335"/>
    <row r="642" ht="14.25" customHeight="1" s="335"/>
    <row r="643" ht="14.25" customHeight="1" s="335"/>
    <row r="644" ht="14.25" customHeight="1" s="335"/>
    <row r="645" ht="14.25" customHeight="1" s="335"/>
    <row r="646" ht="14.25" customHeight="1" s="335"/>
    <row r="647" ht="14.25" customHeight="1" s="335"/>
    <row r="648" ht="14.25" customHeight="1" s="335"/>
    <row r="649" ht="14.25" customHeight="1" s="335"/>
    <row r="650" ht="14.25" customHeight="1" s="335"/>
    <row r="651" ht="14.25" customHeight="1" s="335"/>
    <row r="652" ht="14.25" customHeight="1" s="335"/>
    <row r="653" ht="14.25" customHeight="1" s="335"/>
    <row r="654" ht="14.25" customHeight="1" s="335"/>
    <row r="655" ht="14.25" customHeight="1" s="335"/>
    <row r="656" ht="14.25" customHeight="1" s="335"/>
    <row r="657" ht="14.25" customHeight="1" s="335"/>
    <row r="658" ht="14.25" customHeight="1" s="335"/>
    <row r="659" ht="14.25" customHeight="1" s="335"/>
    <row r="660" ht="14.25" customHeight="1" s="335"/>
    <row r="661" ht="14.25" customHeight="1" s="335"/>
    <row r="662" ht="14.25" customHeight="1" s="335"/>
    <row r="663" ht="14.25" customHeight="1" s="335"/>
    <row r="664" ht="14.25" customHeight="1" s="335"/>
    <row r="665" ht="14.25" customHeight="1" s="335"/>
    <row r="666" ht="14.25" customHeight="1" s="335"/>
    <row r="667" ht="14.25" customHeight="1" s="335"/>
    <row r="668" ht="14.25" customHeight="1" s="335"/>
    <row r="669" ht="14.25" customHeight="1" s="335"/>
    <row r="670" ht="14.25" customHeight="1" s="335"/>
    <row r="671" ht="14.25" customHeight="1" s="335"/>
    <row r="672" ht="14.25" customHeight="1" s="335"/>
    <row r="673" ht="14.25" customHeight="1" s="335"/>
    <row r="674" ht="14.25" customHeight="1" s="335"/>
    <row r="675" ht="14.25" customHeight="1" s="335"/>
    <row r="676" ht="14.25" customHeight="1" s="335"/>
    <row r="677" ht="14.25" customHeight="1" s="335"/>
    <row r="678" ht="14.25" customHeight="1" s="335"/>
    <row r="679" ht="14.25" customHeight="1" s="335"/>
    <row r="680" ht="14.25" customHeight="1" s="335"/>
    <row r="681" ht="14.25" customHeight="1" s="335"/>
    <row r="682" ht="14.25" customHeight="1" s="335"/>
    <row r="683" ht="14.25" customHeight="1" s="335"/>
    <row r="684" ht="14.25" customHeight="1" s="335"/>
    <row r="685" ht="14.25" customHeight="1" s="335"/>
    <row r="686" ht="14.25" customHeight="1" s="335"/>
    <row r="687" ht="14.25" customHeight="1" s="335"/>
    <row r="688" ht="14.25" customHeight="1" s="335"/>
    <row r="689" ht="14.25" customHeight="1" s="335"/>
    <row r="690" ht="14.25" customHeight="1" s="335"/>
    <row r="691" ht="14.25" customHeight="1" s="335"/>
    <row r="692" ht="14.25" customHeight="1" s="335"/>
    <row r="693" ht="14.25" customHeight="1" s="335"/>
    <row r="694" ht="14.25" customHeight="1" s="335"/>
    <row r="695" ht="14.25" customHeight="1" s="335"/>
    <row r="696" ht="14.25" customHeight="1" s="335"/>
    <row r="697" ht="14.25" customHeight="1" s="335"/>
    <row r="698" ht="14.25" customHeight="1" s="335"/>
    <row r="699" ht="14.25" customHeight="1" s="335"/>
    <row r="700" ht="14.25" customHeight="1" s="335"/>
    <row r="701" ht="14.25" customHeight="1" s="335"/>
    <row r="702" ht="14.25" customHeight="1" s="335"/>
    <row r="703" ht="14.25" customHeight="1" s="335"/>
    <row r="704" ht="14.25" customHeight="1" s="335"/>
    <row r="705" ht="14.25" customHeight="1" s="335"/>
    <row r="706" ht="14.25" customHeight="1" s="335"/>
    <row r="707" ht="14.25" customHeight="1" s="335"/>
    <row r="708" ht="14.25" customHeight="1" s="335"/>
    <row r="709" ht="14.25" customHeight="1" s="335"/>
    <row r="710" ht="14.25" customHeight="1" s="335"/>
    <row r="711" ht="14.25" customHeight="1" s="335"/>
    <row r="712" ht="14.25" customHeight="1" s="335"/>
    <row r="713" ht="14.25" customHeight="1" s="335"/>
    <row r="714" ht="14.25" customHeight="1" s="335"/>
    <row r="715" ht="14.25" customHeight="1" s="335"/>
    <row r="716" ht="14.25" customHeight="1" s="335"/>
    <row r="717" ht="14.25" customHeight="1" s="335"/>
    <row r="718" ht="14.25" customHeight="1" s="335"/>
    <row r="719" ht="14.25" customHeight="1" s="335"/>
    <row r="720" ht="14.25" customHeight="1" s="335"/>
    <row r="721" ht="14.25" customHeight="1" s="335"/>
    <row r="722" ht="14.25" customHeight="1" s="335"/>
    <row r="723" ht="14.25" customHeight="1" s="335"/>
    <row r="724" ht="14.25" customHeight="1" s="335"/>
    <row r="725" ht="14.25" customHeight="1" s="335"/>
    <row r="726" ht="14.25" customHeight="1" s="335"/>
    <row r="727" ht="14.25" customHeight="1" s="335"/>
    <row r="728" ht="14.25" customHeight="1" s="335"/>
    <row r="729" ht="14.25" customHeight="1" s="335"/>
    <row r="730" ht="14.25" customHeight="1" s="335"/>
    <row r="731" ht="14.25" customHeight="1" s="335"/>
    <row r="732" ht="14.25" customHeight="1" s="335"/>
    <row r="733" ht="14.25" customHeight="1" s="335"/>
    <row r="734" ht="14.25" customHeight="1" s="335"/>
    <row r="735" ht="14.25" customHeight="1" s="335"/>
    <row r="736" ht="14.25" customHeight="1" s="335"/>
    <row r="737" ht="14.25" customHeight="1" s="335"/>
    <row r="738" ht="14.25" customHeight="1" s="335"/>
    <row r="739" ht="14.25" customHeight="1" s="335"/>
    <row r="740" ht="14.25" customHeight="1" s="335"/>
    <row r="741" ht="14.25" customHeight="1" s="335"/>
    <row r="742" ht="14.25" customHeight="1" s="335"/>
    <row r="743" ht="14.25" customHeight="1" s="335"/>
    <row r="744" ht="14.25" customHeight="1" s="335"/>
    <row r="745" ht="14.25" customHeight="1" s="335"/>
    <row r="746" ht="14.25" customHeight="1" s="335"/>
    <row r="747" ht="14.25" customHeight="1" s="335"/>
    <row r="748" ht="14.25" customHeight="1" s="335"/>
    <row r="749" ht="14.25" customHeight="1" s="335"/>
    <row r="750" ht="14.25" customHeight="1" s="335"/>
    <row r="751" ht="14.25" customHeight="1" s="335"/>
    <row r="752" ht="14.25" customHeight="1" s="335"/>
    <row r="753" ht="14.25" customHeight="1" s="335"/>
    <row r="754" ht="14.25" customHeight="1" s="335"/>
    <row r="755" ht="14.25" customHeight="1" s="335"/>
    <row r="756" ht="14.25" customHeight="1" s="335"/>
    <row r="757" ht="14.25" customHeight="1" s="335"/>
    <row r="758" ht="14.25" customHeight="1" s="335"/>
    <row r="759" ht="14.25" customHeight="1" s="335"/>
    <row r="760" ht="14.25" customHeight="1" s="335"/>
    <row r="761" ht="14.25" customHeight="1" s="335"/>
    <row r="762" ht="14.25" customHeight="1" s="335"/>
    <row r="763" ht="14.25" customHeight="1" s="335"/>
    <row r="764" ht="14.25" customHeight="1" s="335"/>
    <row r="765" ht="14.25" customHeight="1" s="335"/>
    <row r="766" ht="14.25" customHeight="1" s="335"/>
    <row r="767" ht="14.25" customHeight="1" s="335"/>
    <row r="768" ht="14.25" customHeight="1" s="335"/>
    <row r="769" ht="14.25" customHeight="1" s="335"/>
    <row r="770" ht="14.25" customHeight="1" s="335"/>
    <row r="771" ht="14.25" customHeight="1" s="335"/>
    <row r="772" ht="14.25" customHeight="1" s="335"/>
    <row r="773" ht="14.25" customHeight="1" s="335"/>
    <row r="774" ht="14.25" customHeight="1" s="335"/>
    <row r="775" ht="14.25" customHeight="1" s="335"/>
    <row r="776" ht="14.25" customHeight="1" s="335"/>
    <row r="777" ht="14.25" customHeight="1" s="335"/>
    <row r="778" ht="14.25" customHeight="1" s="335"/>
    <row r="779" ht="14.25" customHeight="1" s="335"/>
    <row r="780" ht="14.25" customHeight="1" s="335"/>
    <row r="781" ht="14.25" customHeight="1" s="335"/>
    <row r="782" ht="14.25" customHeight="1" s="335"/>
    <row r="783" ht="14.25" customHeight="1" s="335"/>
    <row r="784" ht="14.25" customHeight="1" s="335"/>
    <row r="785" ht="14.25" customHeight="1" s="335"/>
    <row r="786" ht="14.25" customHeight="1" s="335"/>
    <row r="787" ht="14.25" customHeight="1" s="335"/>
    <row r="788" ht="14.25" customHeight="1" s="335"/>
    <row r="789" ht="14.25" customHeight="1" s="335"/>
    <row r="790" ht="14.25" customHeight="1" s="335"/>
    <row r="791" ht="14.25" customHeight="1" s="335"/>
    <row r="792" ht="14.25" customHeight="1" s="335"/>
    <row r="793" ht="14.25" customHeight="1" s="335"/>
    <row r="794" ht="14.25" customHeight="1" s="335"/>
    <row r="795" ht="14.25" customHeight="1" s="335"/>
    <row r="796" ht="14.25" customHeight="1" s="335"/>
    <row r="797" ht="14.25" customHeight="1" s="335"/>
    <row r="798" ht="14.25" customHeight="1" s="335"/>
    <row r="799" ht="14.25" customHeight="1" s="335"/>
    <row r="800" ht="14.25" customHeight="1" s="335"/>
    <row r="801" ht="14.25" customHeight="1" s="335"/>
    <row r="802" ht="14.25" customHeight="1" s="335"/>
    <row r="803" ht="14.25" customHeight="1" s="335"/>
    <row r="804" ht="14.25" customHeight="1" s="335"/>
    <row r="805" ht="14.25" customHeight="1" s="335"/>
    <row r="806" ht="14.25" customHeight="1" s="335"/>
    <row r="807" ht="14.25" customHeight="1" s="335"/>
    <row r="808" ht="14.25" customHeight="1" s="335"/>
    <row r="809" ht="14.25" customHeight="1" s="335"/>
    <row r="810" ht="14.25" customHeight="1" s="335"/>
    <row r="811" ht="14.25" customHeight="1" s="335"/>
    <row r="812" ht="14.25" customHeight="1" s="335"/>
    <row r="813" ht="14.25" customHeight="1" s="335"/>
    <row r="814" ht="14.25" customHeight="1" s="335"/>
    <row r="815" ht="14.25" customHeight="1" s="335"/>
    <row r="816" ht="14.25" customHeight="1" s="335"/>
    <row r="817" ht="14.25" customHeight="1" s="335"/>
    <row r="818" ht="14.25" customHeight="1" s="335"/>
    <row r="819" ht="14.25" customHeight="1" s="335"/>
    <row r="820" ht="14.25" customHeight="1" s="335"/>
    <row r="821" ht="14.25" customHeight="1" s="335"/>
    <row r="822" ht="14.25" customHeight="1" s="335"/>
    <row r="823" ht="14.25" customHeight="1" s="335"/>
    <row r="824" ht="14.25" customHeight="1" s="335"/>
    <row r="825" ht="14.25" customHeight="1" s="335"/>
    <row r="826" ht="14.25" customHeight="1" s="335"/>
    <row r="827" ht="14.25" customHeight="1" s="335"/>
    <row r="828" ht="14.25" customHeight="1" s="335"/>
    <row r="829" ht="14.25" customHeight="1" s="335"/>
    <row r="830" ht="14.25" customHeight="1" s="335"/>
    <row r="831" ht="14.25" customHeight="1" s="335"/>
    <row r="832" ht="14.25" customHeight="1" s="335"/>
    <row r="833" ht="14.25" customHeight="1" s="335"/>
    <row r="834" ht="14.25" customHeight="1" s="335"/>
    <row r="835" ht="14.25" customHeight="1" s="335"/>
    <row r="836" ht="14.25" customHeight="1" s="335"/>
    <row r="837" ht="14.25" customHeight="1" s="335"/>
    <row r="838" ht="14.25" customHeight="1" s="335"/>
    <row r="839" ht="14.25" customHeight="1" s="335"/>
    <row r="840" ht="14.25" customHeight="1" s="335"/>
    <row r="841" ht="14.25" customHeight="1" s="335"/>
    <row r="842" ht="14.25" customHeight="1" s="335"/>
    <row r="843" ht="14.25" customHeight="1" s="335"/>
    <row r="844" ht="14.25" customHeight="1" s="335"/>
    <row r="845" ht="14.25" customHeight="1" s="335"/>
    <row r="846" ht="14.25" customHeight="1" s="335"/>
    <row r="847" ht="14.25" customHeight="1" s="335"/>
    <row r="848" ht="14.25" customHeight="1" s="335"/>
    <row r="849" ht="14.25" customHeight="1" s="335"/>
    <row r="850" ht="14.25" customHeight="1" s="335"/>
    <row r="851" ht="14.25" customHeight="1" s="335"/>
    <row r="852" ht="14.25" customHeight="1" s="335"/>
    <row r="853" ht="14.25" customHeight="1" s="335"/>
    <row r="854" ht="14.25" customHeight="1" s="335"/>
    <row r="855" ht="14.25" customHeight="1" s="335"/>
    <row r="856" ht="14.25" customHeight="1" s="335"/>
    <row r="857" ht="14.25" customHeight="1" s="335"/>
    <row r="858" ht="14.25" customHeight="1" s="335"/>
    <row r="859" ht="14.25" customHeight="1" s="335"/>
    <row r="860" ht="14.25" customHeight="1" s="335"/>
    <row r="861" ht="14.25" customHeight="1" s="335"/>
    <row r="862" ht="14.25" customHeight="1" s="335"/>
    <row r="863" ht="14.25" customHeight="1" s="335"/>
    <row r="864" ht="14.25" customHeight="1" s="335"/>
    <row r="865" ht="14.25" customHeight="1" s="335"/>
    <row r="866" ht="14.25" customHeight="1" s="335"/>
    <row r="867" ht="14.25" customHeight="1" s="335"/>
    <row r="868" ht="14.25" customHeight="1" s="335"/>
    <row r="869" ht="14.25" customHeight="1" s="335"/>
    <row r="870" ht="14.25" customHeight="1" s="335"/>
    <row r="871" ht="14.25" customHeight="1" s="335"/>
    <row r="872" ht="14.25" customHeight="1" s="335"/>
    <row r="873" ht="14.25" customHeight="1" s="335"/>
    <row r="874" ht="14.25" customHeight="1" s="335"/>
    <row r="875" ht="14.25" customHeight="1" s="335"/>
    <row r="876" ht="14.25" customHeight="1" s="335"/>
    <row r="877" ht="14.25" customHeight="1" s="335"/>
    <row r="878" ht="14.25" customHeight="1" s="335"/>
    <row r="879" ht="14.25" customHeight="1" s="335"/>
    <row r="880" ht="14.25" customHeight="1" s="335"/>
    <row r="881" ht="14.25" customHeight="1" s="335"/>
    <row r="882" ht="14.25" customHeight="1" s="335"/>
    <row r="883" ht="14.25" customHeight="1" s="335"/>
    <row r="884" ht="14.25" customHeight="1" s="335"/>
    <row r="885" ht="14.25" customHeight="1" s="335"/>
    <row r="886" ht="14.25" customHeight="1" s="335"/>
    <row r="887" ht="14.25" customHeight="1" s="335"/>
    <row r="888" ht="14.25" customHeight="1" s="335"/>
    <row r="889" ht="14.25" customHeight="1" s="335"/>
    <row r="890" ht="14.25" customHeight="1" s="335"/>
    <row r="891" ht="14.25" customHeight="1" s="335"/>
    <row r="892" ht="14.25" customHeight="1" s="335"/>
    <row r="893" ht="14.25" customHeight="1" s="335"/>
    <row r="894" ht="14.25" customHeight="1" s="335"/>
    <row r="895" ht="14.25" customHeight="1" s="335"/>
    <row r="896" ht="14.25" customHeight="1" s="335"/>
    <row r="897" ht="14.25" customHeight="1" s="335"/>
    <row r="898" ht="14.25" customHeight="1" s="335"/>
    <row r="899" ht="14.25" customHeight="1" s="335"/>
    <row r="900" ht="14.25" customHeight="1" s="335"/>
    <row r="901" ht="14.25" customHeight="1" s="335"/>
    <row r="902" ht="14.25" customHeight="1" s="335"/>
    <row r="903" ht="14.25" customHeight="1" s="335"/>
    <row r="904" ht="14.25" customHeight="1" s="335"/>
    <row r="905" ht="14.25" customHeight="1" s="335"/>
    <row r="906" ht="14.25" customHeight="1" s="335"/>
    <row r="907" ht="14.25" customHeight="1" s="335"/>
    <row r="908" ht="14.25" customHeight="1" s="335"/>
    <row r="909" ht="14.25" customHeight="1" s="335"/>
    <row r="910" ht="14.25" customHeight="1" s="335"/>
    <row r="911" ht="14.25" customHeight="1" s="335"/>
    <row r="912" ht="14.25" customHeight="1" s="335"/>
    <row r="913" ht="14.25" customHeight="1" s="335"/>
    <row r="914" ht="14.25" customHeight="1" s="335"/>
    <row r="915" ht="14.25" customHeight="1" s="335"/>
    <row r="916" ht="14.25" customHeight="1" s="335"/>
    <row r="917" ht="14.25" customHeight="1" s="335"/>
    <row r="918" ht="14.25" customHeight="1" s="335"/>
    <row r="919" ht="14.25" customHeight="1" s="335"/>
    <row r="920" ht="14.25" customHeight="1" s="335"/>
    <row r="921" ht="14.25" customHeight="1" s="335"/>
    <row r="922" ht="14.25" customHeight="1" s="335"/>
    <row r="923" ht="14.25" customHeight="1" s="335"/>
    <row r="924" ht="14.25" customHeight="1" s="335"/>
    <row r="925" ht="14.25" customHeight="1" s="335"/>
    <row r="926" ht="14.25" customHeight="1" s="335"/>
    <row r="927" ht="14.25" customHeight="1" s="335"/>
    <row r="928" ht="14.25" customHeight="1" s="335"/>
    <row r="929" ht="14.25" customHeight="1" s="335"/>
    <row r="930" ht="14.25" customHeight="1" s="335"/>
    <row r="931" ht="14.25" customHeight="1" s="335"/>
    <row r="932" ht="14.25" customHeight="1" s="335"/>
    <row r="933" ht="14.25" customHeight="1" s="335"/>
    <row r="934" ht="14.25" customHeight="1" s="335"/>
    <row r="935" ht="14.25" customHeight="1" s="335"/>
    <row r="936" ht="14.25" customHeight="1" s="335"/>
    <row r="937" ht="14.25" customHeight="1" s="335"/>
    <row r="938" ht="14.25" customHeight="1" s="335"/>
    <row r="939" ht="14.25" customHeight="1" s="335"/>
    <row r="940" ht="14.25" customHeight="1" s="335"/>
    <row r="941" ht="14.25" customHeight="1" s="335"/>
    <row r="942" ht="14.25" customHeight="1" s="335"/>
    <row r="943" ht="14.25" customHeight="1" s="335"/>
    <row r="944" ht="14.25" customHeight="1" s="335"/>
    <row r="945" ht="14.25" customHeight="1" s="335"/>
    <row r="946" ht="14.25" customHeight="1" s="335"/>
    <row r="947" ht="14.25" customHeight="1" s="335"/>
    <row r="948" ht="14.25" customHeight="1" s="335"/>
    <row r="949" ht="14.25" customHeight="1" s="335"/>
    <row r="950" ht="14.25" customHeight="1" s="335"/>
    <row r="951" ht="14.25" customHeight="1" s="335"/>
    <row r="952" ht="14.25" customHeight="1" s="335"/>
    <row r="953" ht="14.25" customHeight="1" s="335"/>
    <row r="954" ht="14.25" customHeight="1" s="335"/>
    <row r="955" ht="14.25" customHeight="1" s="335"/>
    <row r="956" ht="14.25" customHeight="1" s="335"/>
    <row r="957" ht="14.25" customHeight="1" s="335"/>
    <row r="958" ht="14.25" customHeight="1" s="335"/>
    <row r="959" ht="14.25" customHeight="1" s="335"/>
    <row r="960" ht="14.25" customHeight="1" s="335"/>
    <row r="961" ht="14.25" customHeight="1" s="335"/>
    <row r="962" ht="14.25" customHeight="1" s="335"/>
    <row r="963" ht="14.25" customHeight="1" s="335"/>
    <row r="964" ht="14.25" customHeight="1" s="335"/>
    <row r="965" ht="14.25" customHeight="1" s="335"/>
    <row r="966" ht="14.25" customHeight="1" s="335"/>
    <row r="967" ht="14.25" customHeight="1" s="335"/>
    <row r="968" ht="14.25" customHeight="1" s="335"/>
    <row r="969" ht="14.25" customHeight="1" s="335"/>
    <row r="970" ht="14.25" customHeight="1" s="335"/>
    <row r="971" ht="14.25" customHeight="1" s="335"/>
    <row r="972" ht="14.25" customHeight="1" s="335"/>
    <row r="973" ht="14.25" customHeight="1" s="335"/>
    <row r="974" ht="14.25" customHeight="1" s="335"/>
    <row r="975" ht="14.25" customHeight="1" s="335"/>
    <row r="976" ht="14.25" customHeight="1" s="335"/>
    <row r="977" ht="14.25" customHeight="1" s="335"/>
    <row r="978" ht="14.25" customHeight="1" s="335"/>
    <row r="979" ht="14.25" customHeight="1" s="335"/>
    <row r="980" ht="14.25" customHeight="1" s="335"/>
    <row r="981" ht="14.25" customHeight="1" s="335"/>
    <row r="982" ht="14.25" customHeight="1" s="335"/>
    <row r="983" ht="14.25" customHeight="1" s="335"/>
    <row r="984" ht="14.25" customHeight="1" s="335"/>
    <row r="985" ht="14.25" customHeight="1" s="335"/>
    <row r="986" ht="14.25" customHeight="1" s="335"/>
    <row r="987" ht="14.25" customHeight="1" s="335"/>
    <row r="988" ht="14.25" customHeight="1" s="335"/>
    <row r="989" ht="14.25" customHeight="1" s="335"/>
    <row r="990" ht="14.25" customHeight="1" s="335"/>
    <row r="991" ht="14.25" customHeight="1" s="335"/>
    <row r="992" ht="14.25" customHeight="1" s="335"/>
    <row r="993" ht="14.25" customHeight="1" s="335"/>
    <row r="994" ht="14.25" customHeight="1" s="335"/>
    <row r="995" ht="14.25" customHeight="1" s="335"/>
    <row r="996" ht="14.25" customHeight="1" s="335"/>
    <row r="997" ht="14.25" customHeight="1" s="335"/>
    <row r="998" ht="14.25" customHeight="1" s="335"/>
    <row r="999" ht="14.25" customHeight="1" s="335"/>
    <row r="1000" ht="14.25" customHeight="1" s="335"/>
    <row r="1001" ht="14.25" customHeight="1" s="335"/>
    <row r="1002" ht="14.25" customHeight="1" s="335"/>
    <row r="1003" ht="14.25" customHeight="1" s="335"/>
    <row r="1004" ht="14.25" customHeight="1" s="3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4A86E8"/>
    <outlinePr summaryBelow="1" summaryRight="1"/>
    <pageSetUpPr fitToPage="0"/>
  </sheetPr>
  <dimension ref="A1:P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1.89" customWidth="1" style="334" min="1" max="1"/>
    <col width="16.56" customWidth="1" style="334" min="2" max="2"/>
    <col width="22.44" customWidth="1" style="334" min="3" max="3"/>
    <col width="36" customWidth="1" style="334" min="4" max="4"/>
    <col width="27.67" customWidth="1" style="334" min="5" max="5"/>
    <col width="28.11" customWidth="1" style="334" min="6" max="6"/>
    <col width="35.89" customWidth="1" style="334" min="7" max="7"/>
    <col width="34.44" customWidth="1" style="334" min="8" max="8"/>
    <col width="7.33" customWidth="1" style="334" min="10" max="10"/>
    <col width="25.33" customWidth="1" style="334" min="11" max="11"/>
    <col width="26.33" customWidth="1" style="334" min="12" max="12"/>
    <col width="17.67" customWidth="1" style="334" min="13" max="13"/>
    <col width="14.67" customWidth="1" style="334" min="14" max="14"/>
    <col width="55" customWidth="1" style="334" min="16" max="16"/>
  </cols>
  <sheetData>
    <row r="1" ht="14.25" customHeight="1" s="335">
      <c r="A1" s="555" t="inlineStr">
        <is>
          <t>TYPE : SNAPSHOT</t>
        </is>
      </c>
      <c r="B1" s="555" t="n"/>
      <c r="C1" s="555" t="n"/>
      <c r="D1" s="555" t="n"/>
      <c r="E1" s="556" t="n"/>
      <c r="F1" s="555" t="n"/>
      <c r="G1" s="555" t="n"/>
      <c r="H1" s="555" t="n"/>
      <c r="I1" s="555" t="n"/>
      <c r="J1" s="437" t="n"/>
      <c r="K1" s="451" t="n"/>
      <c r="L1" s="451" t="n"/>
    </row>
    <row r="2" ht="14.25" customHeight="1" s="335">
      <c r="A2" s="447" t="inlineStr">
        <is>
          <t>No</t>
        </is>
      </c>
      <c r="B2" s="448" t="inlineStr">
        <is>
          <t>System</t>
        </is>
      </c>
      <c r="C2" s="450" t="inlineStr">
        <is>
          <t>TABLE</t>
        </is>
      </c>
      <c r="D2" s="450" t="inlineStr">
        <is>
          <t>Short table</t>
        </is>
      </c>
      <c r="E2" s="449" t="inlineStr">
        <is>
          <t>Main Table</t>
        </is>
      </c>
      <c r="F2" s="450" t="inlineStr">
        <is>
          <t>Type join</t>
        </is>
      </c>
      <c r="G2" s="450" t="inlineStr">
        <is>
          <t>Condition JOIN</t>
        </is>
      </c>
      <c r="H2" s="450" t="inlineStr">
        <is>
          <t>WHERE a.CDR_DT = ${ETL_DATE} -- Lưu ý Grain: AR_BAL lưu theo (AR_ID, GL_ITM_CODE); các chỉ số cấp hợp đồng (APPROVE_AMOUNT, ODUE_PR_AMT, ODUE_IN_AMT...) chỉ tính trên dòng dư nợ chính hoặc khi tổng hợp báo cáo cần lọc theo GL_ITM_CODE LIKE '2%' để không cộng trùng giữa dòng gốc (2%) và dòng lãi dự thu (394%)</t>
        </is>
      </c>
      <c r="I2" s="450" t="inlineStr">
        <is>
          <t>Fields</t>
        </is>
      </c>
      <c r="J2" s="437" t="n"/>
      <c r="K2" s="451" t="n"/>
      <c r="L2" s="451" t="n"/>
    </row>
    <row r="3" ht="14.25" customHeight="1" s="335">
      <c r="A3" s="459" t="n">
        <v>1</v>
      </c>
      <c r="B3" s="462" t="inlineStr">
        <is>
          <t>PG_SILVER</t>
        </is>
      </c>
      <c r="C3" s="557" t="inlineStr">
        <is>
          <t>AR_BAL</t>
        </is>
      </c>
      <c r="D3" s="415" t="inlineStr">
        <is>
          <t>a</t>
        </is>
      </c>
      <c r="E3" s="461" t="inlineStr">
        <is>
          <t>main</t>
        </is>
      </c>
      <c r="F3" s="415" t="n"/>
      <c r="G3" s="415" t="n"/>
      <c r="H3" s="463" t="inlineStr">
        <is>
          <t>WHERE a.CDR_DT = ${ETL_DATE}</t>
        </is>
      </c>
      <c r="I3" s="415" t="n"/>
      <c r="J3" s="437" t="n"/>
      <c r="K3" s="451" t="n"/>
      <c r="L3" s="451" t="n"/>
    </row>
    <row r="4" ht="14.25" customHeight="1" s="335">
      <c r="A4" s="459" t="n">
        <v>2</v>
      </c>
      <c r="B4" s="462" t="inlineStr">
        <is>
          <t>PG_SILVER</t>
        </is>
      </c>
      <c r="C4" s="462" t="inlineStr">
        <is>
          <t>LOAN_AR</t>
        </is>
      </c>
      <c r="D4" s="415" t="inlineStr">
        <is>
          <t>b</t>
        </is>
      </c>
      <c r="E4" s="461" t="inlineStr">
        <is>
          <t>sub</t>
        </is>
      </c>
      <c r="F4" s="415" t="inlineStr">
        <is>
          <t>join</t>
        </is>
      </c>
      <c r="G4" s="415" t="inlineStr">
        <is>
          <t>a.AR_ID = b.AR_ID</t>
        </is>
      </c>
      <c r="H4" s="485" t="inlineStr">
        <is>
          <t>b.SYS_EXP_DT IS NULL</t>
        </is>
      </c>
      <c r="I4" s="415" t="n"/>
      <c r="J4" s="437" t="n"/>
      <c r="K4" s="451" t="n"/>
      <c r="L4" s="451" t="n"/>
    </row>
    <row r="5" ht="36.75" customHeight="1" s="335">
      <c r="A5" s="459" t="n">
        <v>3</v>
      </c>
      <c r="B5" s="462" t="inlineStr">
        <is>
          <t>PG_SILVER</t>
        </is>
      </c>
      <c r="C5" s="558" t="inlineStr">
        <is>
          <t>LOAN_AR_PRFL</t>
        </is>
      </c>
      <c r="D5" s="415" t="inlineStr">
        <is>
          <t>c</t>
        </is>
      </c>
      <c r="E5" s="461" t="inlineStr">
        <is>
          <t>sub</t>
        </is>
      </c>
      <c r="F5" s="415" t="inlineStr">
        <is>
          <t>left join</t>
        </is>
      </c>
      <c r="G5" s="415" t="inlineStr">
        <is>
          <t>a.AR_ID = c.AR_ID</t>
        </is>
      </c>
      <c r="H5" s="463" t="inlineStr">
        <is>
          <t>c.SYS_EXP_DT IS NULL</t>
        </is>
      </c>
      <c r="I5" s="415" t="n"/>
      <c r="J5" s="437" t="n"/>
      <c r="K5" s="451" t="n"/>
      <c r="L5" s="451" t="n"/>
    </row>
    <row r="6" ht="36.75" customHeight="1" s="335">
      <c r="A6" s="459" t="n">
        <v>4</v>
      </c>
      <c r="B6" s="462" t="inlineStr">
        <is>
          <t>PG_SILVER</t>
        </is>
      </c>
      <c r="C6" s="558" t="inlineStr">
        <is>
          <t>AR_RATE_HIST</t>
        </is>
      </c>
      <c r="D6" s="415" t="inlineStr">
        <is>
          <t>d</t>
        </is>
      </c>
      <c r="E6" s="461" t="inlineStr">
        <is>
          <t>sub</t>
        </is>
      </c>
      <c r="F6" s="415" t="inlineStr">
        <is>
          <t>left join</t>
        </is>
      </c>
      <c r="G6" s="415" t="inlineStr">
        <is>
          <t>a.AR_ID = e.AR_ID</t>
        </is>
      </c>
      <c r="H6" s="463" t="inlineStr">
        <is>
          <t>e.CDR_DT = ${ETL_DATE} -- Join 1:1 theo AR_ID (dành cho PDLD%); với hợp đồng gốc LD% dùng subquery e1 đã GROUP BY ORIG_AR_ID ở dòng 7 để tránh nhân bản dòng (Fan-out)</t>
        </is>
      </c>
      <c r="I6" s="415" t="n"/>
      <c r="J6" s="437" t="n"/>
      <c r="K6" s="451" t="n"/>
      <c r="L6" s="451" t="n"/>
    </row>
    <row r="7" ht="36.75" customHeight="1" s="335">
      <c r="A7" s="559" t="n">
        <v>5</v>
      </c>
      <c r="B7" s="560" t="inlineStr">
        <is>
          <t>PG_SILVER</t>
        </is>
      </c>
      <c r="C7" s="455" t="inlineStr">
        <is>
          <t>AR_DLQ_SMY</t>
        </is>
      </c>
      <c r="D7" s="456" t="inlineStr">
        <is>
          <t>e</t>
        </is>
      </c>
      <c r="E7" s="561" t="inlineStr">
        <is>
          <t>sub</t>
        </is>
      </c>
      <c r="F7" s="456" t="inlineStr">
        <is>
          <t>left join</t>
        </is>
      </c>
      <c r="G7" s="456" t="inlineStr">
        <is>
          <t>CASE WHEN a.AR_CODE LIKE 'PDLD%' THEN a.AR_ID ELSE e.ORIG_AR_ID END = CASE WHEN a.AR_CODE LIKE 'PDLD%' THEN e.AR_ID ELSE a.AR_ID END</t>
        </is>
      </c>
      <c r="H7" s="499" t="inlineStr">
        <is>
          <t>e.CDR_DT = ${ETL_DATE}</t>
        </is>
      </c>
      <c r="I7" s="456" t="n"/>
      <c r="J7" s="562" t="n"/>
      <c r="K7" s="563" t="n"/>
      <c r="L7" s="563" t="n"/>
      <c r="M7" s="452" t="n"/>
      <c r="N7" s="452" t="n"/>
      <c r="O7" s="452" t="n"/>
      <c r="P7" s="452" t="n"/>
    </row>
    <row r="8" ht="64.5" customHeight="1" s="335">
      <c r="A8" s="459" t="n">
        <v>6</v>
      </c>
      <c r="B8" s="462" t="inlineStr">
        <is>
          <t>PG_SILVER</t>
        </is>
      </c>
      <c r="C8" s="433" t="inlineStr">
        <is>
          <t>AR_DLQ_SMY</t>
        </is>
      </c>
      <c r="D8" s="415" t="inlineStr">
        <is>
          <t>e1</t>
        </is>
      </c>
      <c r="E8" s="461" t="inlineStr">
        <is>
          <t>sub</t>
        </is>
      </c>
      <c r="F8" s="415" t="inlineStr">
        <is>
          <t>left join</t>
        </is>
      </c>
      <c r="G8" s="415" t="inlineStr">
        <is>
          <t>CASE WHEN a.AR_CODE LIKE 'PDLD%' THEN fn_hash("T24_LD_LOANS_AND_DEPOSITS", SUBSTR(a.AR_CODE, 3, 12)) ELSE a.AR_ID END = e1.ORIG_AR_ID</t>
        </is>
      </c>
      <c r="H8" s="463" t="inlineStr">
        <is>
          <t>(SELECT
  ORIG_AR_ID
  ,SUM(NVL(e.PNP_ARS, 0)) AS PNP_ARS
  ,MAX(${ETL_DATE} - e.PNP_PAST_DUE_DT) + 1 AS SO_NGAY_QH_GOC
  ,MAX(${ETL_DATE} - e.INT_PAST_DUE_DT) + 1 AS SO_NGAY_QH_LAI
  ,GREATEST(NVL(MAX(${ETL_DATE} - e.PNP_PAST_DUE_DT) + 1, 0), NVL(MAX(${ETL_DATE} - e.INT_PAST_DUE_DT) + 1, 0)) AS SONGAY_QHAN_CAONHAT
  ,MAX(NVL(e.ADDITION_DYS_IN_ARS, 0)) AS SNQH_CHUYENDOI
FROM PG_SILVER.AR_DLQ_SMY e
WHERE e.CDR_DT = ${ETL_DATE}
GROUP BY ORIG_AR_ID) e1</t>
        </is>
      </c>
      <c r="I8" s="415" t="n"/>
      <c r="J8" s="437" t="n"/>
      <c r="K8" s="451" t="n"/>
      <c r="L8" s="451" t="n"/>
    </row>
    <row r="9" ht="36.75" customHeight="1" s="335">
      <c r="A9" s="459" t="n">
        <v>7</v>
      </c>
      <c r="B9" s="462" t="inlineStr">
        <is>
          <t>PG_SILVER</t>
        </is>
      </c>
      <c r="C9" s="564" t="inlineStr">
        <is>
          <t>EXG_RATE</t>
        </is>
      </c>
      <c r="D9" s="415" t="inlineStr">
        <is>
          <t>f</t>
        </is>
      </c>
      <c r="E9" s="461" t="inlineStr">
        <is>
          <t>sub</t>
        </is>
      </c>
      <c r="F9" s="415" t="inlineStr">
        <is>
          <t>left join</t>
        </is>
      </c>
      <c r="G9" s="415" t="inlineStr">
        <is>
          <t>b.CCY_CODE = f.FRST_CCY_CODE</t>
        </is>
      </c>
      <c r="H9" s="463" t="inlineStr">
        <is>
          <t>f.SNPST_DT = ${ETL_DATE}</t>
        </is>
      </c>
      <c r="I9" s="415" t="n"/>
      <c r="J9" s="437" t="n"/>
      <c r="K9" s="451" t="n"/>
      <c r="L9" s="451" t="n"/>
    </row>
    <row r="10" ht="14.25" customHeight="1" s="335">
      <c r="A10" s="459" t="n">
        <v>8</v>
      </c>
      <c r="B10" s="462" t="inlineStr">
        <is>
          <t>PG_SILVER</t>
        </is>
      </c>
      <c r="C10" s="433" t="inlineStr">
        <is>
          <t>OU</t>
        </is>
      </c>
      <c r="D10" s="415" t="inlineStr">
        <is>
          <t>i</t>
        </is>
      </c>
      <c r="E10" s="461" t="inlineStr">
        <is>
          <t>sub</t>
        </is>
      </c>
      <c r="F10" s="415" t="inlineStr">
        <is>
          <t>left join</t>
        </is>
      </c>
      <c r="G10" s="415" t="inlineStr">
        <is>
          <t>c.OU_CODE = i.OU_CODE</t>
        </is>
      </c>
      <c r="H10" s="463" t="inlineStr">
        <is>
          <t>i.SYS_EXP_DT IS NULL</t>
        </is>
      </c>
      <c r="I10" s="415" t="n"/>
      <c r="J10" s="437" t="n"/>
      <c r="K10" s="451" t="n"/>
      <c r="L10" s="451" t="n"/>
    </row>
    <row r="11" ht="180" customHeight="1" s="335">
      <c r="A11" s="459" t="n">
        <v>9</v>
      </c>
      <c r="B11" s="462" t="inlineStr">
        <is>
          <t>PG_SILVER</t>
        </is>
      </c>
      <c r="C11" s="557" t="inlineStr">
        <is>
          <t>AST_AR_INT_SMY</t>
        </is>
      </c>
      <c r="D11" s="415" t="inlineStr">
        <is>
          <t>k</t>
        </is>
      </c>
      <c r="E11" s="461" t="inlineStr">
        <is>
          <t>sub</t>
        </is>
      </c>
      <c r="F11" s="415" t="inlineStr">
        <is>
          <t>left join</t>
        </is>
      </c>
      <c r="G11" s="415" t="inlineStr">
        <is>
          <t>CASE WHEN a.AR_CODE LIKE 'PDLD%' THEN fn_hash("T24_LD_LOANS_AND_DEPOSITS", SUBSTR(a.AR_CODE, 3, 12)) ELSE a.AR_ID END = k.ORIG_AR_ID</t>
        </is>
      </c>
      <c r="H11" s="461" t="inlineStr">
        <is>
          <t>(SELECT
  ORIG_AR_ID
  ,SUM(TOT_ACR_INT_AMT_FCY) AS TOT_ACR_INT_AMT_FCY
  ,SUM(TOT_INT_PAID_AMT_FCY) AS TOT_INT_PAID_AMT_FCY
  ,SUM(TOT_INT_DUE_AMT_FCY) AS TOT_INT_DUE_AMT_FCY
  ,SUM(TOT_INT_ODUE_AMT_FCY) AS TOT_INT_ODUE_AMT_FCY
FROM PG_SILVER.AST_AR_INT_SMY
WHERE CDR_DT = ${ETL_DATE}
GROUP BY ORIG_AR_ID) k</t>
        </is>
      </c>
      <c r="I11" s="415" t="n"/>
      <c r="J11" s="437" t="n"/>
      <c r="K11" s="451" t="n"/>
      <c r="L11" s="451" t="n"/>
    </row>
    <row r="12" ht="14.25" customHeight="1" s="335">
      <c r="A12" s="565" t="n">
        <v>10</v>
      </c>
      <c r="B12" s="565" t="inlineStr">
        <is>
          <t>PG_GOLD</t>
        </is>
      </c>
      <c r="C12" s="565" t="inlineStr">
        <is>
          <t>INF_CST</t>
        </is>
      </c>
      <c r="D12" s="565" t="inlineStr">
        <is>
          <t>cst</t>
        </is>
      </c>
      <c r="E12" s="566" t="inlineStr">
        <is>
          <t>sub</t>
        </is>
      </c>
      <c r="F12" s="565" t="inlineStr">
        <is>
          <t>left join</t>
        </is>
      </c>
      <c r="G12" s="565" t="inlineStr">
        <is>
          <t>a.CST_CODE = cst.CST_CODE</t>
        </is>
      </c>
      <c r="H12" s="565" t="inlineStr">
        <is>
          <t>cst.CDR_DT = ${ETL_DATE}</t>
        </is>
      </c>
      <c r="I12" s="437" t="n"/>
      <c r="J12" s="437" t="n"/>
      <c r="K12" s="451" t="n"/>
      <c r="L12" s="451" t="n"/>
    </row>
    <row r="13" ht="14.25" customHeight="1" s="335">
      <c r="A13" s="565" t="n">
        <v>11</v>
      </c>
      <c r="B13" s="565" t="inlineStr">
        <is>
          <t>PG_SILVER</t>
        </is>
      </c>
      <c r="C13" s="565" t="inlineStr">
        <is>
          <t>AR_AVY_SHD_ITM</t>
        </is>
      </c>
      <c r="D13" s="565" t="inlineStr">
        <is>
          <t>shd</t>
        </is>
      </c>
      <c r="E13" s="566" t="inlineStr">
        <is>
          <t>sub</t>
        </is>
      </c>
      <c r="F13" s="565" t="inlineStr">
        <is>
          <t>left join</t>
        </is>
      </c>
      <c r="G13" s="565" t="inlineStr">
        <is>
          <t>a.AR_ID = shd.AR_ID</t>
        </is>
      </c>
      <c r="H13" s="566" t="inlineStr">
        <is>
          <t>(SELECT
  AR_ID
  ,MIN(CASE WHEN PBL_AMT_TP IN ('LD_PR', 'PD_PR') THEN EFF_MAT_DT END) AS NGAY_THANH_TOAN_GOC_TIEPTHEO
  ,SUM(CASE WHEN PBL_AMT_TP IN ('LD_PR', 'PD_PR') THEN NVL(PBL_AMT_FCY, 0) ELSE 0 END) AS SO_TIEN_THUNO_GOC
  ,MIN(CASE WHEN PBL_AMT_TP IN ('LD_IN', 'PD_IN') THEN EFF_MAT_DT END) AS NGAY_THANH_TOAN_LAI
FROM PG_SILVER.AR_AVY_SHD_ITM
WHERE SYS_EXP_DT IS NULL AND EFF_MAT_DT &gt;= ${ETL_DATE}
GROUP BY AR_ID) shd</t>
        </is>
      </c>
      <c r="I13" s="437" t="n"/>
      <c r="J13" s="437" t="n"/>
      <c r="K13" s="451" t="n"/>
      <c r="L13" s="451" t="n"/>
    </row>
    <row r="14" ht="14.25" customHeight="1" s="335">
      <c r="A14" s="555" t="inlineStr">
        <is>
          <t>Nguồn</t>
        </is>
      </c>
      <c r="B14" s="555" t="inlineStr">
        <is>
          <t>Bảng nguồn</t>
        </is>
      </c>
      <c r="C14" s="555" t="inlineStr">
        <is>
          <t>Cột nguồn</t>
        </is>
      </c>
      <c r="D14" s="555" t="inlineStr">
        <is>
          <t>Transform</t>
        </is>
      </c>
      <c r="E14" s="556" t="inlineStr">
        <is>
          <t>Entity</t>
        </is>
      </c>
      <c r="F14" s="555" t="inlineStr">
        <is>
          <t>Attribute</t>
        </is>
      </c>
      <c r="G14" s="555" t="inlineStr">
        <is>
          <t>Bảng đích</t>
        </is>
      </c>
      <c r="H14" s="555" t="inlineStr">
        <is>
          <t>Cột đích</t>
        </is>
      </c>
      <c r="I14" s="555" t="inlineStr">
        <is>
          <t>Kiểu dữ liệu</t>
        </is>
      </c>
      <c r="J14" s="555" t="inlineStr">
        <is>
          <t>Độ dài</t>
        </is>
      </c>
      <c r="K14" s="556" t="inlineStr">
        <is>
          <t>Diễn giải</t>
        </is>
      </c>
      <c r="L14" s="556" t="inlineStr">
        <is>
          <t>Glossary</t>
        </is>
      </c>
      <c r="M14" s="556" t="inlineStr">
        <is>
          <t>Term</t>
        </is>
      </c>
      <c r="N14" s="556" t="inlineStr">
        <is>
          <t>Note</t>
        </is>
      </c>
      <c r="O14" s="556" t="inlineStr">
        <is>
          <t>DDL Comment</t>
        </is>
      </c>
      <c r="P14" s="413" t="inlineStr">
        <is>
          <t>Ghi chú kỹ thuật &amp; Business Rule</t>
        </is>
      </c>
    </row>
    <row r="15" ht="14.25" customHeight="1" s="335">
      <c r="A15" s="442" t="inlineStr">
        <is>
          <t>PG_SILVER</t>
        </is>
      </c>
      <c r="B15" s="442" t="inlineStr">
        <is>
          <t>AR_BAL</t>
        </is>
      </c>
      <c r="C15" s="415" t="inlineStr">
        <is>
          <t>CDR_DT</t>
        </is>
      </c>
      <c r="D15" s="463" t="inlineStr">
        <is>
          <t>${ETL_DATE}</t>
        </is>
      </c>
      <c r="E15" s="461" t="inlineStr">
        <is>
          <t>Interface Loan Arrangement</t>
        </is>
      </c>
      <c r="F15" s="415" t="inlineStr">
        <is>
          <t>Calendar Date</t>
        </is>
      </c>
      <c r="G15" s="557" t="inlineStr">
        <is>
          <t>INTF_LOAN_AR</t>
        </is>
      </c>
      <c r="H15" s="467" t="inlineStr">
        <is>
          <t>CDR_DT</t>
        </is>
      </c>
      <c r="I15" s="415" t="inlineStr">
        <is>
          <t>DATE</t>
        </is>
      </c>
      <c r="J15" s="415" t="n"/>
      <c r="K15" s="469" t="inlineStr">
        <is>
          <t>Ngày dữ liệu</t>
        </is>
      </c>
      <c r="L15" s="527" t="inlineStr">
        <is>
          <t>Ngày dữ liệu trong dwh</t>
        </is>
      </c>
      <c r="M15" s="438" t="n"/>
      <c r="N15" s="438" t="n"/>
      <c r="O15" s="469">
        <f>"COMMENT ON COLUMN PG_GOLD."&amp;G15&amp;"."&amp;H15&amp;" IS '"&amp;K15&amp;"';"</f>
        <v/>
      </c>
    </row>
    <row r="16" ht="14.25" customHeight="1" s="335">
      <c r="A16" s="442" t="inlineStr">
        <is>
          <t>PG_SILVER</t>
        </is>
      </c>
      <c r="B16" s="557" t="inlineStr">
        <is>
          <t>AR_BAL</t>
        </is>
      </c>
      <c r="C16" s="438" t="inlineStr">
        <is>
          <t>AR_CODE</t>
        </is>
      </c>
      <c r="D16" s="415" t="inlineStr">
        <is>
          <t>1:1</t>
        </is>
      </c>
      <c r="E16" s="461" t="inlineStr">
        <is>
          <t>Interface Loan Arrangement</t>
        </is>
      </c>
      <c r="F16" s="415" t="inlineStr">
        <is>
          <t>Arrangement Code</t>
        </is>
      </c>
      <c r="G16" s="557" t="inlineStr">
        <is>
          <t>INTF_LOAN_AR</t>
        </is>
      </c>
      <c r="H16" s="438" t="inlineStr">
        <is>
          <t>AR_CODE</t>
        </is>
      </c>
      <c r="I16" s="415" t="inlineStr">
        <is>
          <t>VARCHAR2</t>
        </is>
      </c>
      <c r="J16" s="459" t="n">
        <v>40</v>
      </c>
      <c r="K16" s="469" t="inlineStr">
        <is>
          <t>Mã hợp đồng</t>
        </is>
      </c>
      <c r="L16" s="469" t="inlineStr">
        <is>
          <t>Mã tài khoản vay</t>
        </is>
      </c>
      <c r="M16" s="415" t="inlineStr">
        <is>
          <t>LD_ID</t>
        </is>
      </c>
      <c r="O16" s="469">
        <f>"COMMENT ON COLUMN PG_GOLD."&amp;G16&amp;"."&amp;H16&amp;" IS '"&amp;K16&amp;"';"</f>
        <v/>
      </c>
    </row>
    <row r="17" ht="14.25" customHeight="1" s="335">
      <c r="A17" s="442" t="inlineStr">
        <is>
          <t>PG_SILVER</t>
        </is>
      </c>
      <c r="B17" s="442" t="inlineStr">
        <is>
          <t>LOAN_AR</t>
        </is>
      </c>
      <c r="C17" s="557" t="inlineStr">
        <is>
          <t>EFF_DT</t>
        </is>
      </c>
      <c r="D17" s="415" t="inlineStr">
        <is>
          <t>1:1</t>
        </is>
      </c>
      <c r="E17" s="461" t="inlineStr">
        <is>
          <t>Interface Loan Arrangement</t>
        </is>
      </c>
      <c r="F17" s="415" t="inlineStr">
        <is>
          <t>Effective Date</t>
        </is>
      </c>
      <c r="G17" s="557" t="inlineStr">
        <is>
          <t>INTF_LOAN_AR</t>
        </is>
      </c>
      <c r="H17" s="557" t="inlineStr">
        <is>
          <t>EFF_DT</t>
        </is>
      </c>
      <c r="I17" s="415" t="inlineStr">
        <is>
          <t>DATE</t>
        </is>
      </c>
      <c r="J17" s="415" t="n"/>
      <c r="K17" s="469" t="inlineStr">
        <is>
          <t>Ngày hiệu lực của hợp đồng</t>
        </is>
      </c>
      <c r="L17" s="469" t="inlineStr">
        <is>
          <t>Ngày hiệu lực của hợp đồng</t>
        </is>
      </c>
      <c r="M17" s="415" t="inlineStr">
        <is>
          <t>VALUE_DATE</t>
        </is>
      </c>
      <c r="O17" s="469">
        <f>"COMMENT ON COLUMN PG_GOLD."&amp;G17&amp;"."&amp;H17&amp;" IS '"&amp;K17&amp;"';"</f>
        <v/>
      </c>
    </row>
    <row r="18" ht="14.25" customHeight="1" s="335">
      <c r="A18" s="442" t="inlineStr">
        <is>
          <t>PG_SILVER</t>
        </is>
      </c>
      <c r="B18" s="557" t="inlineStr">
        <is>
          <t>AR_BAL</t>
        </is>
      </c>
      <c r="C18" s="557" t="inlineStr">
        <is>
          <t>PD_CGY_CODE</t>
        </is>
      </c>
      <c r="D18" s="415" t="inlineStr">
        <is>
          <t>1:1</t>
        </is>
      </c>
      <c r="E18" s="461" t="inlineStr">
        <is>
          <t>Interface Loan Arrangement</t>
        </is>
      </c>
      <c r="F18" s="415" t="inlineStr">
        <is>
          <t>Product Category Code</t>
        </is>
      </c>
      <c r="G18" s="557" t="inlineStr">
        <is>
          <t>INTF_LOAN_AR</t>
        </is>
      </c>
      <c r="H18" s="557" t="inlineStr">
        <is>
          <t>PD_CGY_CODE</t>
        </is>
      </c>
      <c r="I18" s="415" t="inlineStr">
        <is>
          <t>VARCHAR2</t>
        </is>
      </c>
      <c r="J18" s="459" t="n">
        <v>20</v>
      </c>
      <c r="K18" s="461" t="inlineStr">
        <is>
          <t>Mã phân loại sản phẩm</t>
        </is>
      </c>
      <c r="L18" s="567" t="inlineStr">
        <is>
          <t>Mã phân loại sản phẩm</t>
        </is>
      </c>
      <c r="M18" s="415" t="inlineStr">
        <is>
          <t>CATEGORY</t>
        </is>
      </c>
      <c r="O18" s="461">
        <f>"COMMENT ON COLUMN PG_GOLD."&amp;G18&amp;"."&amp;H18&amp;" IS '"&amp;K18&amp;"';"</f>
        <v/>
      </c>
    </row>
    <row r="19" ht="14.25" customHeight="1" s="335">
      <c r="A19" s="442" t="inlineStr">
        <is>
          <t>PG_SILVER</t>
        </is>
      </c>
      <c r="B19" s="442" t="inlineStr">
        <is>
          <t>LOAN_AR</t>
        </is>
      </c>
      <c r="C19" s="557" t="inlineStr">
        <is>
          <t>PPR_CTR_NBR</t>
        </is>
      </c>
      <c r="D19" s="415" t="inlineStr">
        <is>
          <t>1:1</t>
        </is>
      </c>
      <c r="E19" s="461" t="inlineStr">
        <is>
          <t>Interface Loan Arrangement</t>
        </is>
      </c>
      <c r="F19" s="415" t="inlineStr">
        <is>
          <t>Paper Contract Number</t>
        </is>
      </c>
      <c r="G19" s="557" t="inlineStr">
        <is>
          <t>INTF_LOAN_AR</t>
        </is>
      </c>
      <c r="H19" s="557" t="inlineStr">
        <is>
          <t>PPR_CTR_NBR</t>
        </is>
      </c>
      <c r="I19" s="415" t="inlineStr">
        <is>
          <t>VARCHAR2</t>
        </is>
      </c>
      <c r="J19" s="459" t="n">
        <v>100</v>
      </c>
      <c r="K19" s="469" t="inlineStr">
        <is>
          <t>Mã hồ sơ</t>
        </is>
      </c>
      <c r="L19" s="469" t="inlineStr">
        <is>
          <t>Số hợp đồng giấy</t>
        </is>
      </c>
      <c r="M19" s="415" t="inlineStr">
        <is>
          <t>MA_CRA</t>
        </is>
      </c>
      <c r="O19" s="469">
        <f>"COMMENT ON COLUMN PG_GOLD."&amp;G19&amp;"."&amp;H19&amp;" IS '"&amp;K19&amp;"';"</f>
        <v/>
      </c>
    </row>
    <row r="20" ht="14.25" customHeight="1" s="335">
      <c r="A20" s="442" t="inlineStr">
        <is>
          <t>PG_SILVER</t>
        </is>
      </c>
      <c r="B20" s="557" t="inlineStr">
        <is>
          <t>LOAN_AR_PRFL</t>
        </is>
      </c>
      <c r="C20" s="557" t="inlineStr">
        <is>
          <t>OU_CODE</t>
        </is>
      </c>
      <c r="D20" s="415" t="inlineStr">
        <is>
          <t>1:1</t>
        </is>
      </c>
      <c r="E20" s="461" t="inlineStr">
        <is>
          <t>Interface Loan Arrangement</t>
        </is>
      </c>
      <c r="F20" s="415" t="inlineStr">
        <is>
          <t>Organization Unit Code</t>
        </is>
      </c>
      <c r="G20" s="557" t="inlineStr">
        <is>
          <t>INTF_LOAN_AR</t>
        </is>
      </c>
      <c r="H20" s="557" t="inlineStr">
        <is>
          <t>OU_CODE</t>
        </is>
      </c>
      <c r="I20" s="415" t="inlineStr">
        <is>
          <t>VARCHAR2</t>
        </is>
      </c>
      <c r="J20" s="459" t="n">
        <v>32</v>
      </c>
      <c r="K20" s="461" t="inlineStr">
        <is>
          <t>Mã chi nhánh hạch toán</t>
        </is>
      </c>
      <c r="L20" s="461" t="inlineStr">
        <is>
          <t>Mã chi nhánh hạch toán</t>
        </is>
      </c>
      <c r="M20" s="415" t="inlineStr">
        <is>
          <t>CO_CODE</t>
        </is>
      </c>
      <c r="O20" s="461">
        <f>"COMMENT ON COLUMN PG_GOLD."&amp;G20&amp;"."&amp;H20&amp;" IS '"&amp;K20&amp;"';"</f>
        <v/>
      </c>
    </row>
    <row r="21" ht="14.25" customHeight="1" s="335">
      <c r="A21" s="442" t="inlineStr">
        <is>
          <t>PG_SILVER</t>
        </is>
      </c>
      <c r="B21" s="557" t="inlineStr">
        <is>
          <t>AR_BAL</t>
        </is>
      </c>
      <c r="C21" s="557" t="inlineStr">
        <is>
          <t>SUB_PD_CODE</t>
        </is>
      </c>
      <c r="D21" s="415" t="inlineStr">
        <is>
          <t>1:1</t>
        </is>
      </c>
      <c r="E21" s="461" t="inlineStr">
        <is>
          <t>Interface Loan Arrangement</t>
        </is>
      </c>
      <c r="F21" s="415" t="inlineStr">
        <is>
          <t>Sub Product Code</t>
        </is>
      </c>
      <c r="G21" s="557" t="inlineStr">
        <is>
          <t>INTF_LOAN_AR</t>
        </is>
      </c>
      <c r="H21" s="557" t="inlineStr">
        <is>
          <t>SUB_PD_CODE</t>
        </is>
      </c>
      <c r="I21" s="415" t="inlineStr">
        <is>
          <t>VARCHAR2</t>
        </is>
      </c>
      <c r="J21" s="459" t="n">
        <v>20</v>
      </c>
      <c r="K21" s="461" t="inlineStr">
        <is>
          <t>Mã sản phẩm con</t>
        </is>
      </c>
      <c r="L21" s="567" t="inlineStr">
        <is>
          <t>Mã sản phẩm con</t>
        </is>
      </c>
      <c r="M21" s="415" t="inlineStr">
        <is>
          <t>SUB_PRODUCT</t>
        </is>
      </c>
      <c r="O21" s="461">
        <f>"COMMENT ON COLUMN PG_GOLD."&amp;G21&amp;"."&amp;H21&amp;" IS '"&amp;K21&amp;"';"</f>
        <v/>
      </c>
    </row>
    <row r="22" ht="14.25" customHeight="1" s="335">
      <c r="A22" s="442" t="inlineStr">
        <is>
          <t>PG_SILVER</t>
        </is>
      </c>
      <c r="B22" s="557" t="inlineStr">
        <is>
          <t>AR_BAL</t>
        </is>
      </c>
      <c r="C22" s="557" t="inlineStr">
        <is>
          <t>CST_CODE</t>
        </is>
      </c>
      <c r="D22" s="415" t="inlineStr">
        <is>
          <t>1:1</t>
        </is>
      </c>
      <c r="E22" s="461" t="inlineStr">
        <is>
          <t>Interface Loan Arrangement</t>
        </is>
      </c>
      <c r="F22" s="415" t="inlineStr">
        <is>
          <t>Customer Code</t>
        </is>
      </c>
      <c r="G22" s="557" t="inlineStr">
        <is>
          <t>INTF_LOAN_AR</t>
        </is>
      </c>
      <c r="H22" s="557" t="inlineStr">
        <is>
          <t>CST_CODE</t>
        </is>
      </c>
      <c r="I22" s="415" t="inlineStr">
        <is>
          <t>VARCHAR2</t>
        </is>
      </c>
      <c r="J22" s="459" t="n">
        <v>20</v>
      </c>
      <c r="K22" s="461" t="inlineStr">
        <is>
          <t>Mã khách hàng</t>
        </is>
      </c>
      <c r="L22" s="461" t="inlineStr">
        <is>
          <t>Mã khách hàng</t>
        </is>
      </c>
      <c r="M22" s="415" t="inlineStr">
        <is>
          <t>CUSTOMER</t>
        </is>
      </c>
      <c r="O22" s="461">
        <f>"COMMENT ON COLUMN PG_GOLD."&amp;G22&amp;"."&amp;H22&amp;" IS '"&amp;K22&amp;"';"</f>
        <v/>
      </c>
    </row>
    <row r="23" ht="14.25" customHeight="1" s="335">
      <c r="A23" s="442" t="inlineStr">
        <is>
          <t>PG_SILVER</t>
        </is>
      </c>
      <c r="B23" s="557" t="inlineStr">
        <is>
          <t>LOAN_AR_PRFL</t>
        </is>
      </c>
      <c r="C23" s="557" t="inlineStr">
        <is>
          <t>AR_LCS_TP_CODE</t>
        </is>
      </c>
      <c r="D23" s="415" t="inlineStr">
        <is>
          <t>1:1</t>
        </is>
      </c>
      <c r="E23" s="461" t="inlineStr">
        <is>
          <t>Interface Loan Arrangement</t>
        </is>
      </c>
      <c r="F23" s="415" t="inlineStr">
        <is>
          <t>Arrangement Life Cycle Status Type Code</t>
        </is>
      </c>
      <c r="G23" s="557" t="inlineStr">
        <is>
          <t>INTF_LOAN_AR</t>
        </is>
      </c>
      <c r="H23" s="557" t="inlineStr">
        <is>
          <t>AR_LCS_TP_CODE</t>
        </is>
      </c>
      <c r="I23" s="415" t="inlineStr">
        <is>
          <t>VARCHAR2</t>
        </is>
      </c>
      <c r="J23" s="459" t="n">
        <v>40</v>
      </c>
      <c r="K23" s="461" t="inlineStr">
        <is>
          <t>Trạng thái</t>
        </is>
      </c>
      <c r="L23" s="568" t="inlineStr">
        <is>
          <t>Trạng thái hợp đồng</t>
        </is>
      </c>
      <c r="M23" s="415" t="inlineStr">
        <is>
          <t>STATUS</t>
        </is>
      </c>
      <c r="O23" s="461">
        <f>"COMMENT ON COLUMN PG_GOLD."&amp;G23&amp;"."&amp;H23&amp;" IS '"&amp;K23&amp;"';"</f>
        <v/>
      </c>
    </row>
    <row r="24" ht="14.25" customHeight="1" s="335">
      <c r="A24" s="442" t="inlineStr">
        <is>
          <t>PG_SILVER</t>
        </is>
      </c>
      <c r="B24" s="557" t="inlineStr">
        <is>
          <t>AR_BAL</t>
        </is>
      </c>
      <c r="C24" s="557" t="inlineStr">
        <is>
          <t>MUD_CODE</t>
        </is>
      </c>
      <c r="D24" s="415" t="inlineStr">
        <is>
          <t>1:1</t>
        </is>
      </c>
      <c r="E24" s="461" t="inlineStr">
        <is>
          <t>Interface Loan Arrangement</t>
        </is>
      </c>
      <c r="F24" s="415" t="inlineStr">
        <is>
          <t>Module Code</t>
        </is>
      </c>
      <c r="G24" s="557" t="inlineStr">
        <is>
          <t>INTF_LOAN_AR</t>
        </is>
      </c>
      <c r="H24" s="557" t="inlineStr">
        <is>
          <t>MUD_CODE</t>
        </is>
      </c>
      <c r="I24" s="415" t="inlineStr">
        <is>
          <t>VARCHAR2</t>
        </is>
      </c>
      <c r="J24" s="459" t="n">
        <v>20</v>
      </c>
      <c r="K24" s="461" t="inlineStr">
        <is>
          <t>Mã phân hệ</t>
        </is>
      </c>
      <c r="L24" s="461" t="inlineStr">
        <is>
          <t>Mã phân hệ</t>
        </is>
      </c>
      <c r="M24" s="415" t="inlineStr">
        <is>
          <t>MODULE</t>
        </is>
      </c>
      <c r="O24" s="461">
        <f>"COMMENT ON COLUMN PG_GOLD."&amp;G24&amp;"."&amp;H24&amp;" IS '"&amp;K24&amp;"';"</f>
        <v/>
      </c>
    </row>
    <row r="25" ht="14.25" customHeight="1" s="335">
      <c r="A25" s="442" t="inlineStr">
        <is>
          <t>PG_SILVER</t>
        </is>
      </c>
      <c r="B25" s="557" t="inlineStr">
        <is>
          <t>LOAN_AR_PRFL</t>
        </is>
      </c>
      <c r="C25" s="438" t="inlineStr">
        <is>
          <t>FNC_ST_CODE</t>
        </is>
      </c>
      <c r="D25" s="415" t="inlineStr">
        <is>
          <t>1:1</t>
        </is>
      </c>
      <c r="E25" s="461" t="inlineStr">
        <is>
          <t>Interface Loan Arrangement</t>
        </is>
      </c>
      <c r="F25" s="438" t="inlineStr">
        <is>
          <t>Financial Status Code</t>
        </is>
      </c>
      <c r="G25" s="557" t="inlineStr">
        <is>
          <t>INTF_LOAN_AR</t>
        </is>
      </c>
      <c r="H25" s="438" t="inlineStr">
        <is>
          <t>FNC_ST_CODE</t>
        </is>
      </c>
      <c r="I25" s="415" t="inlineStr">
        <is>
          <t>VARCHAR2</t>
        </is>
      </c>
      <c r="J25" s="459" t="n">
        <v>20</v>
      </c>
      <c r="K25" s="461" t="inlineStr">
        <is>
          <t>Nhóm nợ hợp đồng</t>
        </is>
      </c>
      <c r="L25" s="569" t="inlineStr">
        <is>
          <t>Nhóm nợ khách hàng</t>
        </is>
      </c>
      <c r="M25" s="415" t="inlineStr">
        <is>
          <t>CREDIT_STATUS</t>
        </is>
      </c>
      <c r="O25" s="461">
        <f>"COMMENT ON COLUMN PG_GOLD."&amp;G25&amp;"."&amp;H25&amp;" IS '"&amp;K25&amp;"';"</f>
        <v/>
      </c>
    </row>
    <row r="26" ht="14.25" customHeight="1" s="335">
      <c r="A26" s="442" t="inlineStr">
        <is>
          <t>PG_SILVER</t>
        </is>
      </c>
      <c r="B26" s="415" t="inlineStr">
        <is>
          <t>LOAN_AR</t>
        </is>
      </c>
      <c r="C26" s="557" t="inlineStr">
        <is>
          <t>CCY_CODE</t>
        </is>
      </c>
      <c r="D26" s="415" t="inlineStr">
        <is>
          <t>1:1</t>
        </is>
      </c>
      <c r="E26" s="461" t="inlineStr">
        <is>
          <t>Interface Loan Arrangement</t>
        </is>
      </c>
      <c r="F26" s="415" t="inlineStr">
        <is>
          <t>Currency Code</t>
        </is>
      </c>
      <c r="G26" s="557" t="inlineStr">
        <is>
          <t>INTF_LOAN_AR</t>
        </is>
      </c>
      <c r="H26" s="557" t="inlineStr">
        <is>
          <t>CCY_CODE</t>
        </is>
      </c>
      <c r="I26" s="415" t="inlineStr">
        <is>
          <t>VARCHAR2</t>
        </is>
      </c>
      <c r="J26" s="459" t="n">
        <v>20</v>
      </c>
      <c r="K26" s="461" t="inlineStr">
        <is>
          <t>Loại tiền</t>
        </is>
      </c>
      <c r="L26" s="461" t="inlineStr">
        <is>
          <t>Loại tiền</t>
        </is>
      </c>
      <c r="M26" s="415" t="inlineStr">
        <is>
          <t>CURRENCY</t>
        </is>
      </c>
      <c r="O26" s="461">
        <f>"COMMENT ON COLUMN PG_GOLD."&amp;G26&amp;"."&amp;H26&amp;" IS '"&amp;K26&amp;"';"</f>
        <v/>
      </c>
    </row>
    <row r="27" ht="54.75" customHeight="1" s="335">
      <c r="A27" s="415" t="inlineStr">
        <is>
          <t>PG_SILVER</t>
        </is>
      </c>
      <c r="B27" s="442" t="inlineStr">
        <is>
          <t>LOAN_AR</t>
        </is>
      </c>
      <c r="C27" s="415" t="inlineStr">
        <is>
          <t>MAT_DT</t>
        </is>
      </c>
      <c r="D27" s="415" t="inlineStr">
        <is>
          <t>1:1</t>
        </is>
      </c>
      <c r="E27" s="461" t="inlineStr">
        <is>
          <t>Interface Loan Arrangement</t>
        </is>
      </c>
      <c r="F27" s="433" t="inlineStr">
        <is>
          <t>Maturity Date</t>
        </is>
      </c>
      <c r="G27" s="557" t="inlineStr">
        <is>
          <t>INTF_LOAN_AR</t>
        </is>
      </c>
      <c r="H27" s="415" t="inlineStr">
        <is>
          <t>MAT_DT</t>
        </is>
      </c>
      <c r="I27" s="415" t="inlineStr">
        <is>
          <t>DATE</t>
        </is>
      </c>
      <c r="J27" s="415" t="n"/>
      <c r="K27" s="461" t="inlineStr">
        <is>
          <t>Ngày đáo hạn hợp đồng</t>
        </is>
      </c>
      <c r="L27" s="461" t="inlineStr">
        <is>
          <t>Ngày đáo hạn hợp đồng</t>
        </is>
      </c>
      <c r="M27" s="415" t="inlineStr">
        <is>
          <t>FIN_MAT_DATE</t>
        </is>
      </c>
      <c r="O27" s="461">
        <f>"COMMENT ON COLUMN PG_GOLD."&amp;G27&amp;"."&amp;H27&amp;" IS '"&amp;K27&amp;"';"</f>
        <v/>
      </c>
    </row>
    <row r="28" ht="27.75" customHeight="1" s="335">
      <c r="A28" s="456" t="inlineStr">
        <is>
          <t>PG_SILVER</t>
        </is>
      </c>
      <c r="B28" s="456" t="inlineStr">
        <is>
          <t>LOAN_AR</t>
        </is>
      </c>
      <c r="C28" s="456" t="inlineStr">
        <is>
          <t>ORIG_AMT_FCY</t>
        </is>
      </c>
      <c r="D28" s="499" t="inlineStr">
        <is>
          <t>NVL(b.ORIG_AMT_FCY, 0)</t>
        </is>
      </c>
      <c r="E28" s="561" t="inlineStr">
        <is>
          <t>Interface Loan Arrangement</t>
        </is>
      </c>
      <c r="F28" s="456" t="inlineStr">
        <is>
          <t>Approve Amount FCY</t>
        </is>
      </c>
      <c r="G28" s="570" t="inlineStr">
        <is>
          <t>INTF_LOAN_AR</t>
        </is>
      </c>
      <c r="H28" s="456" t="inlineStr">
        <is>
          <t>APPROVE_AMOUNT</t>
        </is>
      </c>
      <c r="I28" s="456" t="inlineStr">
        <is>
          <t>NUMBER</t>
        </is>
      </c>
      <c r="J28" s="456" t="n">
        <v>25.5</v>
      </c>
      <c r="K28" s="561" t="inlineStr">
        <is>
          <t>Số tiền phê duyệt nguyên tệ</t>
        </is>
      </c>
      <c r="L28" s="561" t="n"/>
      <c r="M28" s="456" t="inlineStr">
        <is>
          <t>APPROVE_AMOUNT</t>
        </is>
      </c>
      <c r="O28" s="561">
        <f>"COMMENT ON COLUMN PG_GOLD."&amp;G28&amp;"."&amp;H28&amp;" IS '"&amp;K28&amp;"';"</f>
        <v/>
      </c>
      <c r="P28" s="414" t="inlineStr">
        <is>
          <t>Map từ `NVL(b.ORIG_AMT_FCY, 0)` (LOAN_AR.ORIG_AMT_FCY).</t>
        </is>
      </c>
    </row>
    <row r="29" ht="14.25" customHeight="1" s="335">
      <c r="A29" s="442" t="inlineStr">
        <is>
          <t>PG_SILVER</t>
        </is>
      </c>
      <c r="B29" s="442" t="inlineStr">
        <is>
          <t>LOAN_AR</t>
        </is>
      </c>
      <c r="C29" s="415" t="inlineStr">
        <is>
          <t>VAL_DT, FCC_VAL_DT, EFF_DT</t>
        </is>
      </c>
      <c r="D29" s="415" t="inlineStr">
        <is>
          <t>COALESCE(b.VAL_DT, b.FCC_VAL_DT, b.EFF_DT)</t>
        </is>
      </c>
      <c r="E29" s="461" t="inlineStr">
        <is>
          <t>Interface Loan Arrangement</t>
        </is>
      </c>
      <c r="F29" s="415" t="inlineStr">
        <is>
          <t>Value Date</t>
        </is>
      </c>
      <c r="G29" s="557" t="inlineStr">
        <is>
          <t>INTF_LOAN_AR</t>
        </is>
      </c>
      <c r="H29" s="558" t="inlineStr">
        <is>
          <t>VAL_DT</t>
        </is>
      </c>
      <c r="I29" s="415" t="inlineStr">
        <is>
          <t>DATE</t>
        </is>
      </c>
      <c r="J29" s="415" t="n"/>
      <c r="K29" s="461" t="inlineStr">
        <is>
          <t>Ngày hiệu lực đầu tiên của hợp đồng</t>
        </is>
      </c>
      <c r="L29" s="461" t="inlineStr">
        <is>
          <t>Ngày hiệu lực đầu tiên của hợp đồng</t>
        </is>
      </c>
      <c r="M29" s="415" t="inlineStr">
        <is>
          <t>ORG_VALUE_DATE</t>
        </is>
      </c>
      <c r="O29" s="461">
        <f>"COMMENT ON COLUMN PG_GOLD."&amp;G29&amp;"."&amp;H29&amp;" IS '"&amp;K29&amp;"';"</f>
        <v/>
      </c>
    </row>
    <row r="30" ht="14.25" customHeight="1" s="335">
      <c r="A30" s="456" t="inlineStr">
        <is>
          <t>PG_SILVER</t>
        </is>
      </c>
      <c r="B30" s="456" t="inlineStr">
        <is>
          <t>LOAN_AR_PRFL</t>
        </is>
      </c>
      <c r="C30" s="456" t="inlineStr">
        <is>
          <t>PNP_LQD_AR_CODE</t>
        </is>
      </c>
      <c r="D30" s="456" t="inlineStr">
        <is>
          <t>1:1</t>
        </is>
      </c>
      <c r="E30" s="561" t="inlineStr">
        <is>
          <t>Interface Loan Arrangement</t>
        </is>
      </c>
      <c r="F30" s="456" t="inlineStr">
        <is>
          <t>Drawdown Account</t>
        </is>
      </c>
      <c r="G30" s="570" t="inlineStr">
        <is>
          <t>INTF_LOAN_AR</t>
        </is>
      </c>
      <c r="H30" s="456" t="inlineStr">
        <is>
          <t>DRAWDOWN_ACCOUNT</t>
        </is>
      </c>
      <c r="I30" s="456" t="inlineStr">
        <is>
          <t>VARCHAR2</t>
        </is>
      </c>
      <c r="J30" s="456" t="n">
        <v>40</v>
      </c>
      <c r="K30" s="561" t="inlineStr">
        <is>
          <t>Tài khoản giải ngân</t>
        </is>
      </c>
      <c r="L30" s="561" t="inlineStr">
        <is>
          <t>Tài khoản giải ngân / thu nợ gốc</t>
        </is>
      </c>
      <c r="M30" s="456" t="inlineStr">
        <is>
          <t>DRAWDOWN_ACCOUNT</t>
        </is>
      </c>
      <c r="O30" s="561">
        <f>"COMMENT ON COLUMN PG_GOLD."&amp;G30&amp;"."&amp;H30&amp;" IS '"&amp;K30&amp;"';"</f>
        <v/>
      </c>
      <c r="P30" s="452" t="inlineStr">
        <is>
          <t>Map 1:1 từ LOAN_AR_PRFL.PNP_LQD_AR_CODE (c.PNP_LQD_AR_CODE).</t>
        </is>
      </c>
    </row>
    <row r="31" ht="14.25" customHeight="1" s="335">
      <c r="A31" s="442" t="inlineStr">
        <is>
          <t>PG_SILVER</t>
        </is>
      </c>
      <c r="B31" s="557" t="inlineStr">
        <is>
          <t>AR_BAL</t>
        </is>
      </c>
      <c r="C31" s="557" t="inlineStr">
        <is>
          <t>AR_TERM_TP_CODE</t>
        </is>
      </c>
      <c r="D31" s="415" t="inlineStr">
        <is>
          <t>1:1</t>
        </is>
      </c>
      <c r="E31" s="461" t="inlineStr">
        <is>
          <t>Interface Loan Arrangement</t>
        </is>
      </c>
      <c r="F31" s="415" t="inlineStr">
        <is>
          <t>Arrangement Term Type Code</t>
        </is>
      </c>
      <c r="G31" s="557" t="inlineStr">
        <is>
          <t>INTF_LOAN_AR</t>
        </is>
      </c>
      <c r="H31" s="557" t="inlineStr">
        <is>
          <t>AR_TERM_TP_CODE</t>
        </is>
      </c>
      <c r="I31" s="415" t="inlineStr">
        <is>
          <t>VARCHAR2</t>
        </is>
      </c>
      <c r="J31" s="415" t="n">
        <v>20</v>
      </c>
      <c r="K31" s="461" t="inlineStr">
        <is>
          <t>Mã nhóm kỳ hạn</t>
        </is>
      </c>
      <c r="L31" s="571" t="inlineStr">
        <is>
          <t>Loại kỳ hạn</t>
        </is>
      </c>
      <c r="M31" s="415" t="inlineStr">
        <is>
          <t>LOC_TERM</t>
        </is>
      </c>
      <c r="O31" s="461">
        <f>"COMMENT ON COLUMN PG_GOLD."&amp;G31&amp;"."&amp;H31&amp;" IS '"&amp;K31&amp;"';"</f>
        <v/>
      </c>
    </row>
    <row r="32" ht="14.25" customHeight="1" s="335">
      <c r="A32" s="442" t="inlineStr">
        <is>
          <t>PG_SILVER</t>
        </is>
      </c>
      <c r="B32" s="442" t="inlineStr">
        <is>
          <t>LOAN_AR</t>
        </is>
      </c>
      <c r="C32" s="557" t="inlineStr">
        <is>
          <t>LMT_CODE</t>
        </is>
      </c>
      <c r="D32" s="415" t="inlineStr">
        <is>
          <t>1:1</t>
        </is>
      </c>
      <c r="E32" s="461" t="inlineStr">
        <is>
          <t>Interface Loan Arrangement</t>
        </is>
      </c>
      <c r="F32" s="557" t="inlineStr">
        <is>
          <t>LMT_CODE</t>
        </is>
      </c>
      <c r="G32" s="557" t="inlineStr">
        <is>
          <t>INTF_LOAN_AR</t>
        </is>
      </c>
      <c r="H32" s="557" t="inlineStr">
        <is>
          <t>LMT_CODE</t>
        </is>
      </c>
      <c r="I32" s="415" t="inlineStr">
        <is>
          <t>VARCHAR2</t>
        </is>
      </c>
      <c r="J32" s="415" t="n">
        <v>32</v>
      </c>
      <c r="K32" s="461" t="inlineStr">
        <is>
          <t>Mã tham chiếu hạn mức</t>
        </is>
      </c>
      <c r="L32" s="461" t="inlineStr">
        <is>
          <t>Mã tham chiếu hạn mức</t>
        </is>
      </c>
      <c r="M32" s="415" t="inlineStr">
        <is>
          <t>LIMIT_REFFERENCE</t>
        </is>
      </c>
      <c r="O32" s="461">
        <f>"COMMENT ON COLUMN PG_GOLD."&amp;G32&amp;"."&amp;H32&amp;" IS '"&amp;K32&amp;"';"</f>
        <v/>
      </c>
    </row>
    <row r="33" ht="27" customHeight="1" s="335">
      <c r="A33" s="456" t="inlineStr">
        <is>
          <t>PG_SILVER</t>
        </is>
      </c>
      <c r="B33" s="456" t="inlineStr">
        <is>
          <t>LOAN_AR</t>
        </is>
      </c>
      <c r="C33" s="456" t="inlineStr">
        <is>
          <t>AR_CODE</t>
        </is>
      </c>
      <c r="D33" s="456" t="inlineStr">
        <is>
          <t>NULL</t>
        </is>
      </c>
      <c r="E33" s="561" t="inlineStr">
        <is>
          <t>Interface Loan Arrangement</t>
        </is>
      </c>
      <c r="F33" s="456" t="inlineStr">
        <is>
          <t>Interest Key</t>
        </is>
      </c>
      <c r="G33" s="570" t="inlineStr">
        <is>
          <t>INTF_LOAN_AR</t>
        </is>
      </c>
      <c r="H33" s="456" t="inlineStr">
        <is>
          <t>INT_KEY</t>
        </is>
      </c>
      <c r="I33" s="456" t="inlineStr">
        <is>
          <t>NUMBER</t>
        </is>
      </c>
      <c r="J33" s="456" t="n">
        <v>22</v>
      </c>
      <c r="K33" s="561" t="inlineStr">
        <is>
          <t>Mã khóa lãi suất tham chiếu</t>
        </is>
      </c>
      <c r="L33" s="561" t="n"/>
      <c r="M33" s="456" t="inlineStr">
        <is>
          <t>INTEREST_KEY</t>
        </is>
      </c>
      <c r="O33" s="561">
        <f>"COMMENT ON COLUMN PG_GOLD."&amp;G33&amp;"."&amp;H33&amp;" IS '"&amp;K33&amp;"';"</f>
        <v/>
      </c>
      <c r="P33" s="452" t="n"/>
    </row>
    <row r="34" ht="14.25" customHeight="1" s="335">
      <c r="A34" s="456" t="inlineStr">
        <is>
          <t>PG_SILVER</t>
        </is>
      </c>
      <c r="B34" s="456" t="inlineStr">
        <is>
          <t>AR_RATE_HIST</t>
        </is>
      </c>
      <c r="C34" s="456" t="inlineStr">
        <is>
          <t>SPRD_RATE_PCT</t>
        </is>
      </c>
      <c r="D34" s="499" t="inlineStr">
        <is>
          <t>d.SPRD_RATE_PCT</t>
        </is>
      </c>
      <c r="E34" s="561" t="inlineStr">
        <is>
          <t>Interface Loan Arrangement</t>
        </is>
      </c>
      <c r="F34" s="456" t="inlineStr">
        <is>
          <t>Interest Spread</t>
        </is>
      </c>
      <c r="G34" s="570" t="inlineStr">
        <is>
          <t>INTF_LOAN_AR</t>
        </is>
      </c>
      <c r="H34" s="456" t="inlineStr">
        <is>
          <t>INT_SPRD</t>
        </is>
      </c>
      <c r="I34" s="456" t="inlineStr">
        <is>
          <t>NUMBER</t>
        </is>
      </c>
      <c r="J34" s="456" t="n">
        <v>25.7</v>
      </c>
      <c r="K34" s="561" t="inlineStr">
        <is>
          <t>Biên độ lãi suất</t>
        </is>
      </c>
      <c r="L34" s="561" t="n"/>
      <c r="M34" s="456" t="inlineStr">
        <is>
          <t>INTEREST_SPREAD</t>
        </is>
      </c>
      <c r="O34" s="561">
        <f>"COMMENT ON COLUMN PG_GOLD."&amp;G34&amp;"."&amp;H34&amp;" IS '"&amp;K34&amp;"';"</f>
        <v/>
      </c>
      <c r="P34" s="414" t="inlineStr">
        <is>
          <t>Map biên độ lãi suất từ `AR_RATE_HIST.SPRD_RATE_PCT`.</t>
        </is>
      </c>
    </row>
    <row r="35" ht="14.25" customHeight="1" s="335">
      <c r="A35" s="442" t="inlineStr">
        <is>
          <t>PG_SILVER</t>
        </is>
      </c>
      <c r="B35" s="557" t="inlineStr">
        <is>
          <t>LOAN_AR_PRFL</t>
        </is>
      </c>
      <c r="C35" s="557" t="inlineStr">
        <is>
          <t>INT_LQD_AR_CODE</t>
        </is>
      </c>
      <c r="D35" s="415" t="inlineStr">
        <is>
          <t>1:1</t>
        </is>
      </c>
      <c r="E35" s="461" t="inlineStr">
        <is>
          <t>Interface Loan Arrangement</t>
        </is>
      </c>
      <c r="F35" s="415" t="inlineStr">
        <is>
          <t>Interest Liquid Arrangement Code</t>
        </is>
      </c>
      <c r="G35" s="557" t="inlineStr">
        <is>
          <t>INTF_LOAN_AR</t>
        </is>
      </c>
      <c r="H35" s="557" t="inlineStr">
        <is>
          <t>INT_LQD_AR_CODE</t>
        </is>
      </c>
      <c r="I35" s="415" t="inlineStr">
        <is>
          <t>VARCHAR2</t>
        </is>
      </c>
      <c r="J35" s="415" t="n">
        <v>40</v>
      </c>
      <c r="K35" s="461" t="inlineStr">
        <is>
          <t>Tài khoản thanh toán lãi</t>
        </is>
      </c>
      <c r="L35" s="572" t="inlineStr">
        <is>
          <t>Phương thức thanh toán lãi</t>
        </is>
      </c>
      <c r="M35" s="415" t="inlineStr">
        <is>
          <t>INT_LIQ_ACCT</t>
        </is>
      </c>
      <c r="O35" s="461">
        <f>"COMMENT ON COLUMN PG_GOLD."&amp;G35&amp;"."&amp;H35&amp;" IS '"&amp;K35&amp;"';"</f>
        <v/>
      </c>
    </row>
    <row r="36" ht="14.25" customHeight="1" s="335">
      <c r="A36" s="442" t="inlineStr">
        <is>
          <t>PG_SILVER</t>
        </is>
      </c>
      <c r="B36" s="442" t="inlineStr">
        <is>
          <t>LOAN_AR</t>
        </is>
      </c>
      <c r="C36" s="557" t="inlineStr">
        <is>
          <t>FCC_AR_CODE</t>
        </is>
      </c>
      <c r="D36" s="415" t="inlineStr">
        <is>
          <t>1:1</t>
        </is>
      </c>
      <c r="E36" s="461" t="inlineStr">
        <is>
          <t>Interface Loan Arrangement</t>
        </is>
      </c>
      <c r="F36" s="415" t="inlineStr">
        <is>
          <t>FCC Arrangement Code</t>
        </is>
      </c>
      <c r="G36" s="557" t="inlineStr">
        <is>
          <t>INTF_LOAN_AR</t>
        </is>
      </c>
      <c r="H36" s="557" t="inlineStr">
        <is>
          <t>FCC_AR_CODE</t>
        </is>
      </c>
      <c r="I36" s="415" t="inlineStr">
        <is>
          <t>VARCHAR2</t>
        </is>
      </c>
      <c r="J36" s="415" t="n">
        <v>40</v>
      </c>
      <c r="K36" s="461" t="inlineStr">
        <is>
          <t>Mã hợp đồng FlexCube</t>
        </is>
      </c>
      <c r="L36" s="461" t="inlineStr">
        <is>
          <t>Mã hợp đồng trong FCC</t>
        </is>
      </c>
      <c r="M36" s="415" t="inlineStr">
        <is>
          <t>ACC_FCC</t>
        </is>
      </c>
      <c r="O36" s="461">
        <f>"COMMENT ON COLUMN PG_GOLD."&amp;G36&amp;"."&amp;H36&amp;" IS '"&amp;K36&amp;"';"</f>
        <v/>
      </c>
    </row>
    <row r="37" ht="14.25" customHeight="1" s="335">
      <c r="A37" s="442" t="inlineStr">
        <is>
          <t>PG_SILVER</t>
        </is>
      </c>
      <c r="B37" s="557" t="inlineStr">
        <is>
          <t>AR_RATE_HIST</t>
        </is>
      </c>
      <c r="C37" s="415" t="inlineStr">
        <is>
          <t>PNY_RATE</t>
        </is>
      </c>
      <c r="D37" s="415" t="inlineStr">
        <is>
          <t>1:1</t>
        </is>
      </c>
      <c r="E37" s="461" t="inlineStr">
        <is>
          <t>Interface Loan Arrangement</t>
        </is>
      </c>
      <c r="F37" s="415" t="inlineStr">
        <is>
          <t>Penalty Rate</t>
        </is>
      </c>
      <c r="G37" s="557" t="inlineStr">
        <is>
          <t>INTF_LOAN_AR</t>
        </is>
      </c>
      <c r="H37" s="415" t="inlineStr">
        <is>
          <t>PNY_RATE</t>
        </is>
      </c>
      <c r="I37" s="415" t="inlineStr">
        <is>
          <t>NUMBER</t>
        </is>
      </c>
      <c r="J37" s="415" t="n">
        <v>25.7</v>
      </c>
      <c r="K37" s="461" t="inlineStr">
        <is>
          <t>Lãi phạt penalty rate</t>
        </is>
      </c>
      <c r="L37" s="572" t="inlineStr">
        <is>
          <t>Lãi suất phạt</t>
        </is>
      </c>
      <c r="M37" s="415" t="inlineStr">
        <is>
          <t>PE_RATE</t>
        </is>
      </c>
      <c r="O37" s="461">
        <f>"COMMENT ON COLUMN PG_GOLD."&amp;G37&amp;"."&amp;H37&amp;" IS '"&amp;K37&amp;"';"</f>
        <v/>
      </c>
    </row>
    <row r="38" ht="41.25" customHeight="1" s="335">
      <c r="A38" s="442" t="inlineStr">
        <is>
          <t>PG_SILVER</t>
        </is>
      </c>
      <c r="B38" s="557" t="inlineStr">
        <is>
          <t>AR_RATE_HIST</t>
        </is>
      </c>
      <c r="C38" s="415" t="inlineStr">
        <is>
          <t>ODUE_INT_RATE</t>
        </is>
      </c>
      <c r="D38" s="415" t="inlineStr">
        <is>
          <t>1:1</t>
        </is>
      </c>
      <c r="E38" s="461" t="inlineStr">
        <is>
          <t>Interface Loan Arrangement</t>
        </is>
      </c>
      <c r="F38" s="415" t="inlineStr">
        <is>
          <t>Overdue Interest Rate</t>
        </is>
      </c>
      <c r="G38" s="557" t="inlineStr">
        <is>
          <t>INTF_LOAN_AR</t>
        </is>
      </c>
      <c r="H38" s="415" t="inlineStr">
        <is>
          <t>ODUE_INT_RATE</t>
        </is>
      </c>
      <c r="I38" s="415" t="inlineStr">
        <is>
          <t>NUMBER</t>
        </is>
      </c>
      <c r="J38" s="415" t="n">
        <v>25.7</v>
      </c>
      <c r="K38" s="461" t="inlineStr">
        <is>
          <t>Lãi suất cho quá hạn</t>
        </is>
      </c>
      <c r="L38" s="572" t="inlineStr">
        <is>
          <t>Lãi suất quá hạn</t>
        </is>
      </c>
      <c r="M38" s="415" t="inlineStr">
        <is>
          <t>PS_RATE</t>
        </is>
      </c>
      <c r="O38" s="461">
        <f>"COMMENT ON COLUMN PG_GOLD."&amp;G38&amp;"."&amp;H38&amp;" IS '"&amp;K38&amp;"';"</f>
        <v/>
      </c>
    </row>
    <row r="39" ht="27" customHeight="1" s="335">
      <c r="A39" s="456" t="inlineStr">
        <is>
          <t>PG_SILVER</t>
        </is>
      </c>
      <c r="B39" s="456" t="inlineStr">
        <is>
          <t>AR_BAL</t>
        </is>
      </c>
      <c r="C39" s="456" t="inlineStr">
        <is>
          <t>GL_ITM_CODE, RCVB_AMT_LCY</t>
        </is>
      </c>
      <c r="D39" s="499" t="inlineStr">
        <is>
          <t>CASE WHEN a.GL_ITM_CODE LIKE '2%' AND a.RCVB_AMT_LCY &lt; 0 THEN ABS(a.RCVB_AMT_LCY) ELSE 0 END</t>
        </is>
      </c>
      <c r="E39" s="561" t="inlineStr">
        <is>
          <t>Interface Loan Arrangement</t>
        </is>
      </c>
      <c r="F39" s="456" t="inlineStr">
        <is>
          <t>Current Balance FCY</t>
        </is>
      </c>
      <c r="G39" s="570" t="inlineStr">
        <is>
          <t>INTF_LOAN_AR</t>
        </is>
      </c>
      <c r="H39" s="456" t="inlineStr">
        <is>
          <t>AMOUNT_CUR</t>
        </is>
      </c>
      <c r="I39" s="456" t="inlineStr">
        <is>
          <t>NUMBER</t>
        </is>
      </c>
      <c r="J39" s="456" t="n">
        <v>25.5</v>
      </c>
      <c r="K39" s="561" t="inlineStr">
        <is>
          <t>Dư nợ hiện tại nguyên tệ</t>
        </is>
      </c>
      <c r="L39" s="561" t="n"/>
      <c r="M39" s="456" t="inlineStr">
        <is>
          <t>AMOUNT_CUR</t>
        </is>
      </c>
      <c r="O39" s="561">
        <f>"COMMENT ON COLUMN PG_GOLD."&amp;G39&amp;"."&amp;H39&amp;" IS '"&amp;K39&amp;"';"</f>
        <v/>
      </c>
      <c r="P39" s="414" t="inlineStr">
        <is>
          <t>Map từ số dư nguyên tệ `AR_BAL.RCVB_AMT_LCY`.</t>
        </is>
      </c>
    </row>
    <row r="40" ht="14.25" customHeight="1" s="335">
      <c r="A40" s="456" t="inlineStr">
        <is>
          <t>PG_SILVER</t>
        </is>
      </c>
      <c r="B40" s="456" t="inlineStr">
        <is>
          <t>AR_RATE_HIST</t>
        </is>
      </c>
      <c r="C40" s="456" t="inlineStr">
        <is>
          <t>INT_RATE_VARIABLITY_TP_CODE</t>
        </is>
      </c>
      <c r="D40" s="499" t="inlineStr">
        <is>
          <t>d.INT_RATE_VARIABLITY_TP_CODE</t>
        </is>
      </c>
      <c r="E40" s="561" t="inlineStr">
        <is>
          <t>Interface Loan Arrangement</t>
        </is>
      </c>
      <c r="F40" s="456" t="inlineStr">
        <is>
          <t>Interest Rate Type</t>
        </is>
      </c>
      <c r="G40" s="570" t="inlineStr">
        <is>
          <t>INTF_LOAN_AR</t>
        </is>
      </c>
      <c r="H40" s="456" t="inlineStr">
        <is>
          <t>INT_TP</t>
        </is>
      </c>
      <c r="I40" s="456" t="inlineStr">
        <is>
          <t>VARCHAR2</t>
        </is>
      </c>
      <c r="J40" s="456" t="n">
        <v>20</v>
      </c>
      <c r="K40" s="561" t="inlineStr">
        <is>
          <t>Loại lãi suất</t>
        </is>
      </c>
      <c r="L40" s="561" t="n"/>
      <c r="M40" s="456" t="inlineStr">
        <is>
          <t>INTEREST_TYPE</t>
        </is>
      </c>
      <c r="O40" s="561">
        <f>"COMMENT ON COLUMN PG_GOLD."&amp;G40&amp;"."&amp;H40&amp;" IS '"&amp;K40&amp;"';"</f>
        <v/>
      </c>
      <c r="P40" s="414" t="inlineStr">
        <is>
          <t>Map loại lãi suất từ `AR_RATE_HIST.INT_RATE_VARIABLITY_TP_CODE`.</t>
        </is>
      </c>
    </row>
    <row r="41" ht="14.25" customHeight="1" s="335">
      <c r="A41" s="456" t="inlineStr">
        <is>
          <t>PG_SILVER</t>
        </is>
      </c>
      <c r="B41" s="456" t="inlineStr">
        <is>
          <t>LOAN_AR</t>
        </is>
      </c>
      <c r="C41" s="456" t="inlineStr">
        <is>
          <t>AR_CODE</t>
        </is>
      </c>
      <c r="D41" s="456" t="inlineStr">
        <is>
          <t>NULL</t>
        </is>
      </c>
      <c r="E41" s="561" t="inlineStr">
        <is>
          <t>Interface Loan Arrangement</t>
        </is>
      </c>
      <c r="F41" s="456" t="inlineStr">
        <is>
          <t>Interest Basis</t>
        </is>
      </c>
      <c r="G41" s="570" t="inlineStr">
        <is>
          <t>INTF_LOAN_AR</t>
        </is>
      </c>
      <c r="H41" s="456" t="inlineStr">
        <is>
          <t>INT_BSS</t>
        </is>
      </c>
      <c r="I41" s="456" t="inlineStr">
        <is>
          <t>VARCHAR2</t>
        </is>
      </c>
      <c r="J41" s="456" t="n">
        <v>20</v>
      </c>
      <c r="K41" s="561" t="inlineStr">
        <is>
          <t>Cơ sở tính lãi (Interest Basis)</t>
        </is>
      </c>
      <c r="L41" s="561" t="n"/>
      <c r="M41" s="456" t="inlineStr">
        <is>
          <t>INTEREST_BASIS</t>
        </is>
      </c>
      <c r="O41" s="561">
        <f>"COMMENT ON COLUMN PG_GOLD."&amp;G41&amp;"."&amp;H41&amp;" IS '"&amp;K41&amp;"';"</f>
        <v/>
      </c>
      <c r="P41" s="452" t="n"/>
    </row>
    <row r="42" ht="27" customHeight="1" s="335">
      <c r="A42" s="456" t="inlineStr">
        <is>
          <t>PG_SILVER</t>
        </is>
      </c>
      <c r="B42" s="456" t="inlineStr">
        <is>
          <t>AR_RATE_HIST</t>
        </is>
      </c>
      <c r="C42" s="456" t="inlineStr">
        <is>
          <t>INT_RATE_VARIABLITY_TP_CODE</t>
        </is>
      </c>
      <c r="D42" s="456" t="inlineStr">
        <is>
          <t>CASE WHEN d.INT_RATE_VARIABLITY_TP_CODE IN ('1', 'FIX', 'FIXED') THEN 'Y' WHEN d.INT_RATE_VARIABLITY_TP_CODE IS NOT NULL THEN 'N' ELSE NULL END</t>
        </is>
      </c>
      <c r="E42" s="561" t="inlineStr">
        <is>
          <t>Interface Loan Arrangement</t>
        </is>
      </c>
      <c r="F42" s="456" t="inlineStr">
        <is>
          <t>Interest Fix</t>
        </is>
      </c>
      <c r="G42" s="570" t="inlineStr">
        <is>
          <t>INTF_LOAN_AR</t>
        </is>
      </c>
      <c r="H42" s="456" t="inlineStr">
        <is>
          <t>INT_FIX</t>
        </is>
      </c>
      <c r="I42" s="456" t="inlineStr">
        <is>
          <t>VARCHAR2</t>
        </is>
      </c>
      <c r="J42" s="456" t="n">
        <v>20</v>
      </c>
      <c r="K42" s="561" t="inlineStr">
        <is>
          <t>Cờ cố định lãi suất</t>
        </is>
      </c>
      <c r="L42" s="561" t="n"/>
      <c r="M42" s="456" t="inlineStr">
        <is>
          <t>INTEREST_FIX</t>
        </is>
      </c>
      <c r="O42" s="561">
        <f>"COMMENT ON COLUMN PG_GOLD."&amp;G42&amp;"."&amp;H42&amp;" IS '"&amp;K42&amp;"';"</f>
        <v/>
      </c>
      <c r="P42" s="452" t="n"/>
    </row>
    <row r="43" ht="14.25" customHeight="1" s="335">
      <c r="A43" s="456" t="inlineStr">
        <is>
          <t>PG_SILVER</t>
        </is>
      </c>
      <c r="B43" s="456" t="inlineStr">
        <is>
          <t>AR_RATE_HIST</t>
        </is>
      </c>
      <c r="C43" s="456" t="inlineStr">
        <is>
          <t>EFF_RATE_PCT</t>
        </is>
      </c>
      <c r="D43" s="499" t="inlineStr">
        <is>
          <t>d.EFF_RATE_PCT</t>
        </is>
      </c>
      <c r="E43" s="561" t="inlineStr">
        <is>
          <t>Interface Loan Arrangement</t>
        </is>
      </c>
      <c r="F43" s="456" t="inlineStr">
        <is>
          <t>Effective Interest Rate</t>
        </is>
      </c>
      <c r="G43" s="570" t="inlineStr">
        <is>
          <t>INTF_LOAN_AR</t>
        </is>
      </c>
      <c r="H43" s="456" t="inlineStr">
        <is>
          <t>RATE</t>
        </is>
      </c>
      <c r="I43" s="456" t="inlineStr">
        <is>
          <t>NUMBER</t>
        </is>
      </c>
      <c r="J43" s="456" t="n">
        <v>25.7</v>
      </c>
      <c r="K43" s="561" t="inlineStr">
        <is>
          <t>Lãi suất hiệu lực</t>
        </is>
      </c>
      <c r="L43" s="561" t="n"/>
      <c r="M43" s="456" t="inlineStr">
        <is>
          <t>RATE</t>
        </is>
      </c>
      <c r="O43" s="561">
        <f>"COMMENT ON COLUMN PG_GOLD."&amp;G43&amp;"."&amp;H43&amp;" IS '"&amp;K43&amp;"';"</f>
        <v/>
      </c>
      <c r="P43" s="414" t="inlineStr">
        <is>
          <t>Map lãi suất hiệu lực từ `AR_RATE_HIST.EFF_RATE_PCT`.</t>
        </is>
      </c>
    </row>
    <row r="44" ht="41.25" customHeight="1" s="335">
      <c r="A44" s="442" t="inlineStr">
        <is>
          <t>PG_SILVER</t>
        </is>
      </c>
      <c r="B44" s="557" t="inlineStr">
        <is>
          <t>AR_BAL</t>
        </is>
      </c>
      <c r="C44" s="557" t="inlineStr">
        <is>
          <t>CDR_DT</t>
        </is>
      </c>
      <c r="D44" s="415" t="inlineStr">
        <is>
          <t>1:1</t>
        </is>
      </c>
      <c r="E44" s="461" t="inlineStr">
        <is>
          <t>Interface Loan Arrangement</t>
        </is>
      </c>
      <c r="F44" s="415" t="inlineStr">
        <is>
          <t>Transaction Date</t>
        </is>
      </c>
      <c r="G44" s="557" t="inlineStr">
        <is>
          <t>INTF_LOAN_AR</t>
        </is>
      </c>
      <c r="H44" s="573" t="inlineStr">
        <is>
          <t>TXN_DT</t>
        </is>
      </c>
      <c r="I44" s="415" t="inlineStr">
        <is>
          <t>DATE</t>
        </is>
      </c>
      <c r="J44" s="415" t="n"/>
      <c r="K44" s="461" t="inlineStr">
        <is>
          <t>Ngày giao dịch</t>
        </is>
      </c>
      <c r="L44" s="572" t="inlineStr">
        <is>
          <t>Ngày giao dịch</t>
        </is>
      </c>
      <c r="M44" s="415" t="inlineStr">
        <is>
          <t>TXN_DATE</t>
        </is>
      </c>
      <c r="O44" s="461">
        <f>"COMMENT ON COLUMN PG_GOLD."&amp;G44&amp;"."&amp;H44&amp;" IS '"&amp;K44&amp;"';"</f>
        <v/>
      </c>
    </row>
    <row r="45" ht="41.25" customHeight="1" s="335">
      <c r="A45" s="456" t="inlineStr">
        <is>
          <t>PG_SILVER</t>
        </is>
      </c>
      <c r="B45" s="456" t="inlineStr">
        <is>
          <t>AR_DLQ_SMY</t>
        </is>
      </c>
      <c r="C45" s="456" t="inlineStr">
        <is>
          <t>PNP_ARS</t>
        </is>
      </c>
      <c r="D45" s="499" t="inlineStr">
        <is>
          <t>NVL(e.PNP_ARS, NVL(e1.PNP_ARS, 0))</t>
        </is>
      </c>
      <c r="E45" s="561" t="inlineStr">
        <is>
          <t>Interface Loan Arrangement</t>
        </is>
      </c>
      <c r="F45" s="456" t="inlineStr">
        <is>
          <t>Overdue Principal Amount</t>
        </is>
      </c>
      <c r="G45" s="570" t="inlineStr">
        <is>
          <t>INTF_LOAN_AR</t>
        </is>
      </c>
      <c r="H45" s="456" t="inlineStr">
        <is>
          <t>ODUE_PR_AMT</t>
        </is>
      </c>
      <c r="I45" s="456" t="inlineStr">
        <is>
          <t>NUMBER</t>
        </is>
      </c>
      <c r="J45" s="456" t="n">
        <v>25.5</v>
      </c>
      <c r="K45" s="561" t="inlineStr">
        <is>
          <t>Số tiền gốc quá hạn</t>
        </is>
      </c>
      <c r="L45" s="561" t="n"/>
      <c r="M45" s="456" t="inlineStr">
        <is>
          <t>OVERDUE_PR_AMOUNT</t>
        </is>
      </c>
      <c r="O45" s="561">
        <f>"COMMENT ON COLUMN PG_GOLD."&amp;G45&amp;"."&amp;H45&amp;" IS '"&amp;K45&amp;"';"</f>
        <v/>
      </c>
      <c r="P45" s="414" t="inlineStr">
        <is>
          <t>Map từ `NVL(e.PNP_ARS, 0)` (AR_DLQ_SMY.PNP_ARS).</t>
        </is>
      </c>
    </row>
    <row r="46" ht="27" customHeight="1" s="335">
      <c r="A46" s="415" t="inlineStr">
        <is>
          <t>PG_SILVER</t>
        </is>
      </c>
      <c r="B46" s="557" t="inlineStr">
        <is>
          <t>AST_AR_INT_SMY</t>
        </is>
      </c>
      <c r="C46" s="557" t="inlineStr">
        <is>
          <t>TOT_INT_ODUE_AMT_FCY</t>
        </is>
      </c>
      <c r="D46" s="574" t="inlineStr">
        <is>
          <t>NVL(k.TOT_INT_ODUE_AMT_FCY, 0)</t>
        </is>
      </c>
      <c r="E46" s="461" t="inlineStr">
        <is>
          <t>Interface Loan Arrangement</t>
        </is>
      </c>
      <c r="F46" s="415" t="inlineStr">
        <is>
          <t>Overdue Interest Amount</t>
        </is>
      </c>
      <c r="G46" s="557" t="inlineStr">
        <is>
          <t>INTF_LOAN_AR</t>
        </is>
      </c>
      <c r="H46" s="575" t="inlineStr">
        <is>
          <t>ODUE_IN_AMT</t>
        </is>
      </c>
      <c r="I46" s="415" t="inlineStr">
        <is>
          <t>NUMBER</t>
        </is>
      </c>
      <c r="J46" s="415" t="n">
        <v>32.5</v>
      </c>
      <c r="K46" s="461" t="inlineStr">
        <is>
          <t>Lãi quá hạn</t>
        </is>
      </c>
      <c r="L46" s="572" t="inlineStr">
        <is>
          <t>Lãi quá hạn</t>
        </is>
      </c>
      <c r="M46" s="415" t="inlineStr">
        <is>
          <t>OVERDUE_IN_AMOUNT</t>
        </is>
      </c>
      <c r="O46" s="461">
        <f>"COMMENT ON COLUMN PG_GOLD."&amp;G46&amp;"."&amp;H46&amp;" IS '"&amp;K46&amp;"';"</f>
        <v/>
      </c>
      <c r="P46" s="414" t="inlineStr">
        <is>
          <t>Đổi sang `NVL(k.TOT_INT_ODUE_AMT_FCY, 0)`.</t>
        </is>
      </c>
    </row>
    <row r="47" ht="27" customHeight="1" s="335">
      <c r="A47" s="456" t="inlineStr">
        <is>
          <t>PG_SILVER</t>
        </is>
      </c>
      <c r="B47" s="456" t="inlineStr">
        <is>
          <t>LOAN_AR</t>
        </is>
      </c>
      <c r="C47" s="456" t="inlineStr">
        <is>
          <t>AR_CODE</t>
        </is>
      </c>
      <c r="D47" s="499" t="inlineStr">
        <is>
          <t>CAST(0 AS NUMBER(25,5))</t>
        </is>
      </c>
      <c r="E47" s="561" t="inlineStr">
        <is>
          <t>Interface Loan Arrangement</t>
        </is>
      </c>
      <c r="F47" s="456" t="inlineStr">
        <is>
          <t>Overdue Penalty Amount</t>
        </is>
      </c>
      <c r="G47" s="570" t="inlineStr">
        <is>
          <t>INTF_LOAN_AR</t>
        </is>
      </c>
      <c r="H47" s="456" t="inlineStr">
        <is>
          <t>ODUE_PE_AMT</t>
        </is>
      </c>
      <c r="I47" s="456" t="inlineStr">
        <is>
          <t>NUMBER</t>
        </is>
      </c>
      <c r="J47" s="456" t="n">
        <v>25.5</v>
      </c>
      <c r="K47" s="561" t="inlineStr">
        <is>
          <t>Số tiền phạt gốc quá hạn</t>
        </is>
      </c>
      <c r="L47" s="561" t="n"/>
      <c r="M47" s="456" t="inlineStr">
        <is>
          <t>OVERDUE_PE_AMOUNT</t>
        </is>
      </c>
      <c r="O47" s="561">
        <f>"COMMENT ON COLUMN PG_GOLD."&amp;G47&amp;"."&amp;H47&amp;" IS '"&amp;K47&amp;"';"</f>
        <v/>
      </c>
      <c r="P47" s="414" t="inlineStr">
        <is>
          <t>Đổi sang kiểu số `CAST(0 AS NUMBER(25,5))`.</t>
        </is>
      </c>
    </row>
    <row r="48" ht="14.25" customHeight="1" s="335">
      <c r="A48" s="456" t="inlineStr">
        <is>
          <t>PG_SILVER</t>
        </is>
      </c>
      <c r="B48" s="456" t="inlineStr">
        <is>
          <t>LOAN_AR</t>
        </is>
      </c>
      <c r="C48" s="456" t="inlineStr">
        <is>
          <t>AR_CODE</t>
        </is>
      </c>
      <c r="D48" s="499" t="inlineStr">
        <is>
          <t>CAST(0 AS NUMBER(25,5))</t>
        </is>
      </c>
      <c r="E48" s="561" t="inlineStr">
        <is>
          <t>Interface Loan Arrangement</t>
        </is>
      </c>
      <c r="F48" s="456" t="inlineStr">
        <is>
          <t>Overdue Penalty Interest Amount</t>
        </is>
      </c>
      <c r="G48" s="570" t="inlineStr">
        <is>
          <t>INTF_LOAN_AR</t>
        </is>
      </c>
      <c r="H48" s="456" t="inlineStr">
        <is>
          <t>ODUE_PS_AMT</t>
        </is>
      </c>
      <c r="I48" s="456" t="inlineStr">
        <is>
          <t>NUMBER</t>
        </is>
      </c>
      <c r="J48" s="456" t="n">
        <v>25.5</v>
      </c>
      <c r="K48" s="561" t="inlineStr">
        <is>
          <t>Số tiền phạt lãi quá hạn</t>
        </is>
      </c>
      <c r="L48" s="561" t="n"/>
      <c r="M48" s="456" t="inlineStr">
        <is>
          <t>OVERDUE_PS_AMOUNT</t>
        </is>
      </c>
      <c r="O48" s="561">
        <f>"COMMENT ON COLUMN PG_GOLD."&amp;G48&amp;"."&amp;H48&amp;" IS '"&amp;K48&amp;"';"</f>
        <v/>
      </c>
      <c r="P48" s="414" t="inlineStr">
        <is>
          <t>Đổi sang kiểu số `CAST(0 AS NUMBER(25,5))`.</t>
        </is>
      </c>
    </row>
    <row r="49" ht="14.25" customHeight="1" s="335">
      <c r="A49" s="415" t="inlineStr">
        <is>
          <t>PG_SILVER</t>
        </is>
      </c>
      <c r="B49" s="557" t="inlineStr">
        <is>
          <t>AR_RATE_HIST</t>
        </is>
      </c>
      <c r="C49" s="576" t="inlineStr">
        <is>
          <t>MRGN_RATE</t>
        </is>
      </c>
      <c r="D49" s="415" t="inlineStr">
        <is>
          <t>1:1</t>
        </is>
      </c>
      <c r="E49" s="461" t="inlineStr">
        <is>
          <t>Interface Loan Arrangement</t>
        </is>
      </c>
      <c r="F49" s="438" t="inlineStr">
        <is>
          <t>Margin Rate</t>
        </is>
      </c>
      <c r="G49" s="557" t="inlineStr">
        <is>
          <t>INTF_LOAN_AR</t>
        </is>
      </c>
      <c r="H49" s="576" t="inlineStr">
        <is>
          <t>MRGN_RATE</t>
        </is>
      </c>
      <c r="I49" s="415" t="inlineStr">
        <is>
          <t>NUMBER</t>
        </is>
      </c>
      <c r="J49" s="415" t="n">
        <v>25.7</v>
      </c>
      <c r="K49" s="577" t="inlineStr">
        <is>
          <t>Biên độ thay đổi lãi suất</t>
        </is>
      </c>
      <c r="L49" s="578" t="inlineStr">
        <is>
          <t>Biên độ thay đổi lãi suất</t>
        </is>
      </c>
      <c r="M49" s="415" t="inlineStr">
        <is>
          <t>BIEN_DO_THAY_DOI_LS_THEO_HDTD</t>
        </is>
      </c>
      <c r="O49" s="577">
        <f>"COMMENT ON COLUMN PG_GOLD."&amp;G49&amp;"."&amp;H49&amp;" IS '"&amp;K49&amp;"';"</f>
        <v/>
      </c>
    </row>
    <row r="50" ht="41.25" customHeight="1" s="335">
      <c r="A50" s="415" t="inlineStr">
        <is>
          <t>PG_SILVER</t>
        </is>
      </c>
      <c r="B50" s="442" t="inlineStr">
        <is>
          <t>LOAN_AR</t>
        </is>
      </c>
      <c r="C50" s="557" t="inlineStr">
        <is>
          <t>PD_CODE</t>
        </is>
      </c>
      <c r="D50" s="415" t="inlineStr">
        <is>
          <t>1:1</t>
        </is>
      </c>
      <c r="E50" s="461" t="inlineStr">
        <is>
          <t>Interface Loan Arrangement</t>
        </is>
      </c>
      <c r="F50" s="438" t="inlineStr">
        <is>
          <t>Product Code</t>
        </is>
      </c>
      <c r="G50" s="557" t="inlineStr">
        <is>
          <t>INTF_LOAN_AR</t>
        </is>
      </c>
      <c r="H50" s="557" t="inlineStr">
        <is>
          <t>PD_CODE</t>
        </is>
      </c>
      <c r="I50" s="415" t="inlineStr">
        <is>
          <t>VARCHAR2</t>
        </is>
      </c>
      <c r="J50" s="415" t="n">
        <v>20</v>
      </c>
      <c r="K50" s="461" t="inlineStr">
        <is>
          <t>Mã sản phẩm</t>
        </is>
      </c>
      <c r="L50" s="567" t="inlineStr">
        <is>
          <t>Mã sản phẩm vay</t>
        </is>
      </c>
      <c r="M50" s="415" t="inlineStr">
        <is>
          <t>SAN_PHAM_CHO_VAY_KHDN</t>
        </is>
      </c>
      <c r="O50" s="461">
        <f>"COMMENT ON COLUMN PG_GOLD."&amp;G50&amp;"."&amp;H50&amp;" IS '"&amp;K50&amp;"';"</f>
        <v/>
      </c>
    </row>
    <row r="51" ht="14.25" customHeight="1" s="335">
      <c r="A51" s="579" t="inlineStr">
        <is>
          <t>PG_SILVER, PG_GOLD</t>
        </is>
      </c>
      <c r="B51" s="579" t="inlineStr">
        <is>
          <t>LOAN_AR, INF_CST</t>
        </is>
      </c>
      <c r="C51" s="580" t="inlineStr">
        <is>
          <t>PD_CODE, CST_GRP_CODE</t>
        </is>
      </c>
      <c r="D51" s="579" t="inlineStr">
        <is>
          <t>CASE WHEN cst.CST_GRP_CODE LIKE '%INDIV%' THEN b.PD_CODE ELSE NULL END</t>
        </is>
      </c>
      <c r="E51" s="581" t="inlineStr">
        <is>
          <t>Interface Loan Arrangement</t>
        </is>
      </c>
      <c r="F51" s="579" t="inlineStr">
        <is>
          <t>Individual Product Code</t>
        </is>
      </c>
      <c r="G51" s="580" t="inlineStr">
        <is>
          <t>INTF_LOAN_AR</t>
        </is>
      </c>
      <c r="H51" s="582" t="inlineStr">
        <is>
          <t>KHCN_PD_CODE</t>
        </is>
      </c>
      <c r="I51" s="579" t="inlineStr">
        <is>
          <t>VARCHAR2</t>
        </is>
      </c>
      <c r="J51" s="579" t="n">
        <v>20</v>
      </c>
      <c r="K51" s="581" t="inlineStr">
        <is>
          <t>Mã sản phẩm cho vay KHCN</t>
        </is>
      </c>
      <c r="L51" s="581" t="inlineStr">
        <is>
          <t>Mã sản phẩm vay KHCN</t>
        </is>
      </c>
      <c r="M51" s="579" t="inlineStr">
        <is>
          <t>SAN_PHAM_CHO_VAY_KHCN</t>
        </is>
      </c>
      <c r="O51" s="581">
        <f>"COMMENT ON COLUMN PG_GOLD."&amp;G51&amp;"."&amp;H51&amp;" IS '"&amp;K51&amp;"';"</f>
        <v/>
      </c>
      <c r="P51" s="414" t="inlineStr">
        <is>
          <t>Chỉ lấy mã sản phẩm khi khách hàng thuộc khối KHCN (INDIV).</t>
        </is>
      </c>
    </row>
    <row r="52" ht="14.25" customHeight="1" s="335">
      <c r="A52" s="442" t="inlineStr">
        <is>
          <t>PG_SILVER</t>
        </is>
      </c>
      <c r="B52" s="557" t="inlineStr">
        <is>
          <t>LOAN_AR_PRFL</t>
        </is>
      </c>
      <c r="C52" s="415" t="inlineStr">
        <is>
          <t>DSBR_PRPSL_OFCR</t>
        </is>
      </c>
      <c r="D52" s="415" t="inlineStr">
        <is>
          <t>1:1</t>
        </is>
      </c>
      <c r="E52" s="461" t="inlineStr">
        <is>
          <t>Interface Loan Arrangement</t>
        </is>
      </c>
      <c r="F52" s="415" t="inlineStr">
        <is>
          <t>Disbursement proposal officer</t>
        </is>
      </c>
      <c r="G52" s="557" t="inlineStr">
        <is>
          <t>INTF_LOAN_AR</t>
        </is>
      </c>
      <c r="H52" s="415" t="inlineStr">
        <is>
          <t>DSBR_PRPSL_OFCR</t>
        </is>
      </c>
      <c r="I52" s="415" t="inlineStr">
        <is>
          <t>VARCHAR2</t>
        </is>
      </c>
      <c r="J52" s="415" t="n">
        <v>40</v>
      </c>
      <c r="K52" s="461" t="inlineStr">
        <is>
          <t>Cán bộ đề xuất giải ngân</t>
        </is>
      </c>
      <c r="L52" s="583" t="inlineStr">
        <is>
          <t>Cán bộ giải ngân</t>
        </is>
      </c>
      <c r="M52" s="415" t="inlineStr">
        <is>
          <t>CAN_BO_DE_XUAT_GN</t>
        </is>
      </c>
      <c r="O52" s="461">
        <f>"COMMENT ON COLUMN PG_GOLD."&amp;G52&amp;"."&amp;H52&amp;" IS '"&amp;K52&amp;"';"</f>
        <v/>
      </c>
    </row>
    <row r="53" ht="14.25" customHeight="1" s="335">
      <c r="A53" s="442" t="inlineStr">
        <is>
          <t>PG_SILVER</t>
        </is>
      </c>
      <c r="B53" s="557" t="inlineStr">
        <is>
          <t>LOAN_AR_PRFL</t>
        </is>
      </c>
      <c r="C53" s="415" t="inlineStr">
        <is>
          <t>DSBR_PRPSL_MGR</t>
        </is>
      </c>
      <c r="D53" s="415" t="inlineStr">
        <is>
          <t>1:1</t>
        </is>
      </c>
      <c r="E53" s="461" t="inlineStr">
        <is>
          <t>Interface Loan Arrangement</t>
        </is>
      </c>
      <c r="F53" s="415" t="inlineStr">
        <is>
          <t>Disbursement Proposal Manager</t>
        </is>
      </c>
      <c r="G53" s="557" t="inlineStr">
        <is>
          <t>INTF_LOAN_AR</t>
        </is>
      </c>
      <c r="H53" s="415" t="inlineStr">
        <is>
          <t>DSBR_PRPSL_MGR</t>
        </is>
      </c>
      <c r="I53" s="415" t="inlineStr">
        <is>
          <t>VARCHAR2</t>
        </is>
      </c>
      <c r="J53" s="415" t="n">
        <v>40</v>
      </c>
      <c r="K53" s="461" t="inlineStr">
        <is>
          <t>Người đề xuất giải ngân</t>
        </is>
      </c>
      <c r="L53" s="583" t="inlineStr">
        <is>
          <t>Trưởng nhóm giải ngân</t>
        </is>
      </c>
      <c r="M53" s="415" t="inlineStr">
        <is>
          <t>TT_PP_DE_XUAT_GN</t>
        </is>
      </c>
      <c r="O53" s="461">
        <f>"COMMENT ON COLUMN PG_GOLD."&amp;G53&amp;"."&amp;H53&amp;" IS '"&amp;K53&amp;"';"</f>
        <v/>
      </c>
    </row>
    <row r="54" ht="27.75" customHeight="1" s="335">
      <c r="A54" s="415" t="inlineStr">
        <is>
          <t>PG_SILVER</t>
        </is>
      </c>
      <c r="B54" s="557" t="inlineStr">
        <is>
          <t>LOAN_AR_PRFL</t>
        </is>
      </c>
      <c r="C54" s="557" t="inlineStr">
        <is>
          <t>MGT_OFCR</t>
        </is>
      </c>
      <c r="D54" s="415" t="inlineStr">
        <is>
          <t>1:1</t>
        </is>
      </c>
      <c r="E54" s="461" t="inlineStr">
        <is>
          <t>Interface Loan Arrangement</t>
        </is>
      </c>
      <c r="F54" s="415" t="inlineStr">
        <is>
          <t>Management Officer</t>
        </is>
      </c>
      <c r="G54" s="557" t="inlineStr">
        <is>
          <t>INTF_LOAN_AR</t>
        </is>
      </c>
      <c r="H54" s="557" t="inlineStr">
        <is>
          <t>MGT_OFCR</t>
        </is>
      </c>
      <c r="I54" s="415" t="inlineStr">
        <is>
          <t>VARCHAR2</t>
        </is>
      </c>
      <c r="J54" s="415" t="n">
        <v>40</v>
      </c>
      <c r="K54" s="584" t="inlineStr">
        <is>
          <t>Cán bộ quản lý khoản vay</t>
        </is>
      </c>
      <c r="L54" s="585" t="inlineStr">
        <is>
          <t>Cán bộ quản lý khoản vay</t>
        </is>
      </c>
      <c r="M54" s="415" t="inlineStr">
        <is>
          <t>CBTD_QL_KHOAN_VAY</t>
        </is>
      </c>
      <c r="N54" s="438" t="n"/>
      <c r="O54" s="584">
        <f>"COMMENT ON COLUMN PG_GOLD."&amp;G54&amp;"."&amp;H54&amp;" IS '"&amp;K54&amp;"';"</f>
        <v/>
      </c>
    </row>
    <row r="55" ht="14.25" customHeight="1" s="335">
      <c r="A55" s="415" t="inlineStr">
        <is>
          <t>PG_SILVER</t>
        </is>
      </c>
      <c r="B55" s="557" t="inlineStr">
        <is>
          <t>LOAN_AR_PRFL</t>
        </is>
      </c>
      <c r="C55" s="557" t="inlineStr">
        <is>
          <t>MGT_MGR</t>
        </is>
      </c>
      <c r="D55" s="415" t="inlineStr">
        <is>
          <t>1:1</t>
        </is>
      </c>
      <c r="E55" s="461" t="inlineStr">
        <is>
          <t>Interface Loan Arrangement</t>
        </is>
      </c>
      <c r="F55" s="415" t="inlineStr">
        <is>
          <t>Management Manager</t>
        </is>
      </c>
      <c r="G55" s="557" t="inlineStr">
        <is>
          <t>INTF_LOAN_AR</t>
        </is>
      </c>
      <c r="H55" s="557" t="inlineStr">
        <is>
          <t>MGT_MGR</t>
        </is>
      </c>
      <c r="I55" s="415" t="inlineStr">
        <is>
          <t>VARCHAR2</t>
        </is>
      </c>
      <c r="J55" s="415" t="n">
        <v>40</v>
      </c>
      <c r="K55" s="584" t="inlineStr">
        <is>
          <t>Người quản lý khoản vay</t>
        </is>
      </c>
      <c r="L55" s="585" t="inlineStr">
        <is>
          <t>Trưởng nhóm quản lý khoản vay</t>
        </is>
      </c>
      <c r="M55" s="415" t="inlineStr">
        <is>
          <t>TP_PP_QL_KHOAN_VAY</t>
        </is>
      </c>
      <c r="N55" s="438" t="n"/>
      <c r="O55" s="584">
        <f>"COMMENT ON COLUMN PG_GOLD."&amp;G55&amp;"."&amp;H55&amp;" IS '"&amp;K55&amp;"';"</f>
        <v/>
      </c>
    </row>
    <row r="56" ht="27.75" customHeight="1" s="335">
      <c r="A56" s="415" t="inlineStr">
        <is>
          <t>PG_SILVER</t>
        </is>
      </c>
      <c r="B56" s="557" t="inlineStr">
        <is>
          <t>LOAN_AR_PRFL</t>
        </is>
      </c>
      <c r="C56" s="557" t="inlineStr">
        <is>
          <t>APRV_AHR</t>
        </is>
      </c>
      <c r="D56" s="415" t="inlineStr">
        <is>
          <t>1:1</t>
        </is>
      </c>
      <c r="E56" s="461" t="inlineStr">
        <is>
          <t>Interface Loan Arrangement</t>
        </is>
      </c>
      <c r="F56" s="415" t="inlineStr">
        <is>
          <t>Approval Authority</t>
        </is>
      </c>
      <c r="G56" s="557" t="inlineStr">
        <is>
          <t>INTF_LOAN_AR</t>
        </is>
      </c>
      <c r="H56" s="557" t="inlineStr">
        <is>
          <t>APRV_AHR</t>
        </is>
      </c>
      <c r="I56" s="415" t="inlineStr">
        <is>
          <t>VARCHAR2</t>
        </is>
      </c>
      <c r="J56" s="415" t="n">
        <v>1000</v>
      </c>
      <c r="K56" s="461" t="inlineStr">
        <is>
          <t>Cấp phê duyệt giải ngân</t>
        </is>
      </c>
      <c r="L56" s="583" t="inlineStr">
        <is>
          <t>Cán bộ phê duyệt giải ngân</t>
        </is>
      </c>
      <c r="M56" s="415" t="inlineStr">
        <is>
          <t>CAP_PHE_DUYET_GNTL</t>
        </is>
      </c>
      <c r="N56" s="438" t="n"/>
      <c r="O56" s="461">
        <f>"COMMENT ON COLUMN PG_GOLD."&amp;G56&amp;"."&amp;H56&amp;" IS '"&amp;K56&amp;"';"</f>
        <v/>
      </c>
    </row>
    <row r="57" ht="27.75" customHeight="1" s="335">
      <c r="A57" s="415" t="inlineStr">
        <is>
          <t>PG_SILVER</t>
        </is>
      </c>
      <c r="B57" s="557" t="inlineStr">
        <is>
          <t>LOAN_AR_PRFL</t>
        </is>
      </c>
      <c r="C57" s="557" t="inlineStr">
        <is>
          <t>DBT_WVR_F</t>
        </is>
      </c>
      <c r="D57" s="415" t="inlineStr">
        <is>
          <t>1:1</t>
        </is>
      </c>
      <c r="E57" s="461" t="inlineStr">
        <is>
          <t>Interface Loan Arrangement</t>
        </is>
      </c>
      <c r="F57" s="415" t="inlineStr">
        <is>
          <t>Debt Waiver Flag</t>
        </is>
      </c>
      <c r="G57" s="557" t="inlineStr">
        <is>
          <t>INTF_LOAN_AR</t>
        </is>
      </c>
      <c r="H57" s="557" t="inlineStr">
        <is>
          <t>DBT_WVR_F</t>
        </is>
      </c>
      <c r="I57" s="415" t="inlineStr">
        <is>
          <t>VARCHAR2</t>
        </is>
      </c>
      <c r="J57" s="415" t="n">
        <v>20</v>
      </c>
      <c r="K57" s="461" t="inlineStr">
        <is>
          <t>Đánh dấu cơ cấu miễn giảm lãi</t>
        </is>
      </c>
      <c r="L57" s="586" t="inlineStr">
        <is>
          <t>Cờ đánh dấu được miễn giảm</t>
        </is>
      </c>
      <c r="M57" s="415" t="inlineStr">
        <is>
          <t>CO_CAU_NO_MIEN_GIAM_LAI</t>
        </is>
      </c>
      <c r="N57" s="438" t="n"/>
      <c r="O57" s="461">
        <f>"COMMENT ON COLUMN PG_GOLD."&amp;G57&amp;"."&amp;H57&amp;" IS '"&amp;K57&amp;"';"</f>
        <v/>
      </c>
    </row>
    <row r="58" ht="27.75" customHeight="1" s="335">
      <c r="A58" s="442" t="inlineStr">
        <is>
          <t>PG_SILVER</t>
        </is>
      </c>
      <c r="B58" s="557" t="inlineStr">
        <is>
          <t>LOAN_AR_PRFL</t>
        </is>
      </c>
      <c r="C58" s="415" t="inlineStr">
        <is>
          <t>NBR_OF_DBT_RSTC</t>
        </is>
      </c>
      <c r="D58" s="415" t="inlineStr">
        <is>
          <t>1:1</t>
        </is>
      </c>
      <c r="E58" s="461" t="inlineStr">
        <is>
          <t>Interface Loan Arrangement</t>
        </is>
      </c>
      <c r="F58" s="415" t="inlineStr">
        <is>
          <t>Number of debt restructurings</t>
        </is>
      </c>
      <c r="G58" s="557" t="inlineStr">
        <is>
          <t>INTF_LOAN_AR</t>
        </is>
      </c>
      <c r="H58" s="415" t="inlineStr">
        <is>
          <t>NBR_OF_DBT_RSTC</t>
        </is>
      </c>
      <c r="I58" s="415" t="inlineStr">
        <is>
          <t>NUMBER</t>
        </is>
      </c>
      <c r="J58" s="415" t="n">
        <v>22</v>
      </c>
      <c r="K58" s="461" t="inlineStr">
        <is>
          <t>Giá trị tương ứng với từng trường</t>
        </is>
      </c>
      <c r="L58" s="586" t="inlineStr">
        <is>
          <t>Số lần cơ cấu</t>
        </is>
      </c>
      <c r="M58" s="415" t="inlineStr">
        <is>
          <t>SO_LAN_CO_CAU</t>
        </is>
      </c>
      <c r="N58" s="438" t="n"/>
      <c r="O58" s="461">
        <f>"COMMENT ON COLUMN PG_GOLD."&amp;G58&amp;"."&amp;H58&amp;" IS '"&amp;K58&amp;"';"</f>
        <v/>
      </c>
    </row>
    <row r="59" ht="69" customHeight="1" s="335">
      <c r="A59" s="415" t="inlineStr">
        <is>
          <t>PG_SILVER</t>
        </is>
      </c>
      <c r="B59" s="415" t="inlineStr">
        <is>
          <t>LOAN_AR_PRFL</t>
        </is>
      </c>
      <c r="C59" s="557" t="inlineStr">
        <is>
          <t>AR_PPS_BY_PD</t>
        </is>
      </c>
      <c r="D59" s="415" t="inlineStr">
        <is>
          <t>c.AR_PPS_BY_PD</t>
        </is>
      </c>
      <c r="E59" s="461" t="inlineStr">
        <is>
          <t>Interface Loan Arrangement</t>
        </is>
      </c>
      <c r="F59" s="415" t="inlineStr">
        <is>
          <t>Arrangement purpose by product</t>
        </is>
      </c>
      <c r="G59" s="557" t="inlineStr">
        <is>
          <t>INTF_LOAN_AR</t>
        </is>
      </c>
      <c r="H59" s="575" t="inlineStr">
        <is>
          <t>AR_PPS_BY_PD</t>
        </is>
      </c>
      <c r="I59" s="415" t="inlineStr">
        <is>
          <t>VARCHAR2</t>
        </is>
      </c>
      <c r="J59" s="415" t="n">
        <v>20</v>
      </c>
      <c r="K59" s="461" t="inlineStr">
        <is>
          <t>Mã sản phẩm theo mục đích vay</t>
        </is>
      </c>
      <c r="L59" s="461" t="inlineStr">
        <is>
          <t>Mục đích vay theo sản phẩm</t>
        </is>
      </c>
      <c r="M59" s="415" t="inlineStr">
        <is>
          <t>MDVAY_SP</t>
        </is>
      </c>
      <c r="N59" s="438" t="n"/>
      <c r="O59" s="461">
        <f>"COMMENT ON COLUMN PG_GOLD."&amp;G59&amp;"."&amp;H59&amp;" IS '"&amp;K59&amp;"';"</f>
        <v/>
      </c>
    </row>
    <row r="60" ht="69" customHeight="1" s="335">
      <c r="A60" s="415" t="inlineStr">
        <is>
          <t>PG_SILVER</t>
        </is>
      </c>
      <c r="B60" s="415" t="inlineStr">
        <is>
          <t>AR_DLQ_SMY</t>
        </is>
      </c>
      <c r="C60" s="415" t="inlineStr">
        <is>
          <t>PNP_PAST_DUE_DT</t>
        </is>
      </c>
      <c r="D60" s="463" t="inlineStr">
        <is>
          <t>NVL(e1.SO_NGAY_QH_GOC, 0)</t>
        </is>
      </c>
      <c r="E60" s="461" t="inlineStr">
        <is>
          <t>Interface Loan Arrangement</t>
        </is>
      </c>
      <c r="F60" s="433" t="inlineStr">
        <is>
          <t>Days in principal arrears</t>
        </is>
      </c>
      <c r="G60" s="557" t="inlineStr">
        <is>
          <t>INTF_LOAN_AR</t>
        </is>
      </c>
      <c r="H60" s="558" t="inlineStr">
        <is>
          <t>DYS_IN_PNP_ARS</t>
        </is>
      </c>
      <c r="I60" s="415" t="inlineStr">
        <is>
          <t>NUMBER</t>
        </is>
      </c>
      <c r="J60" s="415" t="n">
        <v>22</v>
      </c>
      <c r="K60" s="461" t="inlineStr">
        <is>
          <t>Số ngày gốc quá hạn</t>
        </is>
      </c>
      <c r="L60" s="569" t="inlineStr">
        <is>
          <t>Số ngày gốc quá hạn</t>
        </is>
      </c>
      <c r="M60" s="467" t="inlineStr">
        <is>
          <t>SO_NGAY_QH_GOC</t>
        </is>
      </c>
      <c r="N60" s="587" t="n"/>
      <c r="O60" s="461">
        <f>"COMMENT ON COLUMN PG_GOLD."&amp;G60&amp;"."&amp;H60&amp;" IS '"&amp;K60&amp;"';"</f>
        <v/>
      </c>
      <c r="P60" s="414" t="inlineStr">
        <is>
          <t>Đổi `SUM` thành `MAX(${ETL_DATE} - e.PNP_PAST_DUE_DT) + 1`.</t>
        </is>
      </c>
    </row>
    <row r="61" ht="42" customHeight="1" s="335">
      <c r="A61" s="415" t="inlineStr">
        <is>
          <t>PG_SILVER</t>
        </is>
      </c>
      <c r="B61" s="415" t="inlineStr">
        <is>
          <t>AR_DLQ_SMY</t>
        </is>
      </c>
      <c r="C61" s="415" t="inlineStr">
        <is>
          <t>INT_PAST_DUE_DT</t>
        </is>
      </c>
      <c r="D61" s="463" t="inlineStr">
        <is>
          <t>NVL(e1.SO_NGAY_QH_LAI, 0)</t>
        </is>
      </c>
      <c r="E61" s="461" t="inlineStr">
        <is>
          <t>Interface Loan Arrangement</t>
        </is>
      </c>
      <c r="F61" s="433" t="inlineStr">
        <is>
          <t>Days in interest arrears</t>
        </is>
      </c>
      <c r="G61" s="557" t="inlineStr">
        <is>
          <t>INTF_LOAN_AR</t>
        </is>
      </c>
      <c r="H61" s="558" t="inlineStr">
        <is>
          <t>DYS_IN_INT_ARS</t>
        </is>
      </c>
      <c r="I61" s="415" t="inlineStr">
        <is>
          <t>NUMBER</t>
        </is>
      </c>
      <c r="J61" s="415" t="n">
        <v>22</v>
      </c>
      <c r="K61" s="461" t="inlineStr">
        <is>
          <t>Số́ ngày lãi quá hạn</t>
        </is>
      </c>
      <c r="L61" s="569" t="inlineStr">
        <is>
          <t>Số ngày lãi quá hạn</t>
        </is>
      </c>
      <c r="M61" s="467" t="inlineStr">
        <is>
          <t>SO_NGAY_QH_LAI</t>
        </is>
      </c>
      <c r="N61" s="587" t="n"/>
      <c r="O61" s="461">
        <f>"COMMENT ON COLUMN PG_GOLD."&amp;G61&amp;"."&amp;H61&amp;" IS '"&amp;K61&amp;"';"</f>
        <v/>
      </c>
      <c r="P61" s="414" t="inlineStr">
        <is>
          <t>Đổi `SUM` thành `MAX(${ETL_DATE} - e.INT_PAST_DUE_DT) + 1`.</t>
        </is>
      </c>
    </row>
    <row r="62" ht="14.25" customHeight="1" s="335">
      <c r="A62" s="415" t="inlineStr">
        <is>
          <t>PG_SILVER</t>
        </is>
      </c>
      <c r="B62" s="415" t="inlineStr">
        <is>
          <t>AST_AR_INT_SMY</t>
        </is>
      </c>
      <c r="C62" s="415" t="inlineStr">
        <is>
          <t>TOT_INT_DUE_AMT_FCY, TOT_INT_ODUE_AMT_FCY</t>
        </is>
      </c>
      <c r="D62" s="461" t="inlineStr">
        <is>
          <t>NVL(k.TOT_INT_DUE_AMT_FCY, 0) + NVL(k.TOT_INT_ODUE_AMT_FCY, 0)</t>
        </is>
      </c>
      <c r="E62" s="461" t="inlineStr">
        <is>
          <t>Interface Loan Arrangement</t>
        </is>
      </c>
      <c r="F62" s="433" t="inlineStr">
        <is>
          <t>Total Interest Arrears</t>
        </is>
      </c>
      <c r="G62" s="557" t="inlineStr">
        <is>
          <t>INTF_LOAN_AR</t>
        </is>
      </c>
      <c r="H62" s="558" t="inlineStr">
        <is>
          <t>TOT_INT_ARS</t>
        </is>
      </c>
      <c r="I62" s="415" t="inlineStr">
        <is>
          <t>NUMBER</t>
        </is>
      </c>
      <c r="J62" s="415" t="n">
        <v>32.5</v>
      </c>
      <c r="K62" s="461" t="inlineStr">
        <is>
          <t>Tổng lãi phải trả</t>
        </is>
      </c>
      <c r="L62" s="572" t="inlineStr">
        <is>
          <t>Tổng lãi phải trả nguyên tệ</t>
        </is>
      </c>
      <c r="M62" s="467" t="inlineStr">
        <is>
          <t>TONG_LAI_PHAI_TRA</t>
        </is>
      </c>
      <c r="N62" s="587" t="n"/>
      <c r="O62" s="461">
        <f>"COMMENT ON COLUMN PG_GOLD."&amp;G62&amp;"."&amp;H62&amp;" IS '"&amp;K62&amp;"';"</f>
        <v/>
      </c>
      <c r="P62" s="588" t="n"/>
    </row>
    <row r="63" ht="54.75" customHeight="1" s="335">
      <c r="A63" s="415" t="inlineStr">
        <is>
          <t>PG_SILVER</t>
        </is>
      </c>
      <c r="B63" s="557" t="inlineStr">
        <is>
          <t>AR_BAL</t>
        </is>
      </c>
      <c r="C63" s="557" t="inlineStr">
        <is>
          <t>CST_ID</t>
        </is>
      </c>
      <c r="D63" s="415" t="inlineStr">
        <is>
          <t>1:1</t>
        </is>
      </c>
      <c r="E63" s="461" t="inlineStr">
        <is>
          <t>Interface Loan Arrangement</t>
        </is>
      </c>
      <c r="F63" s="415" t="inlineStr">
        <is>
          <t>Customer ID</t>
        </is>
      </c>
      <c r="G63" s="557" t="inlineStr">
        <is>
          <t>INTF_LOAN_AR</t>
        </is>
      </c>
      <c r="H63" s="557" t="inlineStr">
        <is>
          <t>CST_ID</t>
        </is>
      </c>
      <c r="I63" s="415" t="inlineStr">
        <is>
          <t>CHAR</t>
        </is>
      </c>
      <c r="J63" s="415" t="n">
        <v>32</v>
      </c>
      <c r="K63" s="461" t="inlineStr">
        <is>
          <t>ID của khách hàng</t>
        </is>
      </c>
      <c r="L63" s="461" t="inlineStr">
        <is>
          <t>Key định danh trong dwh</t>
        </is>
      </c>
      <c r="M63" s="415" t="inlineStr">
        <is>
          <t>CST_ID</t>
        </is>
      </c>
      <c r="N63" s="438" t="n"/>
      <c r="O63" s="461">
        <f>"COMMENT ON COLUMN PG_GOLD."&amp;G63&amp;"."&amp;H63&amp;" IS '"&amp;K63&amp;"';"</f>
        <v/>
      </c>
    </row>
    <row r="64" ht="41.25" customHeight="1" s="335">
      <c r="A64" s="579" t="inlineStr">
        <is>
          <t>PG_GOLD</t>
        </is>
      </c>
      <c r="B64" s="580" t="inlineStr">
        <is>
          <t>INF_CST</t>
        </is>
      </c>
      <c r="C64" s="580" t="inlineStr">
        <is>
          <t>CST_FNC_ST_CODE</t>
        </is>
      </c>
      <c r="D64" s="499" t="inlineStr">
        <is>
          <t>cst.CST_FNC_ST_CODE</t>
        </is>
      </c>
      <c r="E64" s="581" t="inlineStr">
        <is>
          <t>Interface Loan Arrangement</t>
        </is>
      </c>
      <c r="F64" s="579" t="inlineStr">
        <is>
          <t>Customer Financial Status Code</t>
        </is>
      </c>
      <c r="G64" s="580" t="inlineStr">
        <is>
          <t>INTF_LOAN_AR</t>
        </is>
      </c>
      <c r="H64" s="582" t="inlineStr">
        <is>
          <t>CST_FNC_ST_CODE</t>
        </is>
      </c>
      <c r="I64" s="579" t="inlineStr">
        <is>
          <t>VARCHAR2</t>
        </is>
      </c>
      <c r="J64" s="579" t="n">
        <v>20</v>
      </c>
      <c r="K64" s="581" t="inlineStr">
        <is>
          <t>Nhóm nợ khách hàng</t>
        </is>
      </c>
      <c r="L64" s="581" t="n"/>
      <c r="M64" s="579" t="inlineStr">
        <is>
          <t>ASSET_CLASS</t>
        </is>
      </c>
      <c r="N64" s="589" t="inlineStr">
        <is>
          <t>join sang INF_CST</t>
        </is>
      </c>
      <c r="O64" s="581">
        <f>"COMMENT ON COLUMN PG_GOLD."&amp;G64&amp;"."&amp;H64&amp;" IS '"&amp;K64&amp;"';"</f>
        <v/>
      </c>
      <c r="P64" s="414" t="inlineStr">
        <is>
          <t>Khai báo join `PG_GOLD.INF_CST cst` và map vào cột đích `CST_FNC_ST_CODE`.</t>
        </is>
      </c>
    </row>
    <row r="65" ht="27" customHeight="1" s="335">
      <c r="A65" s="442" t="inlineStr">
        <is>
          <t>PG_SILVER</t>
        </is>
      </c>
      <c r="B65" s="463" t="inlineStr">
        <is>
          <t>EXG_RATE</t>
        </is>
      </c>
      <c r="C65" s="415" t="inlineStr">
        <is>
          <t>MID_RATE</t>
        </is>
      </c>
      <c r="D65" s="415" t="inlineStr">
        <is>
          <t>1:1</t>
        </is>
      </c>
      <c r="E65" s="461" t="inlineStr">
        <is>
          <t>Interface Loan Arrangement</t>
        </is>
      </c>
      <c r="F65" s="415" t="inlineStr">
        <is>
          <t>Mid Rate</t>
        </is>
      </c>
      <c r="G65" s="557" t="inlineStr">
        <is>
          <t>INTF_LOAN_AR</t>
        </is>
      </c>
      <c r="H65" s="415" t="inlineStr">
        <is>
          <t>MID_RATE</t>
        </is>
      </c>
      <c r="I65" s="415" t="inlineStr">
        <is>
          <t>NUMBER</t>
        </is>
      </c>
      <c r="J65" s="415" t="n">
        <v>25.7</v>
      </c>
      <c r="K65" s="461" t="inlineStr">
        <is>
          <t>Tỷ giá</t>
        </is>
      </c>
      <c r="L65" s="590" t="inlineStr">
        <is>
          <t>Tỷ giá cuối ngày</t>
        </is>
      </c>
      <c r="M65" s="415" t="inlineStr">
        <is>
          <t>EXCHANGE_RATE</t>
        </is>
      </c>
      <c r="N65" s="438" t="n"/>
      <c r="O65" s="461">
        <f>"COMMENT ON COLUMN PG_GOLD."&amp;G65&amp;"."&amp;H65&amp;" IS '"&amp;K65&amp;"';"</f>
        <v/>
      </c>
      <c r="P65" s="414" t="inlineStr">
        <is>
          <t>Đổi thành `PG_SILVER.EXG_RATE`.</t>
        </is>
      </c>
    </row>
    <row r="66" ht="54.75" customHeight="1" s="335">
      <c r="A66" s="456" t="inlineStr">
        <is>
          <t>PG_SILVER</t>
        </is>
      </c>
      <c r="B66" s="456" t="inlineStr">
        <is>
          <t>AR_BAL</t>
        </is>
      </c>
      <c r="C66" s="456" t="inlineStr">
        <is>
          <t>GL_ITM_CODE, CLS_BAL_LCY</t>
        </is>
      </c>
      <c r="D66" s="499" t="inlineStr">
        <is>
          <t>CASE WHEN a.GL_ITM_CODE LIKE '2%' AND a.CLS_BAL_LCY &lt; 0 THEN ABS(a.CLS_BAL_LCY) ELSE 0 END</t>
        </is>
      </c>
      <c r="E66" s="561" t="inlineStr">
        <is>
          <t>Interface Loan Arrangement</t>
        </is>
      </c>
      <c r="F66" s="456" t="inlineStr">
        <is>
          <t>Closing Balance LCY</t>
        </is>
      </c>
      <c r="G66" s="570" t="inlineStr">
        <is>
          <t>INTF_LOAN_AR</t>
        </is>
      </c>
      <c r="H66" s="456" t="inlineStr">
        <is>
          <t>AMT_LCY</t>
        </is>
      </c>
      <c r="I66" s="456" t="inlineStr">
        <is>
          <t>NUMBER</t>
        </is>
      </c>
      <c r="J66" s="456" t="n">
        <v>25.5</v>
      </c>
      <c r="K66" s="561" t="inlineStr">
        <is>
          <t>Dư nợ quy đổi VND</t>
        </is>
      </c>
      <c r="L66" s="561" t="n"/>
      <c r="M66" s="456" t="inlineStr">
        <is>
          <t>AMOUNT_LCY</t>
        </is>
      </c>
      <c r="N66" s="591" t="n"/>
      <c r="O66" s="561">
        <f>"COMMENT ON COLUMN PG_GOLD."&amp;G66&amp;"."&amp;H66&amp;" IS '"&amp;K66&amp;"';"</f>
        <v/>
      </c>
      <c r="P66" s="414" t="inlineStr">
        <is>
          <t>Map từ `AR_BAL.CLS_BAL_LCY`.</t>
        </is>
      </c>
    </row>
    <row r="67" ht="69" customHeight="1" s="335">
      <c r="A67" s="456" t="inlineStr">
        <is>
          <t>PG_SILVER</t>
        </is>
      </c>
      <c r="B67" s="456" t="inlineStr">
        <is>
          <t>LOAN_AR, EXG_RATE</t>
        </is>
      </c>
      <c r="C67" s="456" t="inlineStr">
        <is>
          <t>ORIG_AMT_FCY, CCY_CODE, EXG_RATE_TO_LCL_CCY, MID_RATE</t>
        </is>
      </c>
      <c r="D67" s="499" t="inlineStr">
        <is>
          <t>NVL(b.ORIG_AMT_FCY, 0) * DECODE(b.CCY_CODE, 'VND', 1, NVL(f.MID_RATE, b.EXG_RATE_TO_LCL_CCY))</t>
        </is>
      </c>
      <c r="E67" s="561" t="inlineStr">
        <is>
          <t>Interface Loan Arrangement</t>
        </is>
      </c>
      <c r="F67" s="456" t="inlineStr">
        <is>
          <t>Approve Amount LCY</t>
        </is>
      </c>
      <c r="G67" s="570" t="inlineStr">
        <is>
          <t>INTF_LOAN_AR</t>
        </is>
      </c>
      <c r="H67" s="456" t="inlineStr">
        <is>
          <t>APRV_AMT_LCY</t>
        </is>
      </c>
      <c r="I67" s="456" t="inlineStr">
        <is>
          <t>NUMBER</t>
        </is>
      </c>
      <c r="J67" s="456" t="n">
        <v>25.5</v>
      </c>
      <c r="K67" s="561" t="inlineStr">
        <is>
          <t>Số tiền phê duyệt quy đổi VND</t>
        </is>
      </c>
      <c r="L67" s="561" t="n"/>
      <c r="M67" s="456" t="inlineStr">
        <is>
          <t>APPROVE_AMOUNT_LCY</t>
        </is>
      </c>
      <c r="N67" s="591" t="n"/>
      <c r="O67" s="561">
        <f>"COMMENT ON COLUMN PG_GOLD."&amp;G67&amp;"."&amp;H67&amp;" IS '"&amp;K67&amp;"';"</f>
        <v/>
      </c>
      <c r="P67" s="414" t="inlineStr">
        <is>
          <t>Map từ `LOAN_AR.ORIG_AMT_FCY * EXG_RATE.MID_RATE`.</t>
        </is>
      </c>
    </row>
    <row r="68" ht="14.25" customHeight="1" s="335">
      <c r="A68" s="415" t="inlineStr">
        <is>
          <t>PG_SILVER</t>
        </is>
      </c>
      <c r="B68" s="415" t="inlineStr">
        <is>
          <t>AR_DLQ_SMY</t>
        </is>
      </c>
      <c r="C68" s="461" t="inlineStr">
        <is>
          <t>PNP_PAST_DUE_DT, INT_PAST_DUE_DT, ADDITION_DYS_IN_ARS</t>
        </is>
      </c>
      <c r="D68" s="461" t="inlineStr">
        <is>
          <t>NVL(e1.SONGAY_QHAN_CAONHAT, 0) + NVL(e1.SNQH_CHUYENDOI, 0)</t>
        </is>
      </c>
      <c r="E68" s="461" t="inlineStr">
        <is>
          <t>Interface Loan Arrangement</t>
        </is>
      </c>
      <c r="F68" s="433" t="inlineStr">
        <is>
          <t>Maximum days in arrears</t>
        </is>
      </c>
      <c r="G68" s="557" t="inlineStr">
        <is>
          <t>INTF_LOAN_AR</t>
        </is>
      </c>
      <c r="H68" s="575" t="inlineStr">
        <is>
          <t>MX_DYS_IN_ARS</t>
        </is>
      </c>
      <c r="I68" s="415" t="inlineStr">
        <is>
          <t>NUMBER</t>
        </is>
      </c>
      <c r="J68" s="415" t="n">
        <v>22</v>
      </c>
      <c r="K68" s="461" t="inlineStr">
        <is>
          <t>Số ngày quá hạn cao nhất</t>
        </is>
      </c>
      <c r="L68" s="461" t="inlineStr">
        <is>
          <t>Số ngày quá hạn cao nhất</t>
        </is>
      </c>
      <c r="M68" s="415" t="inlineStr">
        <is>
          <t>SONGAY_QHAN_CAONHAT</t>
        </is>
      </c>
      <c r="N68" s="438" t="n"/>
      <c r="O68" s="461">
        <f>"COMMENT ON COLUMN PG_GOLD."&amp;G68&amp;"."&amp;H68&amp;" IS '"&amp;K68&amp;"';"</f>
        <v/>
      </c>
    </row>
    <row r="69" ht="41.25" customHeight="1" s="335">
      <c r="A69" s="415" t="inlineStr">
        <is>
          <t>PG_SILVER</t>
        </is>
      </c>
      <c r="B69" s="415" t="inlineStr">
        <is>
          <t>AST_AR_INT_SMY</t>
        </is>
      </c>
      <c r="C69" s="415" t="inlineStr">
        <is>
          <t>TOT_INT_PAID_AMT_FCY</t>
        </is>
      </c>
      <c r="D69" s="415" t="inlineStr">
        <is>
          <t>NVL(k.TOT_INT_PAID_AMT_FCY, 0)</t>
        </is>
      </c>
      <c r="E69" s="461" t="inlineStr">
        <is>
          <t>Interface Loan Arrangement</t>
        </is>
      </c>
      <c r="F69" s="433" t="inlineStr">
        <is>
          <t>Total Interest Paid Amount FCY</t>
        </is>
      </c>
      <c r="G69" s="557" t="inlineStr">
        <is>
          <t>INTF_LOAN_AR</t>
        </is>
      </c>
      <c r="H69" s="443" t="inlineStr">
        <is>
          <t>TOT_INT_PAID_AMT_FCY</t>
        </is>
      </c>
      <c r="I69" s="415" t="inlineStr">
        <is>
          <t>NUMBER</t>
        </is>
      </c>
      <c r="J69" s="415" t="n">
        <v>32.5</v>
      </c>
      <c r="K69" s="461" t="inlineStr">
        <is>
          <t>Tổng lãi đã trả</t>
        </is>
      </c>
      <c r="L69" s="572" t="inlineStr">
        <is>
          <t>Tổng lãi đã trả nguyên tệ</t>
        </is>
      </c>
      <c r="M69" s="415" t="inlineStr">
        <is>
          <t>TONG_LAI_DA_TRA</t>
        </is>
      </c>
      <c r="N69" s="438" t="n"/>
      <c r="O69" s="461">
        <f>"COMMENT ON COLUMN PG_GOLD."&amp;G69&amp;"."&amp;H69&amp;" IS '"&amp;K69&amp;"';"</f>
        <v/>
      </c>
    </row>
    <row r="70" ht="54.75" customHeight="1" s="335">
      <c r="A70" s="592" t="inlineStr">
        <is>
          <t>PG_SILVER</t>
        </is>
      </c>
      <c r="B70" s="592" t="inlineStr">
        <is>
          <t>LOAN_AR_PRFL</t>
        </is>
      </c>
      <c r="C70" s="592" t="inlineStr">
        <is>
          <t>FNC_ST_CODE</t>
        </is>
      </c>
      <c r="D70" s="463" t="inlineStr">
        <is>
          <t>c.FNC_ST_CODE</t>
        </is>
      </c>
      <c r="E70" s="593" t="inlineStr">
        <is>
          <t>Interface Loan Arrangement</t>
        </is>
      </c>
      <c r="F70" s="592" t="inlineStr">
        <is>
          <t>Arrangement Financial Status Code</t>
        </is>
      </c>
      <c r="G70" s="594" t="inlineStr">
        <is>
          <t>INTF_LOAN_AR</t>
        </is>
      </c>
      <c r="H70" s="463" t="inlineStr">
        <is>
          <t>AR_FNC_ST_CODE</t>
        </is>
      </c>
      <c r="I70" s="592" t="inlineStr">
        <is>
          <t>VARCHAR2</t>
        </is>
      </c>
      <c r="J70" s="592" t="n">
        <v>20</v>
      </c>
      <c r="K70" s="593" t="inlineStr">
        <is>
          <t>Nhóm nợ hợp đồng</t>
        </is>
      </c>
      <c r="L70" s="593" t="n"/>
      <c r="M70" s="592" t="inlineStr">
        <is>
          <t>NHOM_NO_HOPDONG</t>
        </is>
      </c>
      <c r="N70" s="595" t="inlineStr">
        <is>
          <t>rule giống CREDIT_STATUS</t>
        </is>
      </c>
      <c r="O70" s="593">
        <f>"COMMENT ON COLUMN PG_GOLD."&amp;G70&amp;"."&amp;H70&amp;" IS '"&amp;K70&amp;"';"</f>
        <v/>
      </c>
      <c r="P70" s="414" t="inlineStr">
        <is>
          <t>Đặt tên cột đích `AR_FNC_ST_CODE` lấy từ `c.FNC_ST_CODE`.</t>
        </is>
      </c>
    </row>
    <row r="71" ht="14.25" customHeight="1" s="335">
      <c r="A71" s="579" t="inlineStr">
        <is>
          <t>PG_GOLD</t>
        </is>
      </c>
      <c r="B71" s="579" t="inlineStr">
        <is>
          <t>INF_CST</t>
        </is>
      </c>
      <c r="C71" s="579" t="inlineStr">
        <is>
          <t>JNT_LBY_F</t>
        </is>
      </c>
      <c r="D71" s="499" t="inlineStr">
        <is>
          <t>cst.JNT_LBY_F</t>
        </is>
      </c>
      <c r="E71" s="581" t="inlineStr">
        <is>
          <t>Interface Loan Arrangement</t>
        </is>
      </c>
      <c r="F71" s="579" t="inlineStr">
        <is>
          <t>Joint Liability Flag</t>
        </is>
      </c>
      <c r="G71" s="580" t="inlineStr">
        <is>
          <t>INTF_LOAN_AR</t>
        </is>
      </c>
      <c r="H71" s="499" t="inlineStr">
        <is>
          <t>JNT_LBY_F</t>
        </is>
      </c>
      <c r="I71" s="579" t="inlineStr">
        <is>
          <t>VARCHAR2</t>
        </is>
      </c>
      <c r="J71" s="579" t="n">
        <v>20</v>
      </c>
      <c r="K71" s="581" t="inlineStr">
        <is>
          <t>Cờ nợ liên đới</t>
        </is>
      </c>
      <c r="L71" s="581" t="n"/>
      <c r="M71" s="579" t="inlineStr">
        <is>
          <t>NO_LIENDOI</t>
        </is>
      </c>
      <c r="N71" s="589" t="inlineStr">
        <is>
          <t>join sang INF_CST</t>
        </is>
      </c>
      <c r="O71" s="581">
        <f>"COMMENT ON COLUMN PG_GOLD."&amp;G71&amp;"."&amp;H71&amp;" IS '"&amp;K71&amp;"';"</f>
        <v/>
      </c>
      <c r="P71" s="414" t="inlineStr">
        <is>
          <t>Map từ `cst.JNT_LBY_F` vào cột đích `JNT_LBY_F`.</t>
        </is>
      </c>
    </row>
    <row r="72" ht="27" customHeight="1" s="335">
      <c r="A72" s="442" t="inlineStr">
        <is>
          <t>PG_SILVER</t>
        </is>
      </c>
      <c r="B72" s="442" t="inlineStr">
        <is>
          <t>LOAN_AR</t>
        </is>
      </c>
      <c r="C72" s="576" t="inlineStr">
        <is>
          <t>FCC_LMT_CODE</t>
        </is>
      </c>
      <c r="D72" s="415" t="inlineStr">
        <is>
          <t>1:1</t>
        </is>
      </c>
      <c r="E72" s="461" t="inlineStr">
        <is>
          <t>Interface Loan Arrangement</t>
        </is>
      </c>
      <c r="F72" s="438" t="inlineStr">
        <is>
          <t>FCC Limit Code</t>
        </is>
      </c>
      <c r="G72" s="557" t="inlineStr">
        <is>
          <t>INTF_LOAN_AR</t>
        </is>
      </c>
      <c r="H72" s="576" t="inlineStr">
        <is>
          <t>FCC_LMT_CODE</t>
        </is>
      </c>
      <c r="I72" s="415" t="inlineStr">
        <is>
          <t>VARCHAR2</t>
        </is>
      </c>
      <c r="J72" s="459" t="n">
        <v>20</v>
      </c>
      <c r="K72" s="577" t="inlineStr">
        <is>
          <t>Mã hạn mức trên Flexcube</t>
        </is>
      </c>
      <c r="L72" s="577" t="inlineStr">
        <is>
          <t>Mã hạn mức trong Flexcube</t>
        </is>
      </c>
      <c r="M72" s="415" t="inlineStr">
        <is>
          <t>MA_HAN_MUC_FCC</t>
        </is>
      </c>
      <c r="N72" s="438" t="n"/>
      <c r="O72" s="577">
        <f>"COMMENT ON COLUMN PG_GOLD."&amp;G72&amp;"."&amp;H72&amp;" IS '"&amp;K72&amp;"';"</f>
        <v/>
      </c>
    </row>
    <row r="73" ht="27" customHeight="1" s="335">
      <c r="A73" s="442" t="inlineStr">
        <is>
          <t>PG_SILVER</t>
        </is>
      </c>
      <c r="B73" s="557" t="inlineStr">
        <is>
          <t>LOAN_AR_PRFL</t>
        </is>
      </c>
      <c r="C73" s="557" t="inlineStr">
        <is>
          <t>MAKER_OFCR</t>
        </is>
      </c>
      <c r="D73" s="415" t="inlineStr">
        <is>
          <t>1:1</t>
        </is>
      </c>
      <c r="E73" s="461" t="inlineStr">
        <is>
          <t>Interface Loan Arrangement</t>
        </is>
      </c>
      <c r="F73" s="415" t="inlineStr">
        <is>
          <t>Maker Officer</t>
        </is>
      </c>
      <c r="G73" s="557" t="inlineStr">
        <is>
          <t>INTF_LOAN_AR</t>
        </is>
      </c>
      <c r="H73" s="574" t="inlineStr">
        <is>
          <t>MAKER_OFCR_CODE</t>
        </is>
      </c>
      <c r="I73" s="415" t="inlineStr">
        <is>
          <t>VARCHAR2</t>
        </is>
      </c>
      <c r="J73" s="415" t="n">
        <v>40</v>
      </c>
      <c r="K73" s="461" t="inlineStr">
        <is>
          <t>ID người nhập liệu</t>
        </is>
      </c>
      <c r="L73" s="583" t="inlineStr">
        <is>
          <t>Cán bộ nhập hồ sơ</t>
        </is>
      </c>
      <c r="M73" s="415" t="inlineStr">
        <is>
          <t>INPUTTER</t>
        </is>
      </c>
      <c r="N73" s="438" t="n"/>
      <c r="O73" s="461">
        <f>"COMMENT ON COLUMN PG_GOLD."&amp;G73&amp;"."&amp;H73&amp;" IS '"&amp;K73&amp;"';"</f>
        <v/>
      </c>
      <c r="P73" s="414" t="inlineStr">
        <is>
          <t>Xóa ký tự xuống dòng trong `MAKER_OFCR_CODE\nMAKER_OFCR`.</t>
        </is>
      </c>
    </row>
    <row r="74" ht="41.25" customHeight="1" s="335">
      <c r="A74" s="442" t="inlineStr">
        <is>
          <t>PG_SILVER</t>
        </is>
      </c>
      <c r="B74" s="557" t="inlineStr">
        <is>
          <t>LOAN_AR_PRFL</t>
        </is>
      </c>
      <c r="C74" s="557" t="inlineStr">
        <is>
          <t>CHKER_OFCR</t>
        </is>
      </c>
      <c r="D74" s="415" t="inlineStr">
        <is>
          <t>1:1</t>
        </is>
      </c>
      <c r="E74" s="461" t="inlineStr">
        <is>
          <t>Interface Loan Arrangement</t>
        </is>
      </c>
      <c r="F74" s="415" t="inlineStr">
        <is>
          <t>Checker Officer</t>
        </is>
      </c>
      <c r="G74" s="557" t="inlineStr">
        <is>
          <t>INTF_LOAN_AR</t>
        </is>
      </c>
      <c r="H74" s="574" t="inlineStr">
        <is>
          <t>CHKER_OFCR_CODE</t>
        </is>
      </c>
      <c r="I74" s="415" t="inlineStr">
        <is>
          <t>VARCHAR2</t>
        </is>
      </c>
      <c r="J74" s="415" t="n">
        <v>40</v>
      </c>
      <c r="K74" s="461" t="inlineStr">
        <is>
          <t>Mã người phê duyệt</t>
        </is>
      </c>
      <c r="L74" s="583" t="inlineStr">
        <is>
          <t>Cán bộ phê duyệt</t>
        </is>
      </c>
      <c r="M74" s="415" t="inlineStr">
        <is>
          <t>AUTHORISER</t>
        </is>
      </c>
      <c r="N74" s="438" t="n"/>
      <c r="O74" s="461">
        <f>"COMMENT ON COLUMN PG_GOLD."&amp;G74&amp;"."&amp;H74&amp;" IS '"&amp;K74&amp;"';"</f>
        <v/>
      </c>
      <c r="P74" s="414" t="inlineStr">
        <is>
          <t>Xóa ký tự xuống dòng trong `CHKER_OFCR_CODE\nCHKER_OFCR`.</t>
        </is>
      </c>
    </row>
    <row r="75" ht="69" customHeight="1" s="335">
      <c r="A75" s="579" t="inlineStr">
        <is>
          <t>PG_GOLD</t>
        </is>
      </c>
      <c r="B75" s="579" t="inlineStr">
        <is>
          <t>INF_CST</t>
        </is>
      </c>
      <c r="C75" s="579" t="inlineStr">
        <is>
          <t>CST_GRP_CODE</t>
        </is>
      </c>
      <c r="D75" s="499" t="inlineStr">
        <is>
          <t>cst.CST_GRP_CODE</t>
        </is>
      </c>
      <c r="E75" s="581" t="inlineStr">
        <is>
          <t>Interface Loan Arrangement</t>
        </is>
      </c>
      <c r="F75" s="579" t="inlineStr">
        <is>
          <t>Customer Group Code</t>
        </is>
      </c>
      <c r="G75" s="580" t="inlineStr">
        <is>
          <t>INTF_LOAN_AR</t>
        </is>
      </c>
      <c r="H75" s="499" t="inlineStr">
        <is>
          <t>CST_GRP_CODE</t>
        </is>
      </c>
      <c r="I75" s="579" t="inlineStr">
        <is>
          <t>VARCHAR2</t>
        </is>
      </c>
      <c r="J75" s="579" t="n">
        <v>20</v>
      </c>
      <c r="K75" s="581" t="inlineStr">
        <is>
          <t>Khối khách hàng</t>
        </is>
      </c>
      <c r="L75" s="581" t="n"/>
      <c r="M75" s="579" t="inlineStr">
        <is>
          <t>KHOI</t>
        </is>
      </c>
      <c r="N75" s="589" t="inlineStr">
        <is>
          <t>join sang INF_CST</t>
        </is>
      </c>
      <c r="O75" s="581">
        <f>"COMMENT ON COLUMN PG_GOLD."&amp;G75&amp;"."&amp;H75&amp;" IS '"&amp;K75&amp;"';"</f>
        <v/>
      </c>
      <c r="P75" s="414" t="inlineStr">
        <is>
          <t>Map từ `cst.CST_GRP_CODE` vào cột đích `CST_GRP_CODE`.</t>
        </is>
      </c>
    </row>
    <row r="76" ht="14.25" customHeight="1" s="335">
      <c r="A76" s="442" t="inlineStr">
        <is>
          <t>PG_SILVER</t>
        </is>
      </c>
      <c r="B76" s="442" t="inlineStr">
        <is>
          <t>LOAN_AR, LOAN_AR_PRFL</t>
        </is>
      </c>
      <c r="C76" s="557" t="inlineStr">
        <is>
          <t>FCC_AR_CODE, AR_PPS_BY_IDY, AR_PPS_TP_CODE</t>
        </is>
      </c>
      <c r="D76" s="463" t="inlineStr">
        <is>
          <t>CASE WHEN b.FCC_AR_CODE IS NOT NULL THEN SUBSTR(c.AR_PPS_BY_IDY, 2, LENGTH(c.AR_PPS_BY_IDY)) ELSE b.AR_PPS_TP_CODE END</t>
        </is>
      </c>
      <c r="E76" s="461" t="inlineStr">
        <is>
          <t>Interface Loan Arrangement</t>
        </is>
      </c>
      <c r="F76" s="415" t="inlineStr">
        <is>
          <t>Arrangement Purpose Type Code</t>
        </is>
      </c>
      <c r="G76" s="557" t="inlineStr">
        <is>
          <t>INTF_LOAN_AR</t>
        </is>
      </c>
      <c r="H76" s="557" t="inlineStr">
        <is>
          <t>AR_PPS_TP_CODE</t>
        </is>
      </c>
      <c r="I76" s="415" t="inlineStr">
        <is>
          <t>VARCHAR2</t>
        </is>
      </c>
      <c r="J76" s="459" t="n">
        <v>40</v>
      </c>
      <c r="K76" s="461" t="inlineStr">
        <is>
          <t>Mã mục đích vay</t>
        </is>
      </c>
      <c r="L76" s="567" t="inlineStr">
        <is>
          <t>Mã mục đích vay</t>
        </is>
      </c>
      <c r="M76" s="415" t="inlineStr">
        <is>
          <t>USE_OF_LOAN</t>
        </is>
      </c>
      <c r="N76" s="438" t="n"/>
      <c r="O76" s="461">
        <f>"COMMENT ON COLUMN PG_GOLD."&amp;G76&amp;"."&amp;H76&amp;" IS '"&amp;K76&amp;"';"</f>
        <v/>
      </c>
      <c r="P76" s="414" t="inlineStr">
        <is>
          <t>Bổ sung từ khóa `END`.</t>
        </is>
      </c>
    </row>
    <row r="77" ht="14.25" customHeight="1" s="335">
      <c r="A77" s="442" t="inlineStr">
        <is>
          <t>PG_SILVER</t>
        </is>
      </c>
      <c r="B77" s="442" t="inlineStr">
        <is>
          <t>LOAN_AR</t>
        </is>
      </c>
      <c r="C77" s="557" t="inlineStr">
        <is>
          <t>AR_PPS_GRP_CODE</t>
        </is>
      </c>
      <c r="D77" s="415" t="inlineStr">
        <is>
          <t>1:1</t>
        </is>
      </c>
      <c r="E77" s="461" t="inlineStr">
        <is>
          <t>Interface Loan Arrangement</t>
        </is>
      </c>
      <c r="F77" s="415" t="inlineStr">
        <is>
          <t>Arrangement Purpose Group Code</t>
        </is>
      </c>
      <c r="G77" s="557" t="inlineStr">
        <is>
          <t>INTF_LOAN_AR</t>
        </is>
      </c>
      <c r="H77" s="557" t="inlineStr">
        <is>
          <t>AR_PPS_GRP_CODE</t>
        </is>
      </c>
      <c r="I77" s="415" t="inlineStr">
        <is>
          <t>VARCHAR2</t>
        </is>
      </c>
      <c r="J77" s="459" t="n">
        <v>40</v>
      </c>
      <c r="K77" s="461" t="inlineStr">
        <is>
          <t>Mã nhóm mục đích vay</t>
        </is>
      </c>
      <c r="L77" s="567" t="inlineStr">
        <is>
          <t>Mã nhóm mục đích vay</t>
        </is>
      </c>
      <c r="M77" s="415" t="inlineStr">
        <is>
          <t>USE_OF_LOAN_CHA</t>
        </is>
      </c>
      <c r="N77" s="438" t="n"/>
      <c r="O77" s="461">
        <f>"COMMENT ON COLUMN PG_GOLD."&amp;G77&amp;"."&amp;H77&amp;" IS '"&amp;K77&amp;"';"</f>
        <v/>
      </c>
    </row>
    <row r="78" ht="14.25" customHeight="1" s="335">
      <c r="A78" s="442" t="inlineStr">
        <is>
          <t>PG_SILVER</t>
        </is>
      </c>
      <c r="B78" s="557" t="inlineStr">
        <is>
          <t>LOAN_AR_PRFL</t>
        </is>
      </c>
      <c r="C78" s="415" t="inlineStr">
        <is>
          <t>LOS_CTR_CODE</t>
        </is>
      </c>
      <c r="D78" s="415" t="inlineStr">
        <is>
          <t>1:1</t>
        </is>
      </c>
      <c r="E78" s="461" t="inlineStr">
        <is>
          <t>Interface Loan Arrangement</t>
        </is>
      </c>
      <c r="F78" s="415" t="inlineStr">
        <is>
          <t>LOS Contract Code</t>
        </is>
      </c>
      <c r="G78" s="557" t="inlineStr">
        <is>
          <t>INTF_LOAN_AR</t>
        </is>
      </c>
      <c r="H78" s="415" t="inlineStr">
        <is>
          <t>LOS_CTR_CODE</t>
        </is>
      </c>
      <c r="I78" s="415" t="inlineStr">
        <is>
          <t>VARCHAR2</t>
        </is>
      </c>
      <c r="J78" s="459" t="n">
        <v>40</v>
      </c>
      <c r="K78" s="461" t="inlineStr">
        <is>
          <t>mã hợp đồng vay</t>
        </is>
      </c>
      <c r="L78" s="596" t="inlineStr">
        <is>
          <t>Mã hợp đồng trong LOS</t>
        </is>
      </c>
      <c r="M78" s="415" t="inlineStr">
        <is>
          <t>LOS_CONTRACT_CODE</t>
        </is>
      </c>
      <c r="N78" s="438" t="n"/>
      <c r="O78" s="461">
        <f>"COMMENT ON COLUMN PG_GOLD."&amp;G78&amp;"."&amp;H78&amp;" IS '"&amp;K78&amp;"';"</f>
        <v/>
      </c>
    </row>
    <row r="79" ht="14.25" customHeight="1" s="335">
      <c r="A79" s="442" t="inlineStr">
        <is>
          <t>PG_SILVER</t>
        </is>
      </c>
      <c r="B79" s="557" t="inlineStr">
        <is>
          <t>LOAN_AR_PRFL</t>
        </is>
      </c>
      <c r="C79" s="415" t="inlineStr">
        <is>
          <t>LOS_CTR_ID</t>
        </is>
      </c>
      <c r="D79" s="415" t="inlineStr">
        <is>
          <t>1:1</t>
        </is>
      </c>
      <c r="E79" s="461" t="inlineStr">
        <is>
          <t>Interface Loan Arrangement</t>
        </is>
      </c>
      <c r="F79" s="415" t="inlineStr">
        <is>
          <t>LOS Contract ID</t>
        </is>
      </c>
      <c r="G79" s="557" t="inlineStr">
        <is>
          <t>INTF_LOAN_AR</t>
        </is>
      </c>
      <c r="H79" s="415" t="inlineStr">
        <is>
          <t>LOS_CTR_ID</t>
        </is>
      </c>
      <c r="I79" s="415" t="inlineStr">
        <is>
          <t>VARCHAR2</t>
        </is>
      </c>
      <c r="J79" s="459" t="n">
        <v>20</v>
      </c>
      <c r="K79" s="461" t="inlineStr">
        <is>
          <t>mã hồ sơ trên LOS</t>
        </is>
      </c>
      <c r="L79" s="596" t="inlineStr">
        <is>
          <t>ID định danh trong LOS</t>
        </is>
      </c>
      <c r="M79" s="415" t="inlineStr">
        <is>
          <t>LOS_CONTRACT_ID</t>
        </is>
      </c>
      <c r="N79" s="438" t="n"/>
      <c r="O79" s="461">
        <f>"COMMENT ON COLUMN PG_GOLD."&amp;G79&amp;"."&amp;H79&amp;" IS '"&amp;K79&amp;"';"</f>
        <v/>
      </c>
    </row>
    <row r="80" ht="27.75" customHeight="1" s="335">
      <c r="A80" s="442" t="inlineStr">
        <is>
          <t>PG_SILVER</t>
        </is>
      </c>
      <c r="B80" s="557" t="inlineStr">
        <is>
          <t>LOAN_AR_PRFL</t>
        </is>
      </c>
      <c r="C80" s="415" t="inlineStr">
        <is>
          <t>DBT_RSTC_TP_CODE</t>
        </is>
      </c>
      <c r="D80" s="415" t="inlineStr">
        <is>
          <t>1:1</t>
        </is>
      </c>
      <c r="E80" s="461" t="inlineStr">
        <is>
          <t>Interface Loan Arrangement</t>
        </is>
      </c>
      <c r="F80" s="415" t="inlineStr">
        <is>
          <t>Debt Restructuring Type Code</t>
        </is>
      </c>
      <c r="G80" s="557" t="inlineStr">
        <is>
          <t>INTF_LOAN_AR</t>
        </is>
      </c>
      <c r="H80" s="415" t="inlineStr">
        <is>
          <t>DBT_RSTC_TP_CODE</t>
        </is>
      </c>
      <c r="I80" s="415" t="inlineStr">
        <is>
          <t>VARCHAR2</t>
        </is>
      </c>
      <c r="J80" s="459" t="n">
        <v>20</v>
      </c>
      <c r="K80" s="584" t="inlineStr">
        <is>
          <t>Loại cơ cấu</t>
        </is>
      </c>
      <c r="L80" s="597" t="inlineStr">
        <is>
          <t>Loại cơ cấu</t>
        </is>
      </c>
      <c r="M80" s="415" t="inlineStr">
        <is>
          <t>LOAI_CO_CAU</t>
        </is>
      </c>
      <c r="N80" s="438" t="inlineStr">
        <is>
          <t>case when</t>
        </is>
      </c>
      <c r="O80" s="584">
        <f>"COMMENT ON COLUMN PG_GOLD."&amp;G80&amp;"."&amp;H80&amp;" IS '"&amp;K80&amp;"';"</f>
        <v/>
      </c>
    </row>
    <row r="81" ht="14.25" customHeight="1" s="335">
      <c r="A81" s="442" t="inlineStr">
        <is>
          <t>PG_SILVER</t>
        </is>
      </c>
      <c r="B81" s="557" t="inlineStr">
        <is>
          <t>LOAN_AR_PRFL</t>
        </is>
      </c>
      <c r="C81" s="415" t="inlineStr">
        <is>
          <t>CAR_AP_CODE</t>
        </is>
      </c>
      <c r="D81" s="415" t="inlineStr">
        <is>
          <t>1:1</t>
        </is>
      </c>
      <c r="E81" s="461" t="inlineStr">
        <is>
          <t>Interface Loan Arrangement</t>
        </is>
      </c>
      <c r="F81" s="415" t="inlineStr">
        <is>
          <t>Car Application Code</t>
        </is>
      </c>
      <c r="G81" s="557" t="inlineStr">
        <is>
          <t>INTF_LOAN_AR</t>
        </is>
      </c>
      <c r="H81" s="415" t="inlineStr">
        <is>
          <t>CAR_AP_CODE</t>
        </is>
      </c>
      <c r="I81" s="415" t="inlineStr">
        <is>
          <t>VARCHAR2</t>
        </is>
      </c>
      <c r="J81" s="459" t="n">
        <v>40</v>
      </c>
      <c r="K81" s="461" t="inlineStr">
        <is>
          <t>Mã hồ sơ đăng ký vay vốn mua xe</t>
        </is>
      </c>
      <c r="L81" s="461" t="inlineStr">
        <is>
          <t>Mã hồ sơ đăng ký vay vốn mua xe</t>
        </is>
      </c>
      <c r="M81" s="415" t="inlineStr">
        <is>
          <t>MA_HS_LOS</t>
        </is>
      </c>
      <c r="N81" s="438" t="n"/>
      <c r="O81" s="461">
        <f>"COMMENT ON COLUMN PG_GOLD."&amp;G81&amp;"."&amp;H81&amp;" IS '"&amp;K81&amp;"';"</f>
        <v/>
      </c>
    </row>
    <row r="82" ht="14.25" customHeight="1" s="335">
      <c r="A82" s="442" t="inlineStr">
        <is>
          <t>PG_SILVER</t>
        </is>
      </c>
      <c r="B82" s="557" t="inlineStr">
        <is>
          <t>LOAN_AR_PRFL</t>
        </is>
      </c>
      <c r="C82" s="415" t="inlineStr">
        <is>
          <t>SCR_TP</t>
        </is>
      </c>
      <c r="D82" s="415" t="inlineStr">
        <is>
          <t>1:1</t>
        </is>
      </c>
      <c r="E82" s="461" t="inlineStr">
        <is>
          <t>Interface Loan Arrangement</t>
        </is>
      </c>
      <c r="F82" s="415" t="inlineStr">
        <is>
          <t>Security Type</t>
        </is>
      </c>
      <c r="G82" s="557" t="inlineStr">
        <is>
          <t>INTF_LOAN_AR</t>
        </is>
      </c>
      <c r="H82" s="415" t="inlineStr">
        <is>
          <t>SCR_TP</t>
        </is>
      </c>
      <c r="I82" s="415" t="inlineStr">
        <is>
          <t>VARCHAR2</t>
        </is>
      </c>
      <c r="J82" s="459" t="n">
        <v>20</v>
      </c>
      <c r="K82" s="461" t="inlineStr">
        <is>
          <t>Loạ̣i hình chứng khoán</t>
        </is>
      </c>
      <c r="L82" s="461" t="inlineStr">
        <is>
          <t>Loại hình chứng khoán</t>
        </is>
      </c>
      <c r="M82" s="415" t="inlineStr">
        <is>
          <t>LOAI_HINH_CK</t>
        </is>
      </c>
      <c r="N82" s="438" t="n"/>
      <c r="O82" s="461">
        <f>"COMMENT ON COLUMN PG_GOLD."&amp;G82&amp;"."&amp;H82&amp;" IS '"&amp;K82&amp;"';"</f>
        <v/>
      </c>
    </row>
    <row r="83" ht="14.25" customHeight="1" s="335">
      <c r="A83" s="442" t="inlineStr">
        <is>
          <t>PG_SILVER</t>
        </is>
      </c>
      <c r="B83" s="557" t="inlineStr">
        <is>
          <t>LOAN_AR_PRFL</t>
        </is>
      </c>
      <c r="C83" s="415" t="inlineStr">
        <is>
          <t>MAND_REPYMT</t>
        </is>
      </c>
      <c r="D83" s="415" t="inlineStr">
        <is>
          <t>1:1</t>
        </is>
      </c>
      <c r="E83" s="461" t="inlineStr">
        <is>
          <t>Interface Loan Arrangement</t>
        </is>
      </c>
      <c r="F83" s="415" t="inlineStr">
        <is>
          <t>Mandatory Repayment</t>
        </is>
      </c>
      <c r="G83" s="557" t="inlineStr">
        <is>
          <t>INTF_LOAN_AR</t>
        </is>
      </c>
      <c r="H83" s="415" t="inlineStr">
        <is>
          <t>MAND_REPYMT</t>
        </is>
      </c>
      <c r="I83" s="415" t="inlineStr">
        <is>
          <t>VARCHAR2</t>
        </is>
      </c>
      <c r="J83" s="459" t="n">
        <v>20</v>
      </c>
      <c r="K83" s="461" t="inlineStr">
        <is>
          <t>Giá trị UDF</t>
        </is>
      </c>
      <c r="L83" s="572" t="inlineStr">
        <is>
          <t>Khoản trả nợ bắt buộc</t>
        </is>
      </c>
      <c r="M83" s="415" t="inlineStr">
        <is>
          <t>NHANNO_BATBUOC</t>
        </is>
      </c>
      <c r="N83" s="438" t="inlineStr">
        <is>
          <t>case when</t>
        </is>
      </c>
      <c r="O83" s="461">
        <f>"COMMENT ON COLUMN PG_GOLD."&amp;G83&amp;"."&amp;H83&amp;" IS '"&amp;K83&amp;"';"</f>
        <v/>
      </c>
    </row>
    <row r="84" ht="27.75" customHeight="1" s="335">
      <c r="A84" s="442" t="inlineStr">
        <is>
          <t>PG_SILVER</t>
        </is>
      </c>
      <c r="B84" s="442" t="inlineStr">
        <is>
          <t>LOAN_AR</t>
        </is>
      </c>
      <c r="C84" s="438" t="inlineStr">
        <is>
          <t>LOS_CTR_NBR</t>
        </is>
      </c>
      <c r="D84" s="415" t="inlineStr">
        <is>
          <t>1:1</t>
        </is>
      </c>
      <c r="E84" s="461" t="inlineStr">
        <is>
          <t>Interface Loan Arrangement</t>
        </is>
      </c>
      <c r="F84" s="438" t="inlineStr">
        <is>
          <t>LOS Contract Number</t>
        </is>
      </c>
      <c r="G84" s="557" t="inlineStr">
        <is>
          <t>INTF_LOAN_AR</t>
        </is>
      </c>
      <c r="H84" s="438" t="inlineStr">
        <is>
          <t>LOS_CTR_NBR</t>
        </is>
      </c>
      <c r="I84" s="415" t="inlineStr">
        <is>
          <t>VARCHAR2</t>
        </is>
      </c>
      <c r="J84" s="459" t="n">
        <v>40</v>
      </c>
      <c r="K84" s="461" t="inlineStr">
        <is>
          <t>Số hồ sơ</t>
        </is>
      </c>
      <c r="L84" s="596" t="inlineStr">
        <is>
          <t>Số hợp đồng trong LOS</t>
        </is>
      </c>
      <c r="M84" s="415" t="inlineStr">
        <is>
          <t>LOS_FAC_CODE</t>
        </is>
      </c>
      <c r="N84" s="438" t="n"/>
      <c r="O84" s="461">
        <f>"COMMENT ON COLUMN PG_GOLD."&amp;G84&amp;"."&amp;H84&amp;" IS '"&amp;K84&amp;"';"</f>
        <v/>
      </c>
    </row>
    <row r="85" ht="14.25" customHeight="1" s="335">
      <c r="A85" s="442" t="inlineStr">
        <is>
          <t>PG_SILVER</t>
        </is>
      </c>
      <c r="B85" s="557" t="inlineStr">
        <is>
          <t>LOAN_AR_PRFL</t>
        </is>
      </c>
      <c r="C85" s="415" t="inlineStr">
        <is>
          <t>PROM_PRGM</t>
        </is>
      </c>
      <c r="D85" s="415" t="inlineStr">
        <is>
          <t>1:1</t>
        </is>
      </c>
      <c r="E85" s="461" t="inlineStr">
        <is>
          <t>Interface Loan Arrangement</t>
        </is>
      </c>
      <c r="F85" s="415" t="inlineStr">
        <is>
          <t>Promotion Program</t>
        </is>
      </c>
      <c r="G85" s="557" t="inlineStr">
        <is>
          <t>INTF_LOAN_AR</t>
        </is>
      </c>
      <c r="H85" s="415" t="inlineStr">
        <is>
          <t>PROM_PRGM</t>
        </is>
      </c>
      <c r="I85" s="415" t="inlineStr">
        <is>
          <t>VARCHAR2</t>
        </is>
      </c>
      <c r="J85" s="459" t="n">
        <v>20</v>
      </c>
      <c r="K85" s="461" t="inlineStr">
        <is>
          <t>Mã chương trình KM cho vay</t>
        </is>
      </c>
      <c r="L85" s="567" t="inlineStr">
        <is>
          <t>Chương trình ưu đãi</t>
        </is>
      </c>
      <c r="M85" s="415" t="inlineStr">
        <is>
          <t>CHUONG_TRINH_KHUYEN_MAI</t>
        </is>
      </c>
      <c r="N85" s="438" t="n"/>
      <c r="O85" s="461">
        <f>"COMMENT ON COLUMN PG_GOLD."&amp;G85&amp;"."&amp;H85&amp;" IS '"&amp;K85&amp;"';"</f>
        <v/>
      </c>
    </row>
    <row r="86" ht="54.75" customHeight="1" s="335">
      <c r="A86" s="442" t="inlineStr">
        <is>
          <t>PG_SILVER</t>
        </is>
      </c>
      <c r="B86" s="557" t="inlineStr">
        <is>
          <t>LOAN_AR_PRFL</t>
        </is>
      </c>
      <c r="C86" s="415" t="inlineStr">
        <is>
          <t>PROM_PRGM_2</t>
        </is>
      </c>
      <c r="D86" s="415" t="inlineStr">
        <is>
          <t>1:1</t>
        </is>
      </c>
      <c r="E86" s="461" t="inlineStr">
        <is>
          <t>Interface Loan Arrangement</t>
        </is>
      </c>
      <c r="F86" s="415" t="inlineStr">
        <is>
          <t>Promotion Program 2</t>
        </is>
      </c>
      <c r="G86" s="557" t="inlineStr">
        <is>
          <t>INTF_LOAN_AR</t>
        </is>
      </c>
      <c r="H86" s="415" t="inlineStr">
        <is>
          <t>PROM_PRGM_2</t>
        </is>
      </c>
      <c r="I86" s="415" t="inlineStr">
        <is>
          <t>VARCHAR2</t>
        </is>
      </c>
      <c r="J86" s="459" t="n">
        <v>20</v>
      </c>
      <c r="K86" s="461" t="inlineStr">
        <is>
          <t>Mã CTKM2</t>
        </is>
      </c>
      <c r="L86" s="567" t="inlineStr">
        <is>
          <t>Chương trình ưu đãi 2</t>
        </is>
      </c>
      <c r="M86" s="415" t="inlineStr">
        <is>
          <t>CTKM2</t>
        </is>
      </c>
      <c r="N86" s="438" t="n"/>
      <c r="O86" s="461">
        <f>"COMMENT ON COLUMN PG_GOLD."&amp;G86&amp;"."&amp;H86&amp;" IS '"&amp;K86&amp;"';"</f>
        <v/>
      </c>
    </row>
    <row r="87" ht="27.75" customHeight="1" s="335">
      <c r="A87" s="579" t="inlineStr">
        <is>
          <t>PG_GOLD</t>
        </is>
      </c>
      <c r="B87" s="579" t="inlineStr">
        <is>
          <t>INF_CST</t>
        </is>
      </c>
      <c r="C87" s="579" t="inlineStr">
        <is>
          <t>SCTR_CODE</t>
        </is>
      </c>
      <c r="D87" s="499" t="inlineStr">
        <is>
          <t>cst.SCTR_CODE</t>
        </is>
      </c>
      <c r="E87" s="581" t="inlineStr">
        <is>
          <t>Interface Loan Arrangement</t>
        </is>
      </c>
      <c r="F87" s="579" t="inlineStr">
        <is>
          <t>Sector Code</t>
        </is>
      </c>
      <c r="G87" s="580" t="inlineStr">
        <is>
          <t>INTF_LOAN_AR</t>
        </is>
      </c>
      <c r="H87" s="499" t="inlineStr">
        <is>
          <t>SCTR_CODE</t>
        </is>
      </c>
      <c r="I87" s="579" t="inlineStr">
        <is>
          <t>VARCHAR2</t>
        </is>
      </c>
      <c r="J87" s="579" t="n">
        <v>40</v>
      </c>
      <c r="K87" s="581" t="inlineStr">
        <is>
          <t>Mã thành phần kinh tế</t>
        </is>
      </c>
      <c r="L87" s="581" t="n"/>
      <c r="M87" s="579" t="inlineStr">
        <is>
          <t>LOAI_HINH_KT</t>
        </is>
      </c>
      <c r="N87" s="589" t="inlineStr">
        <is>
          <t>join sang INF_CST</t>
        </is>
      </c>
      <c r="O87" s="581">
        <f>"COMMENT ON COLUMN PG_GOLD."&amp;G87&amp;"."&amp;H87&amp;" IS '"&amp;K87&amp;"';"</f>
        <v/>
      </c>
      <c r="P87" s="414" t="inlineStr">
        <is>
          <t>Map từ `cst.SCTR_CODE` vào cột đích `SCTR_CODE`.</t>
        </is>
      </c>
    </row>
    <row r="88" ht="14.25" customHeight="1" s="335">
      <c r="A88" s="442" t="inlineStr">
        <is>
          <t>PG_SILVER</t>
        </is>
      </c>
      <c r="B88" s="557" t="inlineStr">
        <is>
          <t>LOAN_AR_PRFL</t>
        </is>
      </c>
      <c r="C88" s="415" t="inlineStr">
        <is>
          <t>COVID19_RSTC_COMPL_DT</t>
        </is>
      </c>
      <c r="D88" s="415" t="inlineStr">
        <is>
          <t>1:1</t>
        </is>
      </c>
      <c r="E88" s="461" t="inlineStr">
        <is>
          <t>Interface Loan Arrangement</t>
        </is>
      </c>
      <c r="F88" s="415" t="inlineStr">
        <is>
          <t>Covid19 Restructuring Completion Date</t>
        </is>
      </c>
      <c r="G88" s="557" t="inlineStr">
        <is>
          <t>INTF_LOAN_AR</t>
        </is>
      </c>
      <c r="H88" s="415" t="inlineStr">
        <is>
          <t>COVID19_RSTC_COMPL_DT</t>
        </is>
      </c>
      <c r="I88" s="415" t="inlineStr">
        <is>
          <t>DATE</t>
        </is>
      </c>
      <c r="J88" s="415" t="n"/>
      <c r="K88" s="461" t="inlineStr">
        <is>
          <t>Ngày hết hạn cơ cấu</t>
        </is>
      </c>
      <c r="L88" s="586" t="inlineStr">
        <is>
          <t>Ngày hết hiệu lực cơ cấu Covid</t>
        </is>
      </c>
      <c r="M88" s="415" t="inlineStr">
        <is>
          <t>NGAY_HET_HAN_COCAU</t>
        </is>
      </c>
      <c r="N88" s="438" t="n"/>
      <c r="O88" s="461">
        <f>"COMMENT ON COLUMN PG_GOLD."&amp;G88&amp;"."&amp;H88&amp;" IS '"&amp;K88&amp;"';"</f>
        <v/>
      </c>
    </row>
    <row r="89" ht="14.25" customHeight="1" s="335">
      <c r="A89" s="456" t="inlineStr">
        <is>
          <t>PG_SILVER</t>
        </is>
      </c>
      <c r="B89" s="456" t="inlineStr">
        <is>
          <t>AR_AVY_SHD_ITM</t>
        </is>
      </c>
      <c r="C89" s="456" t="inlineStr">
        <is>
          <t>EFF_MAT_DT, PBL_AMT_TP</t>
        </is>
      </c>
      <c r="D89" s="456" t="inlineStr">
        <is>
          <t>shd.NGAY_THANH_TOAN_GOC_TIEPTHEO</t>
        </is>
      </c>
      <c r="E89" s="561" t="inlineStr">
        <is>
          <t>Interface Loan Arrangement</t>
        </is>
      </c>
      <c r="F89" s="456" t="inlineStr">
        <is>
          <t>Next Principal Payment Date</t>
        </is>
      </c>
      <c r="G89" s="570" t="inlineStr">
        <is>
          <t>INTF_LOAN_AR</t>
        </is>
      </c>
      <c r="H89" s="456" t="inlineStr">
        <is>
          <t>NGAY_THANH_TOAN_GOC_TIEPTHEO</t>
        </is>
      </c>
      <c r="I89" s="456" t="inlineStr">
        <is>
          <t>DATE</t>
        </is>
      </c>
      <c r="J89" s="456" t="n"/>
      <c r="K89" s="561" t="inlineStr">
        <is>
          <t>Ngày thanh toán gốc tiếp theo</t>
        </is>
      </c>
      <c r="L89" s="561" t="inlineStr">
        <is>
          <t>Ngày thanh toán gốc tiếp theo</t>
        </is>
      </c>
      <c r="M89" s="456" t="inlineStr">
        <is>
          <t>NGAY_THANH_TOAN_GOC_TIEPTHEO</t>
        </is>
      </c>
      <c r="N89" s="591" t="n"/>
      <c r="O89" s="561">
        <f>"COMMENT ON COLUMN PG_GOLD."&amp;G89&amp;"."&amp;H89&amp;" IS '"&amp;K89&amp;"';"</f>
        <v/>
      </c>
      <c r="P89" s="452" t="inlineStr">
        <is>
          <t>Lấy MIN(EFF_MAT_DT) của kỳ trả nợ gốc ('LD_PR','PD_PR') &gt;= ${ETL_DATE} từ AR_AVY_SHD_ITM.</t>
        </is>
      </c>
    </row>
    <row r="90" ht="14.25" customHeight="1" s="335">
      <c r="A90" s="456" t="inlineStr">
        <is>
          <t>PG_SILVER</t>
        </is>
      </c>
      <c r="B90" s="456" t="inlineStr">
        <is>
          <t>AR_AVY_SHD_ITM</t>
        </is>
      </c>
      <c r="C90" s="456" t="inlineStr">
        <is>
          <t>PBL_AMT_FCY, PBL_AMT_TP, EFF_MAT_DT</t>
        </is>
      </c>
      <c r="D90" s="456" t="inlineStr">
        <is>
          <t>NVL(shd.SO_TIEN_THUNO_GOC, 0)</t>
        </is>
      </c>
      <c r="E90" s="561" t="inlineStr">
        <is>
          <t>Interface Loan Arrangement</t>
        </is>
      </c>
      <c r="F90" s="456" t="inlineStr">
        <is>
          <t>Principal Collection Amount</t>
        </is>
      </c>
      <c r="G90" s="570" t="inlineStr">
        <is>
          <t>INTF_LOAN_AR</t>
        </is>
      </c>
      <c r="H90" s="456" t="inlineStr">
        <is>
          <t>SO_TIEN_THUNO_GOC</t>
        </is>
      </c>
      <c r="I90" s="456" t="inlineStr">
        <is>
          <t>NUMBER</t>
        </is>
      </c>
      <c r="J90" s="456" t="n">
        <v>25.5</v>
      </c>
      <c r="K90" s="561" t="inlineStr">
        <is>
          <t>Số tiền thu nợ gốc</t>
        </is>
      </c>
      <c r="L90" s="561" t="inlineStr">
        <is>
          <t>Số tiền thu nợ gốc</t>
        </is>
      </c>
      <c r="M90" s="456" t="inlineStr">
        <is>
          <t>SO_TIEN_THUNO_GOC</t>
        </is>
      </c>
      <c r="N90" s="591" t="n"/>
      <c r="O90" s="561">
        <f>"COMMENT ON COLUMN PG_GOLD."&amp;G90&amp;"."&amp;H90&amp;" IS '"&amp;K90&amp;"';"</f>
        <v/>
      </c>
      <c r="P90" s="452" t="inlineStr">
        <is>
          <t>Lấy SUM(PBL_AMT_FCY) của kỳ trả nợ gốc ('LD_PR','PD_PR') từ AR_AVY_SHD_ITM.</t>
        </is>
      </c>
    </row>
    <row r="91" ht="54.75" customHeight="1" s="335">
      <c r="A91" s="456" t="inlineStr">
        <is>
          <t>PG_SILVER</t>
        </is>
      </c>
      <c r="B91" s="456" t="inlineStr">
        <is>
          <t>AR_AVY_SHD_ITM</t>
        </is>
      </c>
      <c r="C91" s="456" t="inlineStr">
        <is>
          <t>EFF_MAT_DT, PBL_AMT_TP</t>
        </is>
      </c>
      <c r="D91" s="456" t="inlineStr">
        <is>
          <t>shd.NGAY_THANH_TOAN_LAI</t>
        </is>
      </c>
      <c r="E91" s="561" t="inlineStr">
        <is>
          <t>Interface Loan Arrangement</t>
        </is>
      </c>
      <c r="F91" s="456" t="inlineStr">
        <is>
          <t>Next Interest Payment Date</t>
        </is>
      </c>
      <c r="G91" s="570" t="inlineStr">
        <is>
          <t>INTF_LOAN_AR</t>
        </is>
      </c>
      <c r="H91" s="456" t="inlineStr">
        <is>
          <t>NGAY_THANH_TOAN_LAI</t>
        </is>
      </c>
      <c r="I91" s="456" t="inlineStr">
        <is>
          <t>DATE</t>
        </is>
      </c>
      <c r="J91" s="456" t="n"/>
      <c r="K91" s="561" t="inlineStr">
        <is>
          <t>Ngày thanh toán lãi</t>
        </is>
      </c>
      <c r="L91" s="561" t="inlineStr">
        <is>
          <t>Ngày thanh toán lãi tiếp theo</t>
        </is>
      </c>
      <c r="M91" s="456" t="inlineStr">
        <is>
          <t>NGAY_THANH_TOAN_LAI</t>
        </is>
      </c>
      <c r="N91" s="591" t="n"/>
      <c r="O91" s="561">
        <f>"COMMENT ON COLUMN PG_GOLD."&amp;G91&amp;"."&amp;H91&amp;" IS '"&amp;K91&amp;"';"</f>
        <v/>
      </c>
      <c r="P91" s="452" t="inlineStr">
        <is>
          <t>Lấy MIN(EFF_MAT_DT) của kỳ trả nợ lãi ('LD_IN','PD_IN') &gt;= ${ETL_DATE} từ AR_AVY_SHD_ITM.</t>
        </is>
      </c>
    </row>
    <row r="92" ht="54.75" customHeight="1" s="335">
      <c r="A92" s="579" t="inlineStr">
        <is>
          <t>PG_GOLD</t>
        </is>
      </c>
      <c r="B92" s="579" t="inlineStr">
        <is>
          <t>INF_CST</t>
        </is>
      </c>
      <c r="C92" s="579" t="inlineStr">
        <is>
          <t>IDY_LV1_CL_CODE</t>
        </is>
      </c>
      <c r="D92" s="499" t="inlineStr">
        <is>
          <t>cst.IDY_LV1_CL_CODE</t>
        </is>
      </c>
      <c r="E92" s="581" t="inlineStr">
        <is>
          <t>Interface Loan Arrangement</t>
        </is>
      </c>
      <c r="F92" s="579" t="inlineStr">
        <is>
          <t>Industry LV1 Classification Code</t>
        </is>
      </c>
      <c r="G92" s="580" t="inlineStr">
        <is>
          <t>INTF_LOAN_AR</t>
        </is>
      </c>
      <c r="H92" s="499" t="inlineStr">
        <is>
          <t>IDY_LV1_CL_CODE</t>
        </is>
      </c>
      <c r="I92" s="579" t="inlineStr">
        <is>
          <t>VARCHAR2</t>
        </is>
      </c>
      <c r="J92" s="579" t="n">
        <v>20</v>
      </c>
      <c r="K92" s="581" t="inlineStr">
        <is>
          <t>Mã ngành kinh tế cha</t>
        </is>
      </c>
      <c r="L92" s="581" t="n"/>
      <c r="M92" s="579" t="inlineStr">
        <is>
          <t>MA_NGANH_KT_CHA</t>
        </is>
      </c>
      <c r="N92" s="589" t="inlineStr">
        <is>
          <t>join sang INF_CST</t>
        </is>
      </c>
      <c r="O92" s="581">
        <f>"COMMENT ON COLUMN PG_GOLD."&amp;G92&amp;"."&amp;H92&amp;" IS '"&amp;K92&amp;"';"</f>
        <v/>
      </c>
      <c r="P92" s="414" t="inlineStr">
        <is>
          <t>Map từ `cst.IDY_LV1_CL_CODE` vào cột đích `IDY_LV1_CL_CODE`.</t>
        </is>
      </c>
    </row>
    <row r="93" ht="42" customHeight="1" s="335">
      <c r="A93" s="579" t="inlineStr">
        <is>
          <t>PG_GOLD</t>
        </is>
      </c>
      <c r="B93" s="579" t="inlineStr">
        <is>
          <t>INF_CST</t>
        </is>
      </c>
      <c r="C93" s="579" t="inlineStr">
        <is>
          <t>IDY_LV2_CL_CODE</t>
        </is>
      </c>
      <c r="D93" s="499" t="inlineStr">
        <is>
          <t>cst.IDY_LV2_CL_CODE</t>
        </is>
      </c>
      <c r="E93" s="581" t="inlineStr">
        <is>
          <t>Interface Loan Arrangement</t>
        </is>
      </c>
      <c r="F93" s="579" t="inlineStr">
        <is>
          <t>Industry LV2 Classification Code</t>
        </is>
      </c>
      <c r="G93" s="580" t="inlineStr">
        <is>
          <t>INTF_LOAN_AR</t>
        </is>
      </c>
      <c r="H93" s="499" t="inlineStr">
        <is>
          <t>IDY_LV2_CL_CODE</t>
        </is>
      </c>
      <c r="I93" s="579" t="inlineStr">
        <is>
          <t>VARCHAR2</t>
        </is>
      </c>
      <c r="J93" s="579" t="n">
        <v>20</v>
      </c>
      <c r="K93" s="581" t="inlineStr">
        <is>
          <t>Mã ngành kinh tế con</t>
        </is>
      </c>
      <c r="L93" s="581" t="n"/>
      <c r="M93" s="579" t="inlineStr">
        <is>
          <t>MA_NGANH_KT_CON</t>
        </is>
      </c>
      <c r="N93" s="589" t="inlineStr">
        <is>
          <t>join sang INF_CST</t>
        </is>
      </c>
      <c r="O93" s="581">
        <f>"COMMENT ON COLUMN PG_GOLD."&amp;G93&amp;"."&amp;H93&amp;" IS '"&amp;K93&amp;"';"</f>
        <v/>
      </c>
      <c r="P93" s="414" t="inlineStr">
        <is>
          <t>Map từ `cst.IDY_LV2_CL_CODE` vào cột đích `IDY_LV2_CL_CODE`.</t>
        </is>
      </c>
    </row>
    <row r="94" ht="42" customHeight="1" s="335">
      <c r="A94" s="415" t="inlineStr">
        <is>
          <t>PG_SILVER</t>
        </is>
      </c>
      <c r="B94" s="415" t="inlineStr">
        <is>
          <t>AR_BAL</t>
        </is>
      </c>
      <c r="C94" s="415" t="inlineStr">
        <is>
          <t>MUD_CODE, GL_ITM_CODE, RCVB_AMT_LCY</t>
        </is>
      </c>
      <c r="D94" s="461" t="inlineStr">
        <is>
          <t>CASE WHEN a.MUD_CODE = 'LD' AND a.GL_ITM_CODE LIKE '394%' THEN ABS(a.RCVB_AMT_LCY) ELSE 0 END</t>
        </is>
      </c>
      <c r="E94" s="461" t="inlineStr">
        <is>
          <t>Interface Loan Arrangement</t>
        </is>
      </c>
      <c r="F94" s="433" t="inlineStr">
        <is>
          <t>Total Accrued Interest Due Amount</t>
        </is>
      </c>
      <c r="G94" s="557" t="inlineStr">
        <is>
          <t>INTF_LOAN_AR</t>
        </is>
      </c>
      <c r="H94" s="575" t="inlineStr">
        <is>
          <t>TOT_ACR_INT_DUE_AMT</t>
        </is>
      </c>
      <c r="I94" s="415" t="inlineStr">
        <is>
          <t>NUMBER</t>
        </is>
      </c>
      <c r="J94" s="415" t="n">
        <v>25.5</v>
      </c>
      <c r="K94" s="461" t="inlineStr">
        <is>
          <t>Lãi dự thu trong hạn</t>
        </is>
      </c>
      <c r="L94" s="461" t="inlineStr">
        <is>
          <t>Lãi dự thu trong hạn</t>
        </is>
      </c>
      <c r="M94" s="415" t="inlineStr">
        <is>
          <t>DUTHU_TRONG_HAN</t>
        </is>
      </c>
      <c r="N94" s="438" t="n"/>
      <c r="O94" s="461">
        <f>"COMMENT ON COLUMN PG_GOLD."&amp;G94&amp;"."&amp;H94&amp;" IS '"&amp;K94&amp;"';"</f>
        <v/>
      </c>
    </row>
    <row r="95" ht="14.25" customHeight="1" s="335">
      <c r="A95" s="579" t="inlineStr">
        <is>
          <t>PG_SILVER</t>
        </is>
      </c>
      <c r="B95" s="579" t="inlineStr">
        <is>
          <t>AR_BAL</t>
        </is>
      </c>
      <c r="C95" s="579" t="inlineStr">
        <is>
          <t>MUD_CODE, GL_ITM_CODE, RCVB_AMT_LCY</t>
        </is>
      </c>
      <c r="D95" s="581" t="inlineStr">
        <is>
          <t>CASE WHEN a.MUD_CODE = 'LD' AND a.GL_ITM_CODE LIKE '394%' THEN ABS(a.RCVB_AMT_LCY) ELSE 0 END</t>
        </is>
      </c>
      <c r="E95" s="581" t="inlineStr">
        <is>
          <t>Interface Loan Arrangement</t>
        </is>
      </c>
      <c r="F95" s="579" t="inlineStr">
        <is>
          <t>Next Accrued Interest Amount</t>
        </is>
      </c>
      <c r="G95" s="580" t="inlineStr">
        <is>
          <t>INTF_LOAN_AR</t>
        </is>
      </c>
      <c r="H95" s="598" t="inlineStr">
        <is>
          <t>NXT_ACR_INT_AMT</t>
        </is>
      </c>
      <c r="I95" s="579" t="inlineStr">
        <is>
          <t>NUMBER</t>
        </is>
      </c>
      <c r="J95" s="579" t="n">
        <v>25.5</v>
      </c>
      <c r="K95" s="581" t="inlineStr">
        <is>
          <t>Lãi dự thu tiếp theo</t>
        </is>
      </c>
      <c r="L95" s="599" t="inlineStr">
        <is>
          <t>Lãi dự thu kỳ tiếp theo</t>
        </is>
      </c>
      <c r="M95" s="579" t="inlineStr">
        <is>
          <t>LAI_DTHU_TIEPTHEO</t>
        </is>
      </c>
      <c r="N95" s="589" t="inlineStr">
        <is>
          <t>Rule giống DUTHU_TRONG_HAN</t>
        </is>
      </c>
      <c r="O95" s="581">
        <f>"COMMENT ON COLUMN PG_GOLD."&amp;G95&amp;"."&amp;H95&amp;" IS '"&amp;K95&amp;"';"</f>
        <v/>
      </c>
      <c r="P95" s="414" t="inlineStr">
        <is>
          <t>Đặt tên cột đích `NXT_ACR_INT_AMT`.</t>
        </is>
      </c>
    </row>
    <row r="96" ht="14.25" customHeight="1" s="335">
      <c r="A96" s="456" t="inlineStr">
        <is>
          <t>PG_SILVER</t>
        </is>
      </c>
      <c r="B96" s="456" t="inlineStr">
        <is>
          <t>AST_AR_INT_SMY</t>
        </is>
      </c>
      <c r="C96" s="456" t="inlineStr">
        <is>
          <t>TOT_ACR_INT_AMT_FCY, TOT_INT_PAID_AMT_FCY</t>
        </is>
      </c>
      <c r="D96" s="456" t="inlineStr">
        <is>
          <t>GREATEST(NVL(k.TOT_ACR_INT_AMT_FCY, 0) - NVL(k.TOT_INT_PAID_AMT_FCY, 0), 0)</t>
        </is>
      </c>
      <c r="E96" s="561" t="inlineStr">
        <is>
          <t>Interface Loan Arrangement</t>
        </is>
      </c>
      <c r="F96" s="456" t="inlineStr">
        <is>
          <t>Remaining Expected Accrued Interest</t>
        </is>
      </c>
      <c r="G96" s="570" t="inlineStr">
        <is>
          <t>INTF_LOAN_AR</t>
        </is>
      </c>
      <c r="H96" s="456" t="inlineStr">
        <is>
          <t>DTHU_CONLAI_DUKIEN_KYGANNHAT</t>
        </is>
      </c>
      <c r="I96" s="456" t="inlineStr">
        <is>
          <t>NUMBER</t>
        </is>
      </c>
      <c r="J96" s="456" t="n">
        <v>25.5</v>
      </c>
      <c r="K96" s="561" t="inlineStr">
        <is>
          <t>Dự thu còn lại dự kiến kỳ gần nhất</t>
        </is>
      </c>
      <c r="L96" s="561" t="inlineStr">
        <is>
          <t>Dự thu còn lại dự kiến kỳ gần nhất</t>
        </is>
      </c>
      <c r="M96" s="456" t="inlineStr">
        <is>
          <t>DTHU_CONLAI_DUKIEN_KYGANNHAT</t>
        </is>
      </c>
      <c r="N96" s="591" t="n"/>
      <c r="O96" s="561">
        <f>"COMMENT ON COLUMN PG_GOLD."&amp;G96&amp;"."&amp;H96&amp;" IS '"&amp;K96&amp;"';"</f>
        <v/>
      </c>
      <c r="P96" s="452" t="inlineStr">
        <is>
          <t>Tính phần lãi dự thu còn lại = GREATEST(TOT_ACR_INT_AMT_FCY - TOT_INT_PAID_AMT_FCY, 0).</t>
        </is>
      </c>
    </row>
    <row r="97" ht="14.25" customHeight="1" s="335">
      <c r="A97" s="442" t="inlineStr">
        <is>
          <t>PG_SILVER</t>
        </is>
      </c>
      <c r="B97" s="415" t="inlineStr">
        <is>
          <t>OU</t>
        </is>
      </c>
      <c r="C97" s="415" t="inlineStr">
        <is>
          <t>OU_NM</t>
        </is>
      </c>
      <c r="D97" s="415" t="inlineStr">
        <is>
          <t>1:1</t>
        </is>
      </c>
      <c r="E97" s="461" t="inlineStr">
        <is>
          <t>Interface Loan Arrangement</t>
        </is>
      </c>
      <c r="F97" s="433" t="inlineStr">
        <is>
          <t>Organization Unit Name</t>
        </is>
      </c>
      <c r="G97" s="557" t="inlineStr">
        <is>
          <t>INTF_LOAN_AR</t>
        </is>
      </c>
      <c r="H97" s="415" t="inlineStr">
        <is>
          <t>OU_NM</t>
        </is>
      </c>
      <c r="I97" s="415" t="inlineStr">
        <is>
          <t>VARCHAR2</t>
        </is>
      </c>
      <c r="J97" s="459" t="n">
        <v>300</v>
      </c>
      <c r="K97" s="461" t="inlineStr">
        <is>
          <t>Tên chi nhánh</t>
        </is>
      </c>
      <c r="L97" s="461" t="inlineStr">
        <is>
          <t>Tên chi nhánh</t>
        </is>
      </c>
      <c r="M97" s="415" t="inlineStr">
        <is>
          <t>COMPANY_NAME</t>
        </is>
      </c>
      <c r="N97" s="438" t="n"/>
      <c r="O97" s="461">
        <f>"COMMENT ON COLUMN PG_GOLD."&amp;G97&amp;"."&amp;H97&amp;" IS '"&amp;K97&amp;"';"</f>
        <v/>
      </c>
    </row>
    <row r="98" ht="14.25" customHeight="1" s="335">
      <c r="A98" s="415" t="inlineStr">
        <is>
          <t>PG_SILVER</t>
        </is>
      </c>
      <c r="B98" s="600" t="inlineStr">
        <is>
          <t>AR_DLQ_SMY</t>
        </is>
      </c>
      <c r="C98" s="600" t="inlineStr">
        <is>
          <t>ADDITION_DYS_IN_ARS</t>
        </is>
      </c>
      <c r="D98" s="600" t="inlineStr">
        <is>
          <t>NVL(e1.SNQH_CHUYENDOI, 0)</t>
        </is>
      </c>
      <c r="E98" s="461" t="inlineStr">
        <is>
          <t>Interface Loan Arrangement</t>
        </is>
      </c>
      <c r="F98" s="433" t="inlineStr">
        <is>
          <t>Addition days in arrears</t>
        </is>
      </c>
      <c r="G98" s="557" t="inlineStr">
        <is>
          <t>INTF_LOAN_AR</t>
        </is>
      </c>
      <c r="H98" s="415" t="inlineStr">
        <is>
          <t>ADDITION_DYS_IN_ARS</t>
        </is>
      </c>
      <c r="I98" s="415" t="inlineStr">
        <is>
          <t>NUMBER</t>
        </is>
      </c>
      <c r="J98" s="415" t="n">
        <v>22</v>
      </c>
      <c r="K98" s="461" t="inlineStr">
        <is>
          <t>Số ngày quá hạn chuyển đổi</t>
        </is>
      </c>
      <c r="L98" s="569" t="inlineStr">
        <is>
          <t>Số ngày quá hạn chuyển đổi</t>
        </is>
      </c>
      <c r="M98" s="415" t="inlineStr">
        <is>
          <t>SNQH_CHUYENDOI</t>
        </is>
      </c>
      <c r="N98" s="438" t="n"/>
      <c r="O98" s="461">
        <f>"COMMENT ON COLUMN PG_GOLD."&amp;G98&amp;"."&amp;H98&amp;" IS '"&amp;K98&amp;"';"</f>
        <v/>
      </c>
    </row>
    <row r="99" ht="14.25" customHeight="1" s="335">
      <c r="A99" s="456" t="inlineStr">
        <is>
          <t>PG_SILVER</t>
        </is>
      </c>
      <c r="B99" s="456" t="inlineStr">
        <is>
          <t>LOAN_AR_PRFL</t>
        </is>
      </c>
      <c r="C99" s="456" t="inlineStr">
        <is>
          <t>BDS_TT11</t>
        </is>
      </c>
      <c r="D99" s="456" t="inlineStr">
        <is>
          <t>1:1</t>
        </is>
      </c>
      <c r="E99" s="561" t="inlineStr">
        <is>
          <t>Interface Loan Arrangement</t>
        </is>
      </c>
      <c r="F99" s="456" t="inlineStr">
        <is>
          <t>Real Estate Circular 11 Code</t>
        </is>
      </c>
      <c r="G99" s="570" t="inlineStr">
        <is>
          <t>INTF_LOAN_AR</t>
        </is>
      </c>
      <c r="H99" s="456" t="inlineStr">
        <is>
          <t>BDS_TT11</t>
        </is>
      </c>
      <c r="I99" s="456" t="inlineStr">
        <is>
          <t>VARCHAR2</t>
        </is>
      </c>
      <c r="J99" s="456" t="n">
        <v>20</v>
      </c>
      <c r="K99" s="561" t="inlineStr">
        <is>
          <t>Phân loại bất động sản theo Thông tư 11</t>
        </is>
      </c>
      <c r="L99" s="561" t="inlineStr">
        <is>
          <t>Phân loại BĐS theo Thông tư 11</t>
        </is>
      </c>
      <c r="M99" s="456" t="inlineStr">
        <is>
          <t>BDS_TT11</t>
        </is>
      </c>
      <c r="N99" s="591" t="n"/>
      <c r="O99" s="561">
        <f>"COMMENT ON COLUMN PG_GOLD."&amp;G99&amp;"."&amp;H99&amp;" IS '"&amp;K99&amp;"';"</f>
        <v/>
      </c>
      <c r="P99" s="452" t="inlineStr">
        <is>
          <t>Map 1:1 từ LOAN_AR_PRFL.BDS_TT11 (c.BDS_TT11).</t>
        </is>
      </c>
    </row>
    <row r="100" ht="41.25" customHeight="1" s="335">
      <c r="A100" s="442" t="inlineStr">
        <is>
          <t>PG_SILVER</t>
        </is>
      </c>
      <c r="B100" s="557" t="inlineStr">
        <is>
          <t>AR_BAL</t>
        </is>
      </c>
      <c r="C100" s="415" t="inlineStr">
        <is>
          <t>GL_ITM_CODE</t>
        </is>
      </c>
      <c r="D100" s="415" t="inlineStr">
        <is>
          <t>1:1</t>
        </is>
      </c>
      <c r="E100" s="461" t="inlineStr">
        <is>
          <t>Interface Loan Arrangement</t>
        </is>
      </c>
      <c r="F100" s="415" t="inlineStr">
        <is>
          <t>General Ledger Item Code</t>
        </is>
      </c>
      <c r="G100" s="557" t="inlineStr">
        <is>
          <t>INTF_LOAN_AR</t>
        </is>
      </c>
      <c r="H100" s="415" t="inlineStr">
        <is>
          <t>GL_ITM_CODE</t>
        </is>
      </c>
      <c r="I100" s="415" t="inlineStr">
        <is>
          <t>VARCHAR2</t>
        </is>
      </c>
      <c r="J100" s="459" t="n">
        <v>20</v>
      </c>
      <c r="K100" s="461" t="inlineStr">
        <is>
          <t>Mã hạch toán theo SBV</t>
        </is>
      </c>
      <c r="L100" s="461" t="inlineStr">
        <is>
          <t>Số tài khoản SBV</t>
        </is>
      </c>
      <c r="M100" s="415" t="inlineStr">
        <is>
          <t>SBV_CODE</t>
        </is>
      </c>
      <c r="N100" s="438" t="n"/>
      <c r="O100" s="461">
        <f>"COMMENT ON COLUMN PG_GOLD."&amp;G100&amp;"."&amp;H100&amp;" IS '"&amp;K100&amp;"';"</f>
        <v/>
      </c>
    </row>
    <row r="101" ht="54.75" customHeight="1" s="335">
      <c r="A101" s="579" t="inlineStr">
        <is>
          <t>PG_GOLD</t>
        </is>
      </c>
      <c r="B101" s="579" t="inlineStr">
        <is>
          <t>INF_CST</t>
        </is>
      </c>
      <c r="C101" s="579" t="inlineStr">
        <is>
          <t>CST_GRP_CODE</t>
        </is>
      </c>
      <c r="D101" s="499" t="inlineStr">
        <is>
          <t>CASE WHEN cst.CST_GRP_CODE LIKE '%INDIV%' THEN 'INDIV' ELSE 'CORP' END</t>
        </is>
      </c>
      <c r="E101" s="581" t="inlineStr">
        <is>
          <t>Interface Loan Arrangement</t>
        </is>
      </c>
      <c r="F101" s="579" t="inlineStr">
        <is>
          <t>Customer Type Code</t>
        </is>
      </c>
      <c r="G101" s="580" t="inlineStr">
        <is>
          <t>INTF_LOAN_AR</t>
        </is>
      </c>
      <c r="H101" s="499" t="inlineStr">
        <is>
          <t>CST_TP_CODE</t>
        </is>
      </c>
      <c r="I101" s="579" t="inlineStr">
        <is>
          <t>VARCHAR2</t>
        </is>
      </c>
      <c r="J101" s="579" t="n">
        <v>20</v>
      </c>
      <c r="K101" s="581" t="inlineStr">
        <is>
          <t>Loại khách hàng (KHCN/KHDN)</t>
        </is>
      </c>
      <c r="L101" s="581" t="n"/>
      <c r="M101" s="579" t="inlineStr">
        <is>
          <t>CUSTOMER_TYPE</t>
        </is>
      </c>
      <c r="N101" s="589" t="inlineStr">
        <is>
          <t>join sang INF_CST</t>
        </is>
      </c>
      <c r="O101" s="581">
        <f>"COMMENT ON COLUMN PG_GOLD."&amp;G101&amp;"."&amp;H101&amp;" IS '"&amp;K101&amp;"';"</f>
        <v/>
      </c>
      <c r="P101" s="414" t="inlineStr">
        <is>
          <t>Map vào cột đích `CST_TP_CODE`.</t>
        </is>
      </c>
    </row>
    <row r="102" ht="14.25" customHeight="1" s="335">
      <c r="A102" s="334" t="inlineStr">
        <is>
          <t>PG_GOLD</t>
        </is>
      </c>
      <c r="B102" s="334" t="inlineStr">
        <is>
          <t>INF_CST</t>
        </is>
      </c>
      <c r="C102" s="334" t="inlineStr">
        <is>
          <t>CST_NM</t>
        </is>
      </c>
      <c r="D102" s="439" t="inlineStr">
        <is>
          <t>cst.CST_NM</t>
        </is>
      </c>
      <c r="E102" s="453" t="inlineStr">
        <is>
          <t>Interface Loan Arrangement</t>
        </is>
      </c>
      <c r="F102" s="334" t="inlineStr">
        <is>
          <t>Customer Name</t>
        </is>
      </c>
      <c r="G102" s="334" t="inlineStr">
        <is>
          <t>INTF_LOAN_AR</t>
        </is>
      </c>
      <c r="H102" s="439" t="inlineStr">
        <is>
          <t>CST_NM</t>
        </is>
      </c>
      <c r="I102" s="334" t="inlineStr">
        <is>
          <t>VARCHAR2</t>
        </is>
      </c>
      <c r="J102" s="334" t="n">
        <v>255</v>
      </c>
      <c r="K102" s="453" t="inlineStr">
        <is>
          <t>Tên đầy đủ của khách hàng</t>
        </is>
      </c>
      <c r="L102" s="453" t="inlineStr">
        <is>
          <t>Tên khách hàng</t>
        </is>
      </c>
      <c r="M102" s="334" t="inlineStr">
        <is>
          <t>TEN_KHACHHANG</t>
        </is>
      </c>
      <c r="N102" s="334" t="inlineStr">
        <is>
          <t>join sang INF_CST</t>
        </is>
      </c>
      <c r="O102" s="453">
        <f>"COMMENT ON COLUMN PG_GOLD."&amp;G102&amp;"."&amp;H102&amp;" IS '"&amp;K102&amp;"';"</f>
        <v/>
      </c>
      <c r="P102" s="414" t="inlineStr">
        <is>
          <t>Tách riêng dòng cột đích `CST_NM` lấy từ `cst.CST_NM`.</t>
        </is>
      </c>
    </row>
    <row r="103" ht="14.25" customHeight="1" s="335"/>
    <row r="104" ht="14.25" customHeight="1" s="335"/>
    <row r="105" ht="14.25" customHeight="1" s="335"/>
    <row r="106" ht="14.25" customHeight="1" s="335"/>
    <row r="107" ht="14.25" customHeight="1" s="335"/>
    <row r="108" ht="14.25" customHeight="1" s="335"/>
    <row r="109" ht="14.25" customHeight="1" s="335"/>
    <row r="110" ht="14.25" customHeight="1" s="335"/>
    <row r="111" ht="14.25" customHeight="1" s="335"/>
    <row r="112" ht="14.25" customHeight="1" s="335"/>
    <row r="113" ht="14.25" customHeight="1" s="335"/>
    <row r="114" ht="14.25" customHeight="1" s="335"/>
    <row r="115" ht="14.25" customHeight="1" s="335"/>
    <row r="116" ht="14.25" customHeight="1" s="335"/>
    <row r="117" ht="14.25" customHeight="1" s="335"/>
    <row r="118" ht="14.25" customHeight="1" s="335"/>
    <row r="119" ht="14.25" customHeight="1" s="335"/>
    <row r="120" ht="14.25" customHeight="1" s="335"/>
    <row r="121" ht="14.25" customHeight="1" s="335"/>
    <row r="122" ht="14.25" customHeight="1" s="335"/>
    <row r="123" ht="14.25" customHeight="1" s="335"/>
    <row r="124" ht="14.25" customHeight="1" s="335"/>
    <row r="125" ht="14.25" customHeight="1" s="335"/>
    <row r="126" ht="14.25" customHeight="1" s="335"/>
    <row r="127" ht="14.25" customHeight="1" s="335"/>
    <row r="128" ht="14.25" customHeight="1" s="335"/>
    <row r="129" ht="14.25" customHeight="1" s="335"/>
    <row r="130" ht="14.25" customHeight="1" s="335"/>
    <row r="131" ht="14.25" customHeight="1" s="335"/>
    <row r="132" ht="14.25" customHeight="1" s="335"/>
    <row r="133" ht="14.25" customHeight="1" s="335"/>
    <row r="134" ht="14.25" customHeight="1" s="335"/>
    <row r="135" ht="14.25" customHeight="1" s="335"/>
    <row r="136" ht="14.25" customHeight="1" s="335"/>
    <row r="137" ht="14.25" customHeight="1" s="335"/>
    <row r="138" ht="14.25" customHeight="1" s="335"/>
    <row r="139" ht="14.25" customHeight="1" s="335"/>
    <row r="140" ht="14.25" customHeight="1" s="335"/>
    <row r="141" ht="14.25" customHeight="1" s="335"/>
    <row r="142" ht="14.25" customHeight="1" s="335"/>
    <row r="143" ht="14.25" customHeight="1" s="335"/>
    <row r="144" ht="14.25" customHeight="1" s="335"/>
    <row r="145" ht="14.25" customHeight="1" s="335"/>
    <row r="146" ht="14.25" customHeight="1" s="335"/>
    <row r="147" ht="14.25" customHeight="1" s="335"/>
    <row r="148" ht="14.25" customHeight="1" s="335"/>
    <row r="149" ht="14.25" customHeight="1" s="335"/>
    <row r="150" ht="14.25" customHeight="1" s="335"/>
    <row r="151" ht="14.25" customHeight="1" s="335"/>
    <row r="152" ht="14.25" customHeight="1" s="335"/>
    <row r="153" ht="14.25" customHeight="1" s="335"/>
    <row r="154" ht="14.25" customHeight="1" s="335"/>
    <row r="155" ht="14.25" customHeight="1" s="335"/>
    <row r="156" ht="14.25" customHeight="1" s="335"/>
    <row r="157" ht="14.25" customHeight="1" s="335"/>
    <row r="158" ht="14.25" customHeight="1" s="335"/>
    <row r="159" ht="14.25" customHeight="1" s="335"/>
    <row r="160" ht="14.25" customHeight="1" s="335"/>
    <row r="161" ht="14.25" customHeight="1" s="335"/>
    <row r="162" ht="14.25" customHeight="1" s="335"/>
    <row r="163" ht="14.25" customHeight="1" s="335"/>
    <row r="164" ht="14.25" customHeight="1" s="335"/>
    <row r="165" ht="14.25" customHeight="1" s="335"/>
    <row r="166" ht="14.25" customHeight="1" s="335"/>
    <row r="167" ht="14.25" customHeight="1" s="335"/>
    <row r="168" ht="14.25" customHeight="1" s="335"/>
    <row r="169" ht="14.25" customHeight="1" s="335"/>
    <row r="170" ht="14.25" customHeight="1" s="335"/>
    <row r="171" ht="14.25" customHeight="1" s="335"/>
    <row r="172" ht="14.25" customHeight="1" s="335"/>
    <row r="173" ht="14.25" customHeight="1" s="335"/>
    <row r="174" ht="14.25" customHeight="1" s="335"/>
    <row r="175" ht="14.25" customHeight="1" s="335"/>
    <row r="176" ht="14.25" customHeight="1" s="335"/>
    <row r="177" ht="14.25" customHeight="1" s="335"/>
    <row r="178" ht="14.25" customHeight="1" s="335"/>
    <row r="179" ht="14.25" customHeight="1" s="335"/>
    <row r="180" ht="14.25" customHeight="1" s="335"/>
    <row r="181" ht="14.25" customHeight="1" s="335"/>
    <row r="182" ht="14.25" customHeight="1" s="335"/>
    <row r="183" ht="14.25" customHeight="1" s="335"/>
    <row r="184" ht="14.25" customHeight="1" s="335"/>
    <row r="185" ht="14.25" customHeight="1" s="335"/>
    <row r="186" ht="14.25" customHeight="1" s="335"/>
    <row r="187" ht="14.25" customHeight="1" s="335"/>
    <row r="188" ht="14.25" customHeight="1" s="335"/>
    <row r="189" ht="14.25" customHeight="1" s="335"/>
    <row r="190" ht="14.25" customHeight="1" s="335"/>
    <row r="191" ht="14.25" customHeight="1" s="335"/>
    <row r="192" ht="14.25" customHeight="1" s="335"/>
    <row r="193" ht="14.25" customHeight="1" s="335"/>
    <row r="194" ht="14.25" customHeight="1" s="335"/>
    <row r="195" ht="14.25" customHeight="1" s="335"/>
    <row r="196" ht="14.25" customHeight="1" s="335"/>
    <row r="197" ht="14.25" customHeight="1" s="335"/>
    <row r="198" ht="14.25" customHeight="1" s="335"/>
    <row r="199" ht="14.25" customHeight="1" s="335"/>
    <row r="200" ht="14.25" customHeight="1" s="335"/>
    <row r="201" ht="14.25" customHeight="1" s="335"/>
    <row r="202" ht="14.25" customHeight="1" s="335"/>
    <row r="203" ht="14.25" customHeight="1" s="335"/>
    <row r="204" ht="14.25" customHeight="1" s="335"/>
    <row r="205" ht="14.25" customHeight="1" s="335"/>
    <row r="206" ht="14.25" customHeight="1" s="335"/>
    <row r="207" ht="14.25" customHeight="1" s="335"/>
    <row r="208" ht="14.25" customHeight="1" s="335"/>
    <row r="209" ht="14.25" customHeight="1" s="335"/>
    <row r="210" ht="14.25" customHeight="1" s="335"/>
    <row r="211" ht="14.25" customHeight="1" s="335"/>
    <row r="212" ht="14.25" customHeight="1" s="335"/>
    <row r="213" ht="14.25" customHeight="1" s="335"/>
    <row r="214" ht="14.25" customHeight="1" s="335"/>
    <row r="215" ht="14.25" customHeight="1" s="335"/>
    <row r="216" ht="14.25" customHeight="1" s="335"/>
    <row r="217" ht="14.25" customHeight="1" s="335"/>
    <row r="218" ht="14.25" customHeight="1" s="335"/>
    <row r="219" ht="14.25" customHeight="1" s="335"/>
    <row r="220" ht="14.25" customHeight="1" s="335"/>
    <row r="221" ht="14.25" customHeight="1" s="335"/>
    <row r="222" ht="14.25" customHeight="1" s="335"/>
    <row r="223" ht="14.25" customHeight="1" s="335"/>
    <row r="224" ht="14.25" customHeight="1" s="335"/>
    <row r="225" ht="14.25" customHeight="1" s="335"/>
    <row r="226" ht="14.25" customHeight="1" s="335"/>
    <row r="227" ht="14.25" customHeight="1" s="335"/>
    <row r="228" ht="14.25" customHeight="1" s="335"/>
    <row r="229" ht="14.25" customHeight="1" s="335"/>
    <row r="230" ht="14.25" customHeight="1" s="335"/>
    <row r="231" ht="14.25" customHeight="1" s="335"/>
    <row r="232" ht="14.25" customHeight="1" s="335"/>
    <row r="233" ht="14.25" customHeight="1" s="335"/>
    <row r="234" ht="14.25" customHeight="1" s="335"/>
    <row r="235" ht="14.25" customHeight="1" s="335"/>
    <row r="236" ht="14.25" customHeight="1" s="335"/>
    <row r="237" ht="14.25" customHeight="1" s="335"/>
    <row r="238" ht="14.25" customHeight="1" s="335"/>
    <row r="239" ht="14.25" customHeight="1" s="335"/>
    <row r="240" ht="14.25" customHeight="1" s="335"/>
    <row r="241" ht="14.25" customHeight="1" s="335"/>
    <row r="242" ht="14.25" customHeight="1" s="335"/>
    <row r="243" ht="14.25" customHeight="1" s="335"/>
    <row r="244" ht="14.25" customHeight="1" s="335"/>
    <row r="245" ht="14.25" customHeight="1" s="335"/>
    <row r="246" ht="14.25" customHeight="1" s="335"/>
    <row r="247" ht="14.25" customHeight="1" s="335"/>
    <row r="248" ht="14.25" customHeight="1" s="335"/>
    <row r="249" ht="14.25" customHeight="1" s="335"/>
    <row r="250" ht="14.25" customHeight="1" s="335"/>
    <row r="251" ht="14.25" customHeight="1" s="335"/>
    <row r="252" ht="14.25" customHeight="1" s="335"/>
    <row r="253" ht="14.25" customHeight="1" s="335"/>
    <row r="254" ht="14.25" customHeight="1" s="335"/>
    <row r="255" ht="14.25" customHeight="1" s="335"/>
    <row r="256" ht="14.25" customHeight="1" s="335"/>
    <row r="257" ht="14.25" customHeight="1" s="335"/>
    <row r="258" ht="14.25" customHeight="1" s="335"/>
    <row r="259" ht="14.25" customHeight="1" s="335"/>
    <row r="260" ht="14.25" customHeight="1" s="335"/>
    <row r="261" ht="14.25" customHeight="1" s="335"/>
    <row r="262" ht="14.25" customHeight="1" s="335"/>
    <row r="263" ht="14.25" customHeight="1" s="335"/>
    <row r="264" ht="14.25" customHeight="1" s="335"/>
    <row r="265" ht="14.25" customHeight="1" s="335"/>
    <row r="266" ht="14.25" customHeight="1" s="335"/>
    <row r="267" ht="14.25" customHeight="1" s="335"/>
    <row r="268" ht="14.25" customHeight="1" s="335"/>
    <row r="269" ht="14.25" customHeight="1" s="335"/>
    <row r="270" ht="14.25" customHeight="1" s="335"/>
    <row r="271" ht="14.25" customHeight="1" s="335"/>
    <row r="272" ht="14.25" customHeight="1" s="335"/>
    <row r="273" ht="14.25" customHeight="1" s="335"/>
    <row r="274" ht="14.25" customHeight="1" s="335"/>
    <row r="275" ht="14.25" customHeight="1" s="335"/>
    <row r="276" ht="14.25" customHeight="1" s="335"/>
    <row r="277" ht="14.25" customHeight="1" s="335"/>
    <row r="278" ht="14.25" customHeight="1" s="335"/>
    <row r="279" ht="14.25" customHeight="1" s="335"/>
    <row r="280" ht="14.25" customHeight="1" s="335"/>
    <row r="281" ht="14.25" customHeight="1" s="335"/>
    <row r="282" ht="14.25" customHeight="1" s="335"/>
    <row r="283" ht="14.25" customHeight="1" s="335"/>
    <row r="284" ht="14.25" customHeight="1" s="335"/>
    <row r="285" ht="14.25" customHeight="1" s="335"/>
    <row r="286" ht="14.25" customHeight="1" s="335"/>
    <row r="287" ht="14.25" customHeight="1" s="335"/>
    <row r="288" ht="14.25" customHeight="1" s="335"/>
    <row r="289" ht="14.25" customHeight="1" s="335"/>
    <row r="290" ht="14.25" customHeight="1" s="335"/>
    <row r="291" ht="14.25" customHeight="1" s="335"/>
    <row r="292" ht="14.25" customHeight="1" s="335"/>
    <row r="293" ht="14.25" customHeight="1" s="335"/>
    <row r="294" ht="14.25" customHeight="1" s="335"/>
    <row r="295" ht="14.25" customHeight="1" s="335"/>
    <row r="296" ht="14.25" customHeight="1" s="335"/>
    <row r="297" ht="14.25" customHeight="1" s="335"/>
    <row r="298" ht="14.25" customHeight="1" s="335"/>
    <row r="299" ht="14.25" customHeight="1" s="335"/>
    <row r="300" ht="14.25" customHeight="1" s="335"/>
    <row r="301" ht="14.25" customHeight="1" s="335"/>
    <row r="302" ht="14.25" customHeight="1" s="335"/>
    <row r="303" ht="14.25" customHeight="1" s="335"/>
    <row r="304" ht="14.25" customHeight="1" s="335"/>
    <row r="305" ht="14.25" customHeight="1" s="335"/>
    <row r="306" ht="14.25" customHeight="1" s="335"/>
    <row r="307" ht="14.25" customHeight="1" s="335"/>
    <row r="308" ht="14.25" customHeight="1" s="335"/>
    <row r="309" ht="14.25" customHeight="1" s="335"/>
    <row r="310" ht="14.25" customHeight="1" s="335"/>
    <row r="311" ht="14.25" customHeight="1" s="335"/>
    <row r="312" ht="14.25" customHeight="1" s="335"/>
    <row r="313" ht="14.25" customHeight="1" s="335"/>
    <row r="314" ht="14.25" customHeight="1" s="335"/>
    <row r="315" ht="14.25" customHeight="1" s="335"/>
    <row r="316" ht="14.25" customHeight="1" s="335"/>
    <row r="317" ht="14.25" customHeight="1" s="335"/>
    <row r="318" ht="14.25" customHeight="1" s="335"/>
    <row r="319" ht="14.25" customHeight="1" s="335"/>
    <row r="320" ht="14.25" customHeight="1" s="335"/>
    <row r="321" ht="14.25" customHeight="1" s="335"/>
    <row r="322" ht="14.25" customHeight="1" s="335"/>
    <row r="323" ht="14.25" customHeight="1" s="335"/>
    <row r="324" ht="14.25" customHeight="1" s="335"/>
    <row r="325" ht="14.25" customHeight="1" s="335"/>
    <row r="326" ht="14.25" customHeight="1" s="335"/>
    <row r="327" ht="14.25" customHeight="1" s="335"/>
    <row r="328" ht="14.25" customHeight="1" s="335"/>
    <row r="329" ht="14.25" customHeight="1" s="335"/>
    <row r="330" ht="14.25" customHeight="1" s="335"/>
    <row r="331" ht="14.25" customHeight="1" s="335"/>
    <row r="332" ht="14.25" customHeight="1" s="335"/>
    <row r="333" ht="14.25" customHeight="1" s="335"/>
    <row r="334" ht="14.25" customHeight="1" s="335"/>
    <row r="335" ht="14.25" customHeight="1" s="335"/>
    <row r="336" ht="14.25" customHeight="1" s="335"/>
    <row r="337" ht="14.25" customHeight="1" s="335"/>
    <row r="338" ht="14.25" customHeight="1" s="335"/>
    <row r="339" ht="14.25" customHeight="1" s="335"/>
    <row r="340" ht="14.25" customHeight="1" s="335"/>
    <row r="341" ht="14.25" customHeight="1" s="335"/>
    <row r="342" ht="14.25" customHeight="1" s="335"/>
    <row r="343" ht="14.25" customHeight="1" s="335"/>
    <row r="344" ht="14.25" customHeight="1" s="335"/>
    <row r="345" ht="14.25" customHeight="1" s="335"/>
    <row r="346" ht="14.25" customHeight="1" s="335"/>
    <row r="347" ht="14.25" customHeight="1" s="335"/>
    <row r="348" ht="14.25" customHeight="1" s="335"/>
    <row r="349" ht="14.25" customHeight="1" s="335"/>
    <row r="350" ht="14.25" customHeight="1" s="335"/>
    <row r="351" ht="14.25" customHeight="1" s="335"/>
    <row r="352" ht="14.25" customHeight="1" s="335"/>
    <row r="353" ht="14.25" customHeight="1" s="335"/>
    <row r="354" ht="14.25" customHeight="1" s="335"/>
    <row r="355" ht="14.25" customHeight="1" s="335"/>
    <row r="356" ht="14.25" customHeight="1" s="335"/>
    <row r="357" ht="14.25" customHeight="1" s="335"/>
    <row r="358" ht="14.25" customHeight="1" s="335"/>
    <row r="359" ht="14.25" customHeight="1" s="335"/>
    <row r="360" ht="14.25" customHeight="1" s="335"/>
    <row r="361" ht="14.25" customHeight="1" s="335"/>
    <row r="362" ht="14.25" customHeight="1" s="335"/>
    <row r="363" ht="14.25" customHeight="1" s="335"/>
    <row r="364" ht="14.25" customHeight="1" s="335"/>
    <row r="365" ht="14.25" customHeight="1" s="335"/>
    <row r="366" ht="14.25" customHeight="1" s="335"/>
    <row r="367" ht="14.25" customHeight="1" s="335"/>
    <row r="368" ht="14.25" customHeight="1" s="335"/>
    <row r="369" ht="14.25" customHeight="1" s="335"/>
    <row r="370" ht="14.25" customHeight="1" s="335"/>
    <row r="371" ht="14.25" customHeight="1" s="335"/>
    <row r="372" ht="14.25" customHeight="1" s="335"/>
    <row r="373" ht="14.25" customHeight="1" s="335"/>
    <row r="374" ht="14.25" customHeight="1" s="335"/>
    <row r="375" ht="14.25" customHeight="1" s="335"/>
    <row r="376" ht="14.25" customHeight="1" s="335"/>
    <row r="377" ht="14.25" customHeight="1" s="335"/>
    <row r="378" ht="14.25" customHeight="1" s="335"/>
    <row r="379" ht="14.25" customHeight="1" s="335"/>
    <row r="380" ht="14.25" customHeight="1" s="335"/>
    <row r="381" ht="14.25" customHeight="1" s="335"/>
    <row r="382" ht="14.25" customHeight="1" s="335"/>
    <row r="383" ht="14.25" customHeight="1" s="335"/>
    <row r="384" ht="14.25" customHeight="1" s="335"/>
    <row r="385" ht="14.25" customHeight="1" s="335"/>
    <row r="386" ht="14.25" customHeight="1" s="335"/>
    <row r="387" ht="14.25" customHeight="1" s="335"/>
    <row r="388" ht="14.25" customHeight="1" s="335"/>
    <row r="389" ht="14.25" customHeight="1" s="335"/>
    <row r="390" ht="14.25" customHeight="1" s="335"/>
    <row r="391" ht="14.25" customHeight="1" s="335"/>
    <row r="392" ht="14.25" customHeight="1" s="335"/>
    <row r="393" ht="14.25" customHeight="1" s="335"/>
    <row r="394" ht="14.25" customHeight="1" s="335"/>
    <row r="395" ht="14.25" customHeight="1" s="335"/>
    <row r="396" ht="14.25" customHeight="1" s="335"/>
    <row r="397" ht="14.25" customHeight="1" s="335"/>
    <row r="398" ht="14.25" customHeight="1" s="335"/>
    <row r="399" ht="14.25" customHeight="1" s="335"/>
    <row r="400" ht="14.25" customHeight="1" s="335"/>
    <row r="401" ht="14.25" customHeight="1" s="335"/>
    <row r="402" ht="14.25" customHeight="1" s="335"/>
    <row r="403" ht="14.25" customHeight="1" s="335"/>
    <row r="404" ht="14.25" customHeight="1" s="335"/>
    <row r="405" ht="14.25" customHeight="1" s="335"/>
    <row r="406" ht="14.25" customHeight="1" s="335"/>
    <row r="407" ht="14.25" customHeight="1" s="335"/>
    <row r="408" ht="14.25" customHeight="1" s="335"/>
    <row r="409" ht="14.25" customHeight="1" s="335"/>
    <row r="410" ht="14.25" customHeight="1" s="335"/>
    <row r="411" ht="14.25" customHeight="1" s="335"/>
    <row r="412" ht="14.25" customHeight="1" s="335"/>
    <row r="413" ht="14.25" customHeight="1" s="335"/>
    <row r="414" ht="14.25" customHeight="1" s="335"/>
    <row r="415" ht="14.25" customHeight="1" s="335"/>
    <row r="416" ht="14.25" customHeight="1" s="335"/>
    <row r="417" ht="14.25" customHeight="1" s="335"/>
    <row r="418" ht="14.25" customHeight="1" s="335"/>
    <row r="419" ht="14.25" customHeight="1" s="335"/>
    <row r="420" ht="14.25" customHeight="1" s="335"/>
    <row r="421" ht="14.25" customHeight="1" s="335"/>
    <row r="422" ht="14.25" customHeight="1" s="335"/>
    <row r="423" ht="14.25" customHeight="1" s="335"/>
    <row r="424" ht="14.25" customHeight="1" s="335"/>
    <row r="425" ht="14.25" customHeight="1" s="335"/>
    <row r="426" ht="14.25" customHeight="1" s="335"/>
    <row r="427" ht="14.25" customHeight="1" s="335"/>
    <row r="428" ht="14.25" customHeight="1" s="335"/>
    <row r="429" ht="14.25" customHeight="1" s="335"/>
    <row r="430" ht="14.25" customHeight="1" s="335"/>
    <row r="431" ht="14.25" customHeight="1" s="335"/>
    <row r="432" ht="14.25" customHeight="1" s="335"/>
    <row r="433" ht="14.25" customHeight="1" s="335"/>
    <row r="434" ht="14.25" customHeight="1" s="335"/>
    <row r="435" ht="14.25" customHeight="1" s="335"/>
    <row r="436" ht="14.25" customHeight="1" s="335"/>
    <row r="437" ht="14.25" customHeight="1" s="335"/>
    <row r="438" ht="14.25" customHeight="1" s="335"/>
    <row r="439" ht="14.25" customHeight="1" s="335"/>
    <row r="440" ht="14.25" customHeight="1" s="335"/>
    <row r="441" ht="14.25" customHeight="1" s="335"/>
    <row r="442" ht="14.25" customHeight="1" s="335"/>
    <row r="443" ht="14.25" customHeight="1" s="335"/>
    <row r="444" ht="14.25" customHeight="1" s="335"/>
    <row r="445" ht="14.25" customHeight="1" s="335"/>
    <row r="446" ht="14.25" customHeight="1" s="335"/>
    <row r="447" ht="14.25" customHeight="1" s="335"/>
    <row r="448" ht="14.25" customHeight="1" s="335"/>
    <row r="449" ht="14.25" customHeight="1" s="335"/>
    <row r="450" ht="14.25" customHeight="1" s="335"/>
    <row r="451" ht="14.25" customHeight="1" s="335"/>
    <row r="452" ht="14.25" customHeight="1" s="335"/>
    <row r="453" ht="14.25" customHeight="1" s="335"/>
    <row r="454" ht="14.25" customHeight="1" s="335"/>
    <row r="455" ht="14.25" customHeight="1" s="335"/>
    <row r="456" ht="14.25" customHeight="1" s="335"/>
    <row r="457" ht="14.25" customHeight="1" s="335"/>
    <row r="458" ht="14.25" customHeight="1" s="335"/>
    <row r="459" ht="14.25" customHeight="1" s="335"/>
    <row r="460" ht="14.25" customHeight="1" s="335"/>
    <row r="461" ht="14.25" customHeight="1" s="335"/>
    <row r="462" ht="14.25" customHeight="1" s="335"/>
    <row r="463" ht="14.25" customHeight="1" s="335"/>
    <row r="464" ht="14.25" customHeight="1" s="335"/>
    <row r="465" ht="14.25" customHeight="1" s="335"/>
    <row r="466" ht="14.25" customHeight="1" s="335"/>
    <row r="467" ht="14.25" customHeight="1" s="335"/>
    <row r="468" ht="14.25" customHeight="1" s="335"/>
    <row r="469" ht="14.25" customHeight="1" s="335"/>
    <row r="470" ht="14.25" customHeight="1" s="335"/>
    <row r="471" ht="14.25" customHeight="1" s="335"/>
    <row r="472" ht="14.25" customHeight="1" s="335"/>
    <row r="473" ht="14.25" customHeight="1" s="335"/>
    <row r="474" ht="14.25" customHeight="1" s="335"/>
    <row r="475" ht="14.25" customHeight="1" s="335"/>
    <row r="476" ht="14.25" customHeight="1" s="335"/>
    <row r="477" ht="14.25" customHeight="1" s="335"/>
    <row r="478" ht="14.25" customHeight="1" s="335"/>
    <row r="479" ht="14.25" customHeight="1" s="335"/>
    <row r="480" ht="14.25" customHeight="1" s="335"/>
    <row r="481" ht="14.25" customHeight="1" s="335"/>
    <row r="482" ht="14.25" customHeight="1" s="335"/>
    <row r="483" ht="14.25" customHeight="1" s="335"/>
    <row r="484" ht="14.25" customHeight="1" s="335"/>
    <row r="485" ht="14.25" customHeight="1" s="335"/>
    <row r="486" ht="14.25" customHeight="1" s="335"/>
    <row r="487" ht="14.25" customHeight="1" s="335"/>
    <row r="488" ht="14.25" customHeight="1" s="335"/>
    <row r="489" ht="14.25" customHeight="1" s="335"/>
    <row r="490" ht="14.25" customHeight="1" s="335"/>
    <row r="491" ht="14.25" customHeight="1" s="335"/>
    <row r="492" ht="14.25" customHeight="1" s="335"/>
    <row r="493" ht="14.25" customHeight="1" s="335"/>
    <row r="494" ht="14.25" customHeight="1" s="335"/>
    <row r="495" ht="14.25" customHeight="1" s="335"/>
    <row r="496" ht="14.25" customHeight="1" s="335"/>
    <row r="497" ht="14.25" customHeight="1" s="335"/>
    <row r="498" ht="14.25" customHeight="1" s="335"/>
    <row r="499" ht="14.25" customHeight="1" s="335"/>
    <row r="500" ht="14.25" customHeight="1" s="335"/>
    <row r="501" ht="14.25" customHeight="1" s="335"/>
    <row r="502" ht="14.25" customHeight="1" s="335"/>
    <row r="503" ht="14.25" customHeight="1" s="335"/>
    <row r="504" ht="14.25" customHeight="1" s="335"/>
    <row r="505" ht="14.25" customHeight="1" s="335"/>
    <row r="506" ht="14.25" customHeight="1" s="335"/>
    <row r="507" ht="14.25" customHeight="1" s="335"/>
    <row r="508" ht="14.25" customHeight="1" s="335"/>
    <row r="509" ht="14.25" customHeight="1" s="335"/>
    <row r="510" ht="14.25" customHeight="1" s="335"/>
    <row r="511" ht="14.25" customHeight="1" s="335"/>
    <row r="512" ht="14.25" customHeight="1" s="335"/>
    <row r="513" ht="14.25" customHeight="1" s="335"/>
    <row r="514" ht="14.25" customHeight="1" s="335"/>
    <row r="515" ht="14.25" customHeight="1" s="335"/>
    <row r="516" ht="14.25" customHeight="1" s="335"/>
    <row r="517" ht="14.25" customHeight="1" s="335"/>
    <row r="518" ht="14.25" customHeight="1" s="335"/>
    <row r="519" ht="14.25" customHeight="1" s="335"/>
    <row r="520" ht="14.25" customHeight="1" s="335"/>
    <row r="521" ht="14.25" customHeight="1" s="335"/>
    <row r="522" ht="14.25" customHeight="1" s="335"/>
    <row r="523" ht="14.25" customHeight="1" s="335"/>
    <row r="524" ht="14.25" customHeight="1" s="335"/>
    <row r="525" ht="14.25" customHeight="1" s="335"/>
    <row r="526" ht="14.25" customHeight="1" s="335"/>
    <row r="527" ht="14.25" customHeight="1" s="335"/>
    <row r="528" ht="14.25" customHeight="1" s="335"/>
    <row r="529" ht="14.25" customHeight="1" s="335"/>
    <row r="530" ht="14.25" customHeight="1" s="335"/>
    <row r="531" ht="14.25" customHeight="1" s="335"/>
    <row r="532" ht="14.25" customHeight="1" s="335"/>
    <row r="533" ht="14.25" customHeight="1" s="335"/>
    <row r="534" ht="14.25" customHeight="1" s="335"/>
    <row r="535" ht="14.25" customHeight="1" s="335"/>
    <row r="536" ht="14.25" customHeight="1" s="335"/>
    <row r="537" ht="14.25" customHeight="1" s="335"/>
    <row r="538" ht="14.25" customHeight="1" s="335"/>
    <row r="539" ht="14.25" customHeight="1" s="335"/>
    <row r="540" ht="14.25" customHeight="1" s="335"/>
    <row r="541" ht="14.25" customHeight="1" s="335"/>
    <row r="542" ht="14.25" customHeight="1" s="335"/>
    <row r="543" ht="14.25" customHeight="1" s="335"/>
    <row r="544" ht="14.25" customHeight="1" s="335"/>
    <row r="545" ht="14.25" customHeight="1" s="335"/>
    <row r="546" ht="14.25" customHeight="1" s="335"/>
    <row r="547" ht="14.25" customHeight="1" s="335"/>
    <row r="548" ht="14.25" customHeight="1" s="335"/>
    <row r="549" ht="14.25" customHeight="1" s="335"/>
    <row r="550" ht="14.25" customHeight="1" s="335"/>
    <row r="551" ht="14.25" customHeight="1" s="335"/>
    <row r="552" ht="14.25" customHeight="1" s="335"/>
    <row r="553" ht="14.25" customHeight="1" s="335"/>
    <row r="554" ht="14.25" customHeight="1" s="335"/>
    <row r="555" ht="14.25" customHeight="1" s="335"/>
    <row r="556" ht="14.25" customHeight="1" s="335"/>
    <row r="557" ht="14.25" customHeight="1" s="335"/>
    <row r="558" ht="14.25" customHeight="1" s="335"/>
    <row r="559" ht="14.25" customHeight="1" s="335"/>
    <row r="560" ht="14.25" customHeight="1" s="335"/>
    <row r="561" ht="14.25" customHeight="1" s="335"/>
    <row r="562" ht="14.25" customHeight="1" s="335"/>
    <row r="563" ht="14.25" customHeight="1" s="335"/>
    <row r="564" ht="14.25" customHeight="1" s="335"/>
    <row r="565" ht="14.25" customHeight="1" s="335"/>
    <row r="566" ht="14.25" customHeight="1" s="335"/>
    <row r="567" ht="14.25" customHeight="1" s="335"/>
    <row r="568" ht="14.25" customHeight="1" s="335"/>
    <row r="569" ht="14.25" customHeight="1" s="335"/>
    <row r="570" ht="14.25" customHeight="1" s="335"/>
    <row r="571" ht="14.25" customHeight="1" s="335"/>
    <row r="572" ht="14.25" customHeight="1" s="335"/>
    <row r="573" ht="14.25" customHeight="1" s="335"/>
    <row r="574" ht="14.25" customHeight="1" s="335"/>
    <row r="575" ht="14.25" customHeight="1" s="335"/>
    <row r="576" ht="14.25" customHeight="1" s="335"/>
    <row r="577" ht="14.25" customHeight="1" s="335"/>
    <row r="578" ht="14.25" customHeight="1" s="335"/>
    <row r="579" ht="14.25" customHeight="1" s="335"/>
    <row r="580" ht="14.25" customHeight="1" s="335"/>
    <row r="581" ht="14.25" customHeight="1" s="335"/>
    <row r="582" ht="14.25" customHeight="1" s="335"/>
    <row r="583" ht="14.25" customHeight="1" s="335"/>
    <row r="584" ht="14.25" customHeight="1" s="335"/>
    <row r="585" ht="14.25" customHeight="1" s="335"/>
    <row r="586" ht="14.25" customHeight="1" s="335"/>
    <row r="587" ht="14.25" customHeight="1" s="335"/>
    <row r="588" ht="14.25" customHeight="1" s="335"/>
    <row r="589" ht="14.25" customHeight="1" s="335"/>
    <row r="590" ht="14.25" customHeight="1" s="335"/>
    <row r="591" ht="14.25" customHeight="1" s="335"/>
    <row r="592" ht="14.25" customHeight="1" s="335"/>
    <row r="593" ht="14.25" customHeight="1" s="335"/>
    <row r="594" ht="14.25" customHeight="1" s="335"/>
    <row r="595" ht="14.25" customHeight="1" s="335"/>
    <row r="596" ht="14.25" customHeight="1" s="335"/>
    <row r="597" ht="14.25" customHeight="1" s="335"/>
    <row r="598" ht="14.25" customHeight="1" s="335"/>
    <row r="599" ht="14.25" customHeight="1" s="335"/>
    <row r="600" ht="14.25" customHeight="1" s="335"/>
    <row r="601" ht="14.25" customHeight="1" s="335"/>
    <row r="602" ht="14.25" customHeight="1" s="335"/>
    <row r="603" ht="14.25" customHeight="1" s="335"/>
    <row r="604" ht="14.25" customHeight="1" s="335"/>
    <row r="605" ht="14.25" customHeight="1" s="335"/>
    <row r="606" ht="14.25" customHeight="1" s="335"/>
    <row r="607" ht="14.25" customHeight="1" s="335"/>
    <row r="608" ht="14.25" customHeight="1" s="335"/>
    <row r="609" ht="14.25" customHeight="1" s="335"/>
    <row r="610" ht="14.25" customHeight="1" s="335"/>
    <row r="611" ht="14.25" customHeight="1" s="335"/>
    <row r="612" ht="14.25" customHeight="1" s="335"/>
    <row r="613" ht="14.25" customHeight="1" s="335"/>
    <row r="614" ht="14.25" customHeight="1" s="335"/>
    <row r="615" ht="14.25" customHeight="1" s="335"/>
    <row r="616" ht="14.25" customHeight="1" s="335"/>
    <row r="617" ht="14.25" customHeight="1" s="335"/>
    <row r="618" ht="14.25" customHeight="1" s="335"/>
    <row r="619" ht="14.25" customHeight="1" s="335"/>
    <row r="620" ht="14.25" customHeight="1" s="335"/>
    <row r="621" ht="14.25" customHeight="1" s="335"/>
    <row r="622" ht="14.25" customHeight="1" s="335"/>
    <row r="623" ht="14.25" customHeight="1" s="335"/>
    <row r="624" ht="14.25" customHeight="1" s="335"/>
    <row r="625" ht="14.25" customHeight="1" s="335"/>
    <row r="626" ht="14.25" customHeight="1" s="335"/>
    <row r="627" ht="14.25" customHeight="1" s="335"/>
    <row r="628" ht="14.25" customHeight="1" s="335"/>
    <row r="629" ht="14.25" customHeight="1" s="335"/>
    <row r="630" ht="14.25" customHeight="1" s="335"/>
    <row r="631" ht="14.25" customHeight="1" s="335"/>
    <row r="632" ht="14.25" customHeight="1" s="335"/>
    <row r="633" ht="14.25" customHeight="1" s="335"/>
    <row r="634" ht="14.25" customHeight="1" s="335"/>
    <row r="635" ht="14.25" customHeight="1" s="335"/>
    <row r="636" ht="14.25" customHeight="1" s="335"/>
    <row r="637" ht="14.25" customHeight="1" s="335"/>
    <row r="638" ht="14.25" customHeight="1" s="335"/>
    <row r="639" ht="14.25" customHeight="1" s="335"/>
    <row r="640" ht="14.25" customHeight="1" s="335"/>
    <row r="641" ht="14.25" customHeight="1" s="335"/>
    <row r="642" ht="14.25" customHeight="1" s="335"/>
    <row r="643" ht="14.25" customHeight="1" s="335"/>
    <row r="644" ht="14.25" customHeight="1" s="335"/>
    <row r="645" ht="14.25" customHeight="1" s="335"/>
    <row r="646" ht="14.25" customHeight="1" s="335"/>
    <row r="647" ht="14.25" customHeight="1" s="335"/>
    <row r="648" ht="14.25" customHeight="1" s="335"/>
    <row r="649" ht="14.25" customHeight="1" s="335"/>
    <row r="650" ht="14.25" customHeight="1" s="335"/>
    <row r="651" ht="14.25" customHeight="1" s="335"/>
    <row r="652" ht="14.25" customHeight="1" s="335"/>
    <row r="653" ht="14.25" customHeight="1" s="335"/>
    <row r="654" ht="14.25" customHeight="1" s="335"/>
    <row r="655" ht="14.25" customHeight="1" s="335"/>
    <row r="656" ht="14.25" customHeight="1" s="335"/>
    <row r="657" ht="14.25" customHeight="1" s="335"/>
    <row r="658" ht="14.25" customHeight="1" s="335"/>
    <row r="659" ht="14.25" customHeight="1" s="335"/>
    <row r="660" ht="14.25" customHeight="1" s="335"/>
    <row r="661" ht="14.25" customHeight="1" s="335"/>
    <row r="662" ht="14.25" customHeight="1" s="335"/>
    <row r="663" ht="14.25" customHeight="1" s="335"/>
    <row r="664" ht="14.25" customHeight="1" s="335"/>
    <row r="665" ht="14.25" customHeight="1" s="335"/>
    <row r="666" ht="14.25" customHeight="1" s="335"/>
    <row r="667" ht="14.25" customHeight="1" s="335"/>
    <row r="668" ht="14.25" customHeight="1" s="335"/>
    <row r="669" ht="14.25" customHeight="1" s="335"/>
    <row r="670" ht="14.25" customHeight="1" s="335"/>
    <row r="671" ht="14.25" customHeight="1" s="335"/>
    <row r="672" ht="14.25" customHeight="1" s="335"/>
    <row r="673" ht="14.25" customHeight="1" s="335"/>
    <row r="674" ht="14.25" customHeight="1" s="335"/>
    <row r="675" ht="14.25" customHeight="1" s="335"/>
    <row r="676" ht="14.25" customHeight="1" s="335"/>
    <row r="677" ht="14.25" customHeight="1" s="335"/>
    <row r="678" ht="14.25" customHeight="1" s="335"/>
    <row r="679" ht="14.25" customHeight="1" s="335"/>
    <row r="680" ht="14.25" customHeight="1" s="335"/>
    <row r="681" ht="14.25" customHeight="1" s="335"/>
    <row r="682" ht="14.25" customHeight="1" s="335"/>
    <row r="683" ht="14.25" customHeight="1" s="335"/>
    <row r="684" ht="14.25" customHeight="1" s="335"/>
    <row r="685" ht="14.25" customHeight="1" s="335"/>
    <row r="686" ht="14.25" customHeight="1" s="335"/>
    <row r="687" ht="14.25" customHeight="1" s="335"/>
    <row r="688" ht="14.25" customHeight="1" s="335"/>
    <row r="689" ht="14.25" customHeight="1" s="335"/>
    <row r="690" ht="14.25" customHeight="1" s="335"/>
    <row r="691" ht="14.25" customHeight="1" s="335"/>
    <row r="692" ht="14.25" customHeight="1" s="335"/>
    <row r="693" ht="14.25" customHeight="1" s="335"/>
    <row r="694" ht="14.25" customHeight="1" s="335"/>
    <row r="695" ht="14.25" customHeight="1" s="335"/>
    <row r="696" ht="14.25" customHeight="1" s="335"/>
    <row r="697" ht="14.25" customHeight="1" s="335"/>
    <row r="698" ht="14.25" customHeight="1" s="335"/>
    <row r="699" ht="14.25" customHeight="1" s="335"/>
    <row r="700" ht="14.25" customHeight="1" s="335"/>
    <row r="701" ht="14.25" customHeight="1" s="335"/>
    <row r="702" ht="14.25" customHeight="1" s="335"/>
    <row r="703" ht="14.25" customHeight="1" s="335"/>
    <row r="704" ht="14.25" customHeight="1" s="335"/>
    <row r="705" ht="14.25" customHeight="1" s="335"/>
    <row r="706" ht="14.25" customHeight="1" s="335"/>
    <row r="707" ht="14.25" customHeight="1" s="335"/>
    <row r="708" ht="14.25" customHeight="1" s="335"/>
    <row r="709" ht="14.25" customHeight="1" s="335"/>
    <row r="710" ht="14.25" customHeight="1" s="335"/>
    <row r="711" ht="14.25" customHeight="1" s="335"/>
    <row r="712" ht="14.25" customHeight="1" s="335"/>
    <row r="713" ht="14.25" customHeight="1" s="335"/>
    <row r="714" ht="14.25" customHeight="1" s="335"/>
    <row r="715" ht="14.25" customHeight="1" s="335"/>
    <row r="716" ht="14.25" customHeight="1" s="335"/>
    <row r="717" ht="14.25" customHeight="1" s="335"/>
    <row r="718" ht="14.25" customHeight="1" s="335"/>
    <row r="719" ht="14.25" customHeight="1" s="335"/>
    <row r="720" ht="14.25" customHeight="1" s="335"/>
    <row r="721" ht="14.25" customHeight="1" s="335"/>
    <row r="722" ht="14.25" customHeight="1" s="335"/>
    <row r="723" ht="14.25" customHeight="1" s="335"/>
    <row r="724" ht="14.25" customHeight="1" s="335"/>
    <row r="725" ht="14.25" customHeight="1" s="335"/>
    <row r="726" ht="14.25" customHeight="1" s="335"/>
    <row r="727" ht="14.25" customHeight="1" s="335"/>
    <row r="728" ht="14.25" customHeight="1" s="335"/>
    <row r="729" ht="14.25" customHeight="1" s="335"/>
    <row r="730" ht="14.25" customHeight="1" s="335"/>
    <row r="731" ht="14.25" customHeight="1" s="335"/>
    <row r="732" ht="14.25" customHeight="1" s="335"/>
    <row r="733" ht="14.25" customHeight="1" s="335"/>
    <row r="734" ht="14.25" customHeight="1" s="335"/>
    <row r="735" ht="14.25" customHeight="1" s="335"/>
    <row r="736" ht="14.25" customHeight="1" s="335"/>
    <row r="737" ht="14.25" customHeight="1" s="335"/>
    <row r="738" ht="14.25" customHeight="1" s="335"/>
    <row r="739" ht="14.25" customHeight="1" s="335"/>
    <row r="740" ht="14.25" customHeight="1" s="335"/>
    <row r="741" ht="14.25" customHeight="1" s="335"/>
    <row r="742" ht="14.25" customHeight="1" s="335"/>
    <row r="743" ht="14.25" customHeight="1" s="335"/>
    <row r="744" ht="14.25" customHeight="1" s="335"/>
    <row r="745" ht="14.25" customHeight="1" s="335"/>
    <row r="746" ht="14.25" customHeight="1" s="335"/>
    <row r="747" ht="14.25" customHeight="1" s="335"/>
    <row r="748" ht="14.25" customHeight="1" s="335"/>
    <row r="749" ht="14.25" customHeight="1" s="335"/>
    <row r="750" ht="14.25" customHeight="1" s="335"/>
    <row r="751" ht="14.25" customHeight="1" s="335"/>
    <row r="752" ht="14.25" customHeight="1" s="335"/>
    <row r="753" ht="14.25" customHeight="1" s="335"/>
    <row r="754" ht="14.25" customHeight="1" s="335"/>
    <row r="755" ht="14.25" customHeight="1" s="335"/>
    <row r="756" ht="14.25" customHeight="1" s="335"/>
    <row r="757" ht="14.25" customHeight="1" s="335"/>
    <row r="758" ht="14.25" customHeight="1" s="335"/>
    <row r="759" ht="14.25" customHeight="1" s="335"/>
    <row r="760" ht="14.25" customHeight="1" s="335"/>
    <row r="761" ht="14.25" customHeight="1" s="335"/>
    <row r="762" ht="14.25" customHeight="1" s="335"/>
    <row r="763" ht="14.25" customHeight="1" s="335"/>
    <row r="764" ht="14.25" customHeight="1" s="335"/>
    <row r="765" ht="14.25" customHeight="1" s="335"/>
    <row r="766" ht="14.25" customHeight="1" s="335"/>
    <row r="767" ht="14.25" customHeight="1" s="335"/>
    <row r="768" ht="14.25" customHeight="1" s="335"/>
    <row r="769" ht="14.25" customHeight="1" s="335"/>
    <row r="770" ht="14.25" customHeight="1" s="335"/>
    <row r="771" ht="14.25" customHeight="1" s="335"/>
    <row r="772" ht="14.25" customHeight="1" s="335"/>
    <row r="773" ht="14.25" customHeight="1" s="335"/>
    <row r="774" ht="14.25" customHeight="1" s="335"/>
    <row r="775" ht="14.25" customHeight="1" s="335"/>
    <row r="776" ht="14.25" customHeight="1" s="335"/>
    <row r="777" ht="14.25" customHeight="1" s="335"/>
    <row r="778" ht="14.25" customHeight="1" s="335"/>
    <row r="779" ht="14.25" customHeight="1" s="335"/>
    <row r="780" ht="14.25" customHeight="1" s="335"/>
    <row r="781" ht="14.25" customHeight="1" s="335"/>
    <row r="782" ht="14.25" customHeight="1" s="335"/>
    <row r="783" ht="14.25" customHeight="1" s="335"/>
    <row r="784" ht="14.25" customHeight="1" s="335"/>
    <row r="785" ht="14.25" customHeight="1" s="335"/>
    <row r="786" ht="14.25" customHeight="1" s="335"/>
    <row r="787" ht="14.25" customHeight="1" s="335"/>
    <row r="788" ht="14.25" customHeight="1" s="335"/>
    <row r="789" ht="14.25" customHeight="1" s="335"/>
    <row r="790" ht="14.25" customHeight="1" s="335"/>
    <row r="791" ht="14.25" customHeight="1" s="335"/>
    <row r="792" ht="14.25" customHeight="1" s="335"/>
    <row r="793" ht="14.25" customHeight="1" s="335"/>
    <row r="794" ht="14.25" customHeight="1" s="335"/>
    <row r="795" ht="14.25" customHeight="1" s="335"/>
    <row r="796" ht="14.25" customHeight="1" s="335"/>
    <row r="797" ht="14.25" customHeight="1" s="335"/>
    <row r="798" ht="14.25" customHeight="1" s="335"/>
    <row r="799" ht="14.25" customHeight="1" s="335"/>
    <row r="800" ht="14.25" customHeight="1" s="335"/>
    <row r="801" ht="14.25" customHeight="1" s="335"/>
    <row r="802" ht="14.25" customHeight="1" s="335"/>
    <row r="803" ht="14.25" customHeight="1" s="335"/>
    <row r="804" ht="14.25" customHeight="1" s="335"/>
    <row r="805" ht="14.25" customHeight="1" s="335"/>
    <row r="806" ht="14.25" customHeight="1" s="335"/>
    <row r="807" ht="14.25" customHeight="1" s="335"/>
    <row r="808" ht="14.25" customHeight="1" s="335"/>
    <row r="809" ht="14.25" customHeight="1" s="335"/>
    <row r="810" ht="14.25" customHeight="1" s="335"/>
    <row r="811" ht="14.25" customHeight="1" s="335"/>
    <row r="812" ht="14.25" customHeight="1" s="335"/>
    <row r="813" ht="14.25" customHeight="1" s="335"/>
    <row r="814" ht="14.25" customHeight="1" s="335"/>
    <row r="815" ht="14.25" customHeight="1" s="335"/>
    <row r="816" ht="14.25" customHeight="1" s="335"/>
    <row r="817" ht="14.25" customHeight="1" s="335"/>
    <row r="818" ht="14.25" customHeight="1" s="335"/>
    <row r="819" ht="14.25" customHeight="1" s="335"/>
    <row r="820" ht="14.25" customHeight="1" s="335"/>
    <row r="821" ht="14.25" customHeight="1" s="335"/>
    <row r="822" ht="14.25" customHeight="1" s="335"/>
    <row r="823" ht="14.25" customHeight="1" s="335"/>
    <row r="824" ht="14.25" customHeight="1" s="335"/>
    <row r="825" ht="14.25" customHeight="1" s="335"/>
    <row r="826" ht="14.25" customHeight="1" s="335"/>
    <row r="827" ht="14.25" customHeight="1" s="335"/>
    <row r="828" ht="14.25" customHeight="1" s="335"/>
    <row r="829" ht="14.25" customHeight="1" s="335"/>
    <row r="830" ht="14.25" customHeight="1" s="335"/>
    <row r="831" ht="14.25" customHeight="1" s="335"/>
    <row r="832" ht="14.25" customHeight="1" s="335"/>
    <row r="833" ht="14.25" customHeight="1" s="335"/>
    <row r="834" ht="14.25" customHeight="1" s="335"/>
    <row r="835" ht="14.25" customHeight="1" s="335"/>
    <row r="836" ht="14.25" customHeight="1" s="335"/>
    <row r="837" ht="14.25" customHeight="1" s="335"/>
    <row r="838" ht="14.25" customHeight="1" s="335"/>
    <row r="839" ht="14.25" customHeight="1" s="335"/>
    <row r="840" ht="14.25" customHeight="1" s="335"/>
    <row r="841" ht="14.25" customHeight="1" s="335"/>
    <row r="842" ht="14.25" customHeight="1" s="335"/>
    <row r="843" ht="14.25" customHeight="1" s="335"/>
    <row r="844" ht="14.25" customHeight="1" s="335"/>
    <row r="845" ht="14.25" customHeight="1" s="335"/>
    <row r="846" ht="14.25" customHeight="1" s="335"/>
    <row r="847" ht="14.25" customHeight="1" s="335"/>
    <row r="848" ht="14.25" customHeight="1" s="335"/>
    <row r="849" ht="14.25" customHeight="1" s="335"/>
    <row r="850" ht="14.25" customHeight="1" s="335"/>
    <row r="851" ht="14.25" customHeight="1" s="335"/>
    <row r="852" ht="14.25" customHeight="1" s="335"/>
    <row r="853" ht="14.25" customHeight="1" s="335"/>
    <row r="854" ht="14.25" customHeight="1" s="335"/>
    <row r="855" ht="14.25" customHeight="1" s="335"/>
    <row r="856" ht="14.25" customHeight="1" s="335"/>
    <row r="857" ht="14.25" customHeight="1" s="335"/>
    <row r="858" ht="14.25" customHeight="1" s="335"/>
    <row r="859" ht="14.25" customHeight="1" s="335"/>
    <row r="860" ht="14.25" customHeight="1" s="335"/>
    <row r="861" ht="14.25" customHeight="1" s="335"/>
    <row r="862" ht="14.25" customHeight="1" s="335"/>
    <row r="863" ht="14.25" customHeight="1" s="335"/>
    <row r="864" ht="14.25" customHeight="1" s="335"/>
    <row r="865" ht="14.25" customHeight="1" s="335"/>
    <row r="866" ht="14.25" customHeight="1" s="335"/>
    <row r="867" ht="14.25" customHeight="1" s="335"/>
    <row r="868" ht="14.25" customHeight="1" s="335"/>
    <row r="869" ht="14.25" customHeight="1" s="335"/>
    <row r="870" ht="14.25" customHeight="1" s="335"/>
    <row r="871" ht="14.25" customHeight="1" s="335"/>
    <row r="872" ht="14.25" customHeight="1" s="335"/>
    <row r="873" ht="14.25" customHeight="1" s="335"/>
    <row r="874" ht="14.25" customHeight="1" s="335"/>
    <row r="875" ht="14.25" customHeight="1" s="335"/>
    <row r="876" ht="14.25" customHeight="1" s="335"/>
    <row r="877" ht="14.25" customHeight="1" s="335"/>
    <row r="878" ht="14.25" customHeight="1" s="335"/>
    <row r="879" ht="14.25" customHeight="1" s="335"/>
    <row r="880" ht="14.25" customHeight="1" s="335"/>
    <row r="881" ht="14.25" customHeight="1" s="335"/>
    <row r="882" ht="14.25" customHeight="1" s="335"/>
    <row r="883" ht="14.25" customHeight="1" s="335"/>
    <row r="884" ht="14.25" customHeight="1" s="335"/>
    <row r="885" ht="14.25" customHeight="1" s="335"/>
    <row r="886" ht="14.25" customHeight="1" s="335"/>
    <row r="887" ht="14.25" customHeight="1" s="335"/>
    <row r="888" ht="14.25" customHeight="1" s="335"/>
    <row r="889" ht="14.25" customHeight="1" s="335"/>
    <row r="890" ht="14.25" customHeight="1" s="335"/>
    <row r="891" ht="14.25" customHeight="1" s="335"/>
    <row r="892" ht="14.25" customHeight="1" s="335"/>
    <row r="893" ht="14.25" customHeight="1" s="335"/>
    <row r="894" ht="14.25" customHeight="1" s="335"/>
    <row r="895" ht="14.25" customHeight="1" s="335"/>
    <row r="896" ht="14.25" customHeight="1" s="335"/>
    <row r="897" ht="14.25" customHeight="1" s="335"/>
    <row r="898" ht="14.25" customHeight="1" s="335"/>
    <row r="899" ht="14.25" customHeight="1" s="335"/>
    <row r="900" ht="14.25" customHeight="1" s="335"/>
    <row r="901" ht="14.25" customHeight="1" s="335"/>
    <row r="902" ht="14.25" customHeight="1" s="335"/>
    <row r="903" ht="14.25" customHeight="1" s="335"/>
    <row r="904" ht="14.25" customHeight="1" s="335"/>
    <row r="905" ht="14.25" customHeight="1" s="335"/>
    <row r="906" ht="14.25" customHeight="1" s="335"/>
    <row r="907" ht="14.25" customHeight="1" s="335"/>
    <row r="908" ht="14.25" customHeight="1" s="335"/>
    <row r="909" ht="14.25" customHeight="1" s="335"/>
    <row r="910" ht="14.25" customHeight="1" s="335"/>
    <row r="911" ht="14.25" customHeight="1" s="335"/>
    <row r="912" ht="14.25" customHeight="1" s="335"/>
    <row r="913" ht="14.25" customHeight="1" s="335"/>
    <row r="914" ht="14.25" customHeight="1" s="335"/>
    <row r="915" ht="14.25" customHeight="1" s="335"/>
    <row r="916" ht="14.25" customHeight="1" s="335"/>
    <row r="917" ht="14.25" customHeight="1" s="335"/>
    <row r="918" ht="14.25" customHeight="1" s="335"/>
    <row r="919" ht="14.25" customHeight="1" s="335"/>
    <row r="920" ht="14.25" customHeight="1" s="335"/>
    <row r="921" ht="14.25" customHeight="1" s="335"/>
    <row r="922" ht="14.25" customHeight="1" s="335"/>
    <row r="923" ht="14.25" customHeight="1" s="335"/>
    <row r="924" ht="14.25" customHeight="1" s="3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4A86E8"/>
    <outlinePr summaryBelow="1" summaryRight="1"/>
    <pageSetUpPr fitToPage="0"/>
  </sheetPr>
  <dimension ref="A1:O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20.44" customWidth="1" style="334" min="2" max="2"/>
    <col width="22.11" customWidth="1" style="334" min="3" max="3"/>
    <col width="21.44" customWidth="1" style="334" min="5" max="5"/>
    <col width="25.11" customWidth="1" style="334" min="6" max="6"/>
    <col width="41.44" customWidth="1" style="334" min="7" max="7"/>
    <col width="24.56" customWidth="1" style="334" min="8" max="8"/>
    <col width="7.88" customWidth="1" style="334" min="10" max="10"/>
    <col width="31.67" customWidth="1" style="334" min="11" max="11"/>
    <col width="23" customWidth="1" style="334" min="13" max="13"/>
    <col width="55" customWidth="1" style="334" min="15" max="15"/>
  </cols>
  <sheetData>
    <row r="1" ht="15" customHeight="1" s="335">
      <c r="A1" s="601" t="inlineStr">
        <is>
          <t>TYPE : SNAPSHOT</t>
        </is>
      </c>
      <c r="B1" s="601" t="n"/>
      <c r="C1" s="601" t="n"/>
      <c r="D1" s="601" t="n"/>
      <c r="E1" s="601" t="n"/>
      <c r="F1" s="601" t="n"/>
      <c r="G1" s="601" t="n"/>
      <c r="H1" s="601" t="n"/>
      <c r="I1" s="601" t="n"/>
      <c r="J1" s="602" t="n"/>
      <c r="K1" s="602" t="n"/>
      <c r="L1" s="603" t="n"/>
      <c r="M1" s="603" t="n"/>
      <c r="N1" s="603" t="n"/>
      <c r="O1" s="603" t="n"/>
    </row>
    <row r="2" ht="15" customHeight="1" s="335">
      <c r="A2" s="604" t="inlineStr">
        <is>
          <t>No</t>
        </is>
      </c>
      <c r="B2" s="604" t="inlineStr">
        <is>
          <t>System</t>
        </is>
      </c>
      <c r="C2" s="604" t="inlineStr">
        <is>
          <t>TABLE</t>
        </is>
      </c>
      <c r="D2" s="604" t="inlineStr">
        <is>
          <t>Short table</t>
        </is>
      </c>
      <c r="E2" s="604" t="inlineStr">
        <is>
          <t>Main Table</t>
        </is>
      </c>
      <c r="F2" s="604" t="inlineStr">
        <is>
          <t>Type join</t>
        </is>
      </c>
      <c r="G2" s="604" t="inlineStr">
        <is>
          <t>Condition JOIN</t>
        </is>
      </c>
      <c r="H2" s="604" t="inlineStr">
        <is>
          <t>Condition where</t>
        </is>
      </c>
      <c r="I2" s="604" t="inlineStr">
        <is>
          <t>Fields</t>
        </is>
      </c>
      <c r="J2" s="602" t="n"/>
      <c r="K2" s="602" t="n"/>
      <c r="L2" s="603" t="n"/>
      <c r="M2" s="603" t="n"/>
      <c r="N2" s="603" t="n"/>
      <c r="O2" s="603" t="n"/>
    </row>
    <row r="3" ht="15" customHeight="1" s="335">
      <c r="A3" s="605" t="n">
        <v>1</v>
      </c>
      <c r="B3" s="606" t="inlineStr">
        <is>
          <t>PG_SILVER</t>
        </is>
      </c>
      <c r="C3" s="607" t="inlineStr">
        <is>
          <t>LOAN_AR</t>
        </is>
      </c>
      <c r="D3" s="608" t="inlineStr">
        <is>
          <t>a</t>
        </is>
      </c>
      <c r="E3" s="608" t="inlineStr">
        <is>
          <t>main</t>
        </is>
      </c>
      <c r="F3" s="608" t="n"/>
      <c r="G3" s="608" t="n"/>
      <c r="H3" s="609" t="inlineStr">
        <is>
          <t>a.SYS_EXP_DT IS NULL</t>
        </is>
      </c>
      <c r="I3" s="608" t="n"/>
      <c r="J3" s="602" t="n"/>
      <c r="K3" s="602" t="n"/>
      <c r="L3" s="603" t="n"/>
      <c r="M3" s="603" t="n"/>
      <c r="N3" s="603" t="n"/>
      <c r="O3" s="603" t="n"/>
    </row>
    <row r="4" ht="15" customHeight="1" s="335">
      <c r="A4" s="605" t="n">
        <v>2</v>
      </c>
      <c r="B4" s="606" t="inlineStr">
        <is>
          <t>PG_SILVER</t>
        </is>
      </c>
      <c r="C4" s="607" t="inlineStr">
        <is>
          <t>LOAN_AR_PRFL</t>
        </is>
      </c>
      <c r="D4" s="608" t="inlineStr">
        <is>
          <t>b</t>
        </is>
      </c>
      <c r="E4" s="608" t="inlineStr">
        <is>
          <t>sub</t>
        </is>
      </c>
      <c r="F4" s="608" t="inlineStr">
        <is>
          <t>LEFT JOIN</t>
        </is>
      </c>
      <c r="G4" s="608" t="inlineStr">
        <is>
          <t>a.AR_CODE = b.AR_CODE</t>
        </is>
      </c>
      <c r="H4" s="610" t="inlineStr">
        <is>
          <t>b.SYS_EXP_DT IS NULL</t>
        </is>
      </c>
      <c r="I4" s="608" t="n"/>
      <c r="J4" s="602" t="n"/>
      <c r="K4" s="602" t="n"/>
      <c r="L4" s="603" t="n"/>
      <c r="M4" s="603" t="n"/>
      <c r="N4" s="603" t="n"/>
      <c r="O4" s="603" t="n"/>
    </row>
    <row r="5" ht="36.75" customHeight="1" s="335">
      <c r="A5" s="611" t="n">
        <v>3</v>
      </c>
      <c r="B5" s="612" t="inlineStr">
        <is>
          <t>PG_SILVER</t>
        </is>
      </c>
      <c r="C5" s="613" t="inlineStr">
        <is>
          <t>AR_X_IP_RLTNP</t>
        </is>
      </c>
      <c r="D5" s="614" t="inlineStr">
        <is>
          <t>c</t>
        </is>
      </c>
      <c r="E5" s="614" t="inlineStr">
        <is>
          <t>sub</t>
        </is>
      </c>
      <c r="F5" s="614" t="inlineStr">
        <is>
          <t>LEFT JOIN</t>
        </is>
      </c>
      <c r="G5" s="614" t="inlineStr">
        <is>
          <t>a.AR_CODE = c.AR_CODE</t>
        </is>
      </c>
      <c r="H5" s="609" t="inlineStr">
        <is>
          <t>c.SYS_EXP_DT IS NULL</t>
        </is>
      </c>
      <c r="I5" s="614" t="n"/>
      <c r="J5" s="602" t="n"/>
      <c r="K5" s="602" t="n"/>
      <c r="L5" s="603" t="n"/>
      <c r="M5" s="603" t="n"/>
      <c r="N5" s="603" t="n"/>
      <c r="O5" s="603" t="n"/>
    </row>
    <row r="6" ht="36.75" customHeight="1" s="335">
      <c r="A6" s="615" t="n">
        <v>4</v>
      </c>
      <c r="B6" s="616" t="inlineStr">
        <is>
          <t>PG_SILVER</t>
        </is>
      </c>
      <c r="C6" s="617" t="inlineStr">
        <is>
          <t>EMPE</t>
        </is>
      </c>
      <c r="D6" s="617" t="inlineStr">
        <is>
          <t>d</t>
        </is>
      </c>
      <c r="E6" s="617" t="inlineStr">
        <is>
          <t>sub</t>
        </is>
      </c>
      <c r="F6" s="617" t="inlineStr">
        <is>
          <t>LEFT JOIN</t>
        </is>
      </c>
      <c r="G6" s="609" t="inlineStr">
        <is>
          <t>COALESCE(c.REFRRER_OFCR, b.REFRRER_OFCR) = d.EMPE_CODE</t>
        </is>
      </c>
      <c r="H6" s="609" t="inlineStr">
        <is>
          <t>d.SYS_EXP_DT IS NULL</t>
        </is>
      </c>
      <c r="I6" s="617" t="n"/>
      <c r="J6" s="602" t="n"/>
      <c r="K6" s="602" t="n"/>
      <c r="L6" s="603" t="n"/>
      <c r="M6" s="603" t="n"/>
      <c r="N6" s="603" t="n"/>
      <c r="O6" s="603" t="n"/>
    </row>
    <row r="7" ht="36.75" customHeight="1" s="335">
      <c r="A7" s="605" t="n">
        <v>5</v>
      </c>
      <c r="B7" s="606" t="inlineStr">
        <is>
          <t>PG_SILVER</t>
        </is>
      </c>
      <c r="C7" s="608" t="inlineStr">
        <is>
          <t>AR_RATE_HIST</t>
        </is>
      </c>
      <c r="D7" s="608" t="inlineStr">
        <is>
          <t>e</t>
        </is>
      </c>
      <c r="E7" s="608" t="inlineStr">
        <is>
          <t>sub</t>
        </is>
      </c>
      <c r="F7" s="608" t="inlineStr">
        <is>
          <t>LEFT JOIN</t>
        </is>
      </c>
      <c r="G7" s="608" t="inlineStr">
        <is>
          <t>a.AR_CODE = e.AR_CODE</t>
        </is>
      </c>
      <c r="H7" s="609" t="inlineStr">
        <is>
          <t>e.SYS_EXP_DT IS NULL</t>
        </is>
      </c>
      <c r="I7" s="608" t="n"/>
      <c r="J7" s="602" t="n"/>
      <c r="K7" s="602" t="n"/>
      <c r="L7" s="603" t="n"/>
      <c r="M7" s="603" t="n"/>
      <c r="N7" s="603" t="n"/>
      <c r="O7" s="603" t="n"/>
    </row>
    <row r="8" ht="36.75" customHeight="1" s="335">
      <c r="A8" s="605" t="n">
        <v>6</v>
      </c>
      <c r="B8" s="606" t="inlineStr">
        <is>
          <t>PG_SILVER</t>
        </is>
      </c>
      <c r="C8" s="608" t="inlineStr">
        <is>
          <t>PD</t>
        </is>
      </c>
      <c r="D8" s="608" t="inlineStr">
        <is>
          <t>f</t>
        </is>
      </c>
      <c r="E8" s="608" t="inlineStr">
        <is>
          <t>sub</t>
        </is>
      </c>
      <c r="F8" s="608" t="inlineStr">
        <is>
          <t>LEFT JOIN</t>
        </is>
      </c>
      <c r="G8" s="608" t="inlineStr">
        <is>
          <t>a.PD_CODE = f.PD_CODE</t>
        </is>
      </c>
      <c r="H8" s="608" t="n"/>
      <c r="I8" s="608" t="n"/>
      <c r="J8" s="602" t="n"/>
      <c r="K8" s="602" t="n"/>
      <c r="L8" s="603" t="n"/>
      <c r="M8" s="603" t="n"/>
      <c r="N8" s="603" t="n"/>
      <c r="O8" s="603" t="n"/>
    </row>
    <row r="9" ht="15" customHeight="1" s="335">
      <c r="A9" s="602" t="n"/>
      <c r="B9" s="602" t="n"/>
      <c r="C9" s="602" t="n"/>
      <c r="D9" s="602" t="n"/>
      <c r="E9" s="602" t="n"/>
      <c r="F9" s="602" t="n"/>
      <c r="G9" s="602" t="n"/>
      <c r="H9" s="602" t="n"/>
      <c r="I9" s="602" t="n"/>
      <c r="J9" s="602" t="n"/>
      <c r="K9" s="602" t="n"/>
      <c r="L9" s="603" t="n"/>
      <c r="M9" s="603" t="n"/>
      <c r="N9" s="603" t="n"/>
      <c r="O9" s="603" t="n"/>
    </row>
    <row r="10" ht="15" customHeight="1" s="335">
      <c r="A10" s="601" t="inlineStr">
        <is>
          <t>Nguồn</t>
        </is>
      </c>
      <c r="B10" s="601" t="inlineStr">
        <is>
          <t>Bảng nguồn</t>
        </is>
      </c>
      <c r="C10" s="601" t="inlineStr">
        <is>
          <t>Cột nguồn</t>
        </is>
      </c>
      <c r="D10" s="601" t="inlineStr">
        <is>
          <t>Transform</t>
        </is>
      </c>
      <c r="E10" s="601" t="inlineStr">
        <is>
          <t>Entity</t>
        </is>
      </c>
      <c r="F10" s="601" t="inlineStr">
        <is>
          <t>Attribute</t>
        </is>
      </c>
      <c r="G10" s="601" t="inlineStr">
        <is>
          <t>Bảng đích</t>
        </is>
      </c>
      <c r="H10" s="601" t="inlineStr">
        <is>
          <t>Cột đích</t>
        </is>
      </c>
      <c r="I10" s="601" t="inlineStr">
        <is>
          <t>Kiểu dữ liệu</t>
        </is>
      </c>
      <c r="J10" s="601" t="inlineStr">
        <is>
          <t>Độ dài</t>
        </is>
      </c>
      <c r="K10" s="601" t="inlineStr">
        <is>
          <t>Diễn giải</t>
        </is>
      </c>
      <c r="L10" s="603" t="inlineStr">
        <is>
          <t>Glossary</t>
        </is>
      </c>
      <c r="M10" s="601" t="inlineStr">
        <is>
          <t>Term</t>
        </is>
      </c>
      <c r="N10" s="601" t="inlineStr">
        <is>
          <t>DDL Comment</t>
        </is>
      </c>
      <c r="O10" s="413" t="inlineStr">
        <is>
          <t>Ghi chú kỹ thuật &amp; Business Rule</t>
        </is>
      </c>
    </row>
    <row r="11" ht="27" customHeight="1" s="335">
      <c r="A11" s="618" t="inlineStr">
        <is>
          <t>PG_SILVER</t>
        </is>
      </c>
      <c r="B11" s="618" t="inlineStr">
        <is>
          <t>LOAN_AR</t>
        </is>
      </c>
      <c r="C11" s="608" t="inlineStr">
        <is>
          <t>EFF_DT</t>
        </is>
      </c>
      <c r="D11" s="609" t="inlineStr">
        <is>
          <t>${ETL_DATE}</t>
        </is>
      </c>
      <c r="E11" s="608" t="inlineStr">
        <is>
          <t>Interface Loan Disbursement</t>
        </is>
      </c>
      <c r="F11" s="608" t="inlineStr">
        <is>
          <t>Calendar Date</t>
        </is>
      </c>
      <c r="G11" s="608" t="inlineStr">
        <is>
          <t>INTF_LOAN_DSBR</t>
        </is>
      </c>
      <c r="H11" s="619" t="inlineStr">
        <is>
          <t>CDR_DT</t>
        </is>
      </c>
      <c r="I11" s="620" t="inlineStr">
        <is>
          <t>DATE</t>
        </is>
      </c>
      <c r="J11" s="621" t="n"/>
      <c r="K11" s="608" t="inlineStr">
        <is>
          <t>Ngày dữ liệu</t>
        </is>
      </c>
      <c r="L11" s="527" t="inlineStr">
        <is>
          <t>Ngày dữ liệu trong dwh</t>
        </is>
      </c>
      <c r="N11" s="334">
        <f>"COMMENT ON COLUMN PG_GOLD."&amp;G11&amp;"."&amp;H11&amp;" IS '"&amp;K11&amp;"';"</f>
        <v/>
      </c>
      <c r="O11" s="414" t="inlineStr">
        <is>
          <t>Đổi `:ETL_DATE` -&gt; `${ETL_DATE}` và bổ sung kiểu `DATE`.</t>
        </is>
      </c>
    </row>
    <row r="12" ht="15" customHeight="1" s="335">
      <c r="A12" s="618" t="inlineStr">
        <is>
          <t>PG_SILVER</t>
        </is>
      </c>
      <c r="B12" s="607" t="inlineStr">
        <is>
          <t>LOAN_AR</t>
        </is>
      </c>
      <c r="C12" s="607" t="inlineStr">
        <is>
          <t>AR_CODE</t>
        </is>
      </c>
      <c r="D12" s="608" t="inlineStr">
        <is>
          <t>1:1</t>
        </is>
      </c>
      <c r="E12" s="608" t="inlineStr">
        <is>
          <t>Interface Loan Disbursement</t>
        </is>
      </c>
      <c r="F12" s="608" t="inlineStr">
        <is>
          <t>Arrangement Code</t>
        </is>
      </c>
      <c r="G12" s="608" t="inlineStr">
        <is>
          <t>INTF_LOAN_DSBR</t>
        </is>
      </c>
      <c r="H12" s="607" t="inlineStr">
        <is>
          <t>AR_CODE</t>
        </is>
      </c>
      <c r="I12" s="608" t="inlineStr">
        <is>
          <t>VARCHAR2</t>
        </is>
      </c>
      <c r="J12" s="605" t="n">
        <v>40</v>
      </c>
      <c r="K12" s="608" t="inlineStr">
        <is>
          <t>Mã hợp đồng</t>
        </is>
      </c>
      <c r="L12" s="603" t="inlineStr">
        <is>
          <t>Mã tài khoản vay</t>
        </is>
      </c>
      <c r="M12" s="334" t="inlineStr">
        <is>
          <t>AR_CODE</t>
        </is>
      </c>
      <c r="N12" s="334">
        <f>"COMMENT ON COLUMN PG_GOLD."&amp;G12&amp;"."&amp;H12&amp;" IS '"&amp;K12&amp;"';"</f>
        <v/>
      </c>
      <c r="O12" s="603" t="n"/>
    </row>
    <row r="13" ht="15" customHeight="1" s="335">
      <c r="A13" s="618" t="inlineStr">
        <is>
          <t>PG_SILVER</t>
        </is>
      </c>
      <c r="B13" s="607" t="inlineStr">
        <is>
          <t>LOAN_AR</t>
        </is>
      </c>
      <c r="C13" s="607" t="inlineStr">
        <is>
          <t>CST_CODE</t>
        </is>
      </c>
      <c r="D13" s="608" t="inlineStr">
        <is>
          <t>1:1</t>
        </is>
      </c>
      <c r="E13" s="608" t="inlineStr">
        <is>
          <t>Interface Loan Disbursement</t>
        </is>
      </c>
      <c r="F13" s="608" t="inlineStr">
        <is>
          <t>Customer Code</t>
        </is>
      </c>
      <c r="G13" s="608" t="inlineStr">
        <is>
          <t>INTF_LOAN_DSBR</t>
        </is>
      </c>
      <c r="H13" s="607" t="inlineStr">
        <is>
          <t>CST_CODE</t>
        </is>
      </c>
      <c r="I13" s="608" t="inlineStr">
        <is>
          <t>VARCHAR2</t>
        </is>
      </c>
      <c r="J13" s="605" t="n">
        <v>20</v>
      </c>
      <c r="K13" s="608" t="inlineStr">
        <is>
          <t>Mã khách hàng</t>
        </is>
      </c>
      <c r="L13" s="603" t="n"/>
      <c r="M13" s="334" t="inlineStr">
        <is>
          <t>CST_CODE</t>
        </is>
      </c>
      <c r="N13" s="334">
        <f>"COMMENT ON COLUMN PG_GOLD."&amp;G13&amp;"."&amp;H13&amp;" IS '"&amp;K13&amp;"';"</f>
        <v/>
      </c>
      <c r="O13" s="603" t="n"/>
    </row>
    <row r="14" ht="15" customHeight="1" s="335">
      <c r="A14" s="618" t="inlineStr">
        <is>
          <t>PG_SILVER</t>
        </is>
      </c>
      <c r="B14" s="607" t="inlineStr">
        <is>
          <t>LOAN_AR_PRFL</t>
        </is>
      </c>
      <c r="C14" s="607" t="inlineStr">
        <is>
          <t>OU_CODE</t>
        </is>
      </c>
      <c r="D14" s="608" t="inlineStr">
        <is>
          <t>1:1</t>
        </is>
      </c>
      <c r="E14" s="608" t="inlineStr">
        <is>
          <t>Interface Loan Disbursement</t>
        </is>
      </c>
      <c r="F14" s="608" t="inlineStr">
        <is>
          <t>Organization Unit Code</t>
        </is>
      </c>
      <c r="G14" s="608" t="inlineStr">
        <is>
          <t>INTF_LOAN_DSBR</t>
        </is>
      </c>
      <c r="H14" s="607" t="inlineStr">
        <is>
          <t>OU_CODE</t>
        </is>
      </c>
      <c r="I14" s="608" t="inlineStr">
        <is>
          <t>VARCHAR2</t>
        </is>
      </c>
      <c r="J14" s="605" t="n">
        <v>32</v>
      </c>
      <c r="K14" s="608" t="inlineStr">
        <is>
          <t>Mã chi nhánh quản lý hiện tại</t>
        </is>
      </c>
      <c r="L14" s="608" t="inlineStr">
        <is>
          <t>Mã chi nhánh quản lý hiện tại</t>
        </is>
      </c>
      <c r="M14" s="334" t="inlineStr">
        <is>
          <t>OU_CODE</t>
        </is>
      </c>
      <c r="N14" s="334">
        <f>"COMMENT ON COLUMN PG_GOLD."&amp;G14&amp;"."&amp;H14&amp;" IS '"&amp;K14&amp;"';"</f>
        <v/>
      </c>
      <c r="O14" s="603" t="n"/>
    </row>
    <row r="15" ht="15" customHeight="1" s="335">
      <c r="A15" s="618" t="inlineStr">
        <is>
          <t>PG_SILVER</t>
        </is>
      </c>
      <c r="B15" s="607" t="inlineStr">
        <is>
          <t>LOAN_AR</t>
        </is>
      </c>
      <c r="C15" s="608" t="inlineStr">
        <is>
          <t>VAL_DT, EFF_DT</t>
        </is>
      </c>
      <c r="D15" s="608" t="inlineStr">
        <is>
          <t>COALESCE(a.VAL_DT,a.EFF_DT)</t>
        </is>
      </c>
      <c r="E15" s="608" t="inlineStr">
        <is>
          <t>Interface Loan Disbursement</t>
        </is>
      </c>
      <c r="F15" s="415" t="inlineStr">
        <is>
          <t>Value Date</t>
        </is>
      </c>
      <c r="G15" s="608" t="inlineStr">
        <is>
          <t>INTF_LOAN_DSBR</t>
        </is>
      </c>
      <c r="H15" s="433" t="inlineStr">
        <is>
          <t>VAL_DT</t>
        </is>
      </c>
      <c r="I15" s="608" t="inlineStr">
        <is>
          <t>DATE</t>
        </is>
      </c>
      <c r="J15" s="622" t="n"/>
      <c r="K15" s="608" t="inlineStr">
        <is>
          <t>Ngày giải ngân</t>
        </is>
      </c>
      <c r="L15" s="623" t="inlineStr">
        <is>
          <t>Ngày giải ngân</t>
        </is>
      </c>
      <c r="M15" s="334" t="inlineStr">
        <is>
          <t>VAL_DT</t>
        </is>
      </c>
      <c r="N15" s="334">
        <f>"COMMENT ON COLUMN PG_GOLD."&amp;G15&amp;"."&amp;H15&amp;" IS '"&amp;K15&amp;"';"</f>
        <v/>
      </c>
      <c r="O15" s="603" t="n"/>
    </row>
    <row r="16" ht="15" customHeight="1" s="335">
      <c r="A16" s="618" t="inlineStr">
        <is>
          <t>PG_SILVER</t>
        </is>
      </c>
      <c r="B16" s="607" t="inlineStr">
        <is>
          <t>LOAN_AR</t>
        </is>
      </c>
      <c r="C16" s="608" t="inlineStr">
        <is>
          <t>EFF_DT</t>
        </is>
      </c>
      <c r="D16" s="608" t="inlineStr">
        <is>
          <t>1:1</t>
        </is>
      </c>
      <c r="E16" s="608" t="inlineStr">
        <is>
          <t>Interface Loan Disbursement</t>
        </is>
      </c>
      <c r="F16" s="608" t="inlineStr">
        <is>
          <t>Effective Date</t>
        </is>
      </c>
      <c r="G16" s="608" t="inlineStr">
        <is>
          <t>INTF_LOAN_DSBR</t>
        </is>
      </c>
      <c r="H16" s="608" t="inlineStr">
        <is>
          <t>EFF_DT</t>
        </is>
      </c>
      <c r="I16" s="608" t="inlineStr">
        <is>
          <t>DATE</t>
        </is>
      </c>
      <c r="J16" s="608" t="n"/>
      <c r="K16" s="608" t="inlineStr">
        <is>
          <t>Ngày hiệu lực hợp đồng</t>
        </is>
      </c>
      <c r="L16" s="608" t="inlineStr">
        <is>
          <t>Ngày hiệu lực hợp đồng</t>
        </is>
      </c>
      <c r="M16" s="334" t="inlineStr">
        <is>
          <t>EFF_DT</t>
        </is>
      </c>
      <c r="N16" s="334">
        <f>"COMMENT ON COLUMN PG_GOLD."&amp;G16&amp;"."&amp;H16&amp;" IS '"&amp;K16&amp;"';"</f>
        <v/>
      </c>
      <c r="O16" s="603" t="n"/>
    </row>
    <row r="17" ht="15" customHeight="1" s="335">
      <c r="A17" s="618" t="inlineStr">
        <is>
          <t>PG_SILVER</t>
        </is>
      </c>
      <c r="B17" s="607" t="inlineStr">
        <is>
          <t>LOAN_AR</t>
        </is>
      </c>
      <c r="C17" s="608" t="inlineStr">
        <is>
          <t>MAT_DT</t>
        </is>
      </c>
      <c r="D17" s="608" t="inlineStr">
        <is>
          <t>1:1</t>
        </is>
      </c>
      <c r="E17" s="608" t="inlineStr">
        <is>
          <t>Interface Loan Disbursement</t>
        </is>
      </c>
      <c r="F17" s="608" t="inlineStr">
        <is>
          <t>Maturity Date</t>
        </is>
      </c>
      <c r="G17" s="608" t="inlineStr">
        <is>
          <t>INTF_LOAN_DSBR</t>
        </is>
      </c>
      <c r="H17" s="608" t="inlineStr">
        <is>
          <t>MAT_DT</t>
        </is>
      </c>
      <c r="I17" s="608" t="inlineStr">
        <is>
          <t>DATE</t>
        </is>
      </c>
      <c r="J17" s="608" t="n"/>
      <c r="K17" s="608" t="inlineStr">
        <is>
          <t>Ngày hiệu lực hợp đồng</t>
        </is>
      </c>
      <c r="L17" s="603" t="inlineStr">
        <is>
          <t>Ngày đáo hạn khoản vay</t>
        </is>
      </c>
      <c r="M17" s="334" t="inlineStr">
        <is>
          <t>MAT_DT</t>
        </is>
      </c>
      <c r="N17" s="334">
        <f>"COMMENT ON COLUMN PG_GOLD."&amp;G17&amp;"."&amp;H17&amp;" IS '"&amp;K17&amp;"';"</f>
        <v/>
      </c>
      <c r="O17" s="603" t="n"/>
    </row>
    <row r="18" ht="15" customHeight="1" s="335">
      <c r="A18" s="618" t="inlineStr">
        <is>
          <t>PG_SILVER</t>
        </is>
      </c>
      <c r="B18" s="607" t="inlineStr">
        <is>
          <t>LOAN_AR</t>
        </is>
      </c>
      <c r="C18" s="607" t="inlineStr">
        <is>
          <t>CCY_CODE</t>
        </is>
      </c>
      <c r="D18" s="608" t="inlineStr">
        <is>
          <t>1:1</t>
        </is>
      </c>
      <c r="E18" s="608" t="inlineStr">
        <is>
          <t>Interface Loan Disbursement</t>
        </is>
      </c>
      <c r="F18" s="608" t="inlineStr">
        <is>
          <t>Currency Code</t>
        </is>
      </c>
      <c r="G18" s="608" t="inlineStr">
        <is>
          <t>INTF_LOAN_DSBR</t>
        </is>
      </c>
      <c r="H18" s="607" t="inlineStr">
        <is>
          <t>CCY_CODE</t>
        </is>
      </c>
      <c r="I18" s="608" t="inlineStr">
        <is>
          <t>VARCHAR2</t>
        </is>
      </c>
      <c r="J18" s="605" t="n">
        <v>20</v>
      </c>
      <c r="K18" s="608" t="inlineStr">
        <is>
          <t>Loại tiền</t>
        </is>
      </c>
      <c r="L18" s="603" t="inlineStr">
        <is>
          <t>Loại tiền</t>
        </is>
      </c>
      <c r="M18" s="334" t="inlineStr">
        <is>
          <t>CCY_CODE</t>
        </is>
      </c>
      <c r="N18" s="334">
        <f>"COMMENT ON COLUMN PG_GOLD."&amp;G18&amp;"."&amp;H18&amp;" IS '"&amp;K18&amp;"';"</f>
        <v/>
      </c>
      <c r="O18" s="603" t="n"/>
    </row>
    <row r="19" ht="15" customHeight="1" s="335">
      <c r="A19" s="618" t="inlineStr">
        <is>
          <t>PG_SILVER</t>
        </is>
      </c>
      <c r="B19" s="607" t="inlineStr">
        <is>
          <t>LOAN_AR</t>
        </is>
      </c>
      <c r="C19" s="607" t="inlineStr">
        <is>
          <t>AR_PPS_TP_CODE</t>
        </is>
      </c>
      <c r="D19" s="608" t="inlineStr">
        <is>
          <t>1:1</t>
        </is>
      </c>
      <c r="E19" s="608" t="inlineStr">
        <is>
          <t>Interface Loan Disbursement</t>
        </is>
      </c>
      <c r="F19" s="608" t="inlineStr">
        <is>
          <t>Arrangement Purpose Type Code</t>
        </is>
      </c>
      <c r="G19" s="608" t="inlineStr">
        <is>
          <t>INTF_LOAN_DSBR</t>
        </is>
      </c>
      <c r="H19" s="607" t="inlineStr">
        <is>
          <t>AR_PPS_TP_CODE</t>
        </is>
      </c>
      <c r="I19" s="608" t="inlineStr">
        <is>
          <t>VARCHAR2</t>
        </is>
      </c>
      <c r="J19" s="605" t="n">
        <v>40</v>
      </c>
      <c r="K19" s="608" t="inlineStr">
        <is>
          <t>Mã mục đích vay</t>
        </is>
      </c>
      <c r="L19" s="608" t="inlineStr">
        <is>
          <t>Mã mục đích vay</t>
        </is>
      </c>
      <c r="M19" s="334" t="inlineStr">
        <is>
          <t>AR_PPS_TP_CODE</t>
        </is>
      </c>
      <c r="N19" s="334">
        <f>"COMMENT ON COLUMN PG_GOLD."&amp;G19&amp;"."&amp;H19&amp;" IS '"&amp;K19&amp;"';"</f>
        <v/>
      </c>
      <c r="O19" s="603" t="n"/>
    </row>
    <row r="20" ht="15" customHeight="1" s="335">
      <c r="A20" s="618" t="inlineStr">
        <is>
          <t>PG_SILVER</t>
        </is>
      </c>
      <c r="B20" s="607" t="inlineStr">
        <is>
          <t>LOAN_AR</t>
        </is>
      </c>
      <c r="C20" s="607" t="inlineStr">
        <is>
          <t>PPR_CTR_NBR</t>
        </is>
      </c>
      <c r="D20" s="608" t="inlineStr">
        <is>
          <t>1:1</t>
        </is>
      </c>
      <c r="E20" s="608" t="inlineStr">
        <is>
          <t>Interface Loan Disbursement</t>
        </is>
      </c>
      <c r="F20" s="608" t="inlineStr">
        <is>
          <t>Paper Contract Number</t>
        </is>
      </c>
      <c r="G20" s="608" t="inlineStr">
        <is>
          <t>INTF_LOAN_DSBR</t>
        </is>
      </c>
      <c r="H20" s="607" t="inlineStr">
        <is>
          <t>PPR_CTR_NBR</t>
        </is>
      </c>
      <c r="I20" s="608" t="inlineStr">
        <is>
          <t>VARCHAR2</t>
        </is>
      </c>
      <c r="J20" s="605" t="n">
        <v>100</v>
      </c>
      <c r="K20" s="608" t="inlineStr">
        <is>
          <t>Mã hồ sơ</t>
        </is>
      </c>
      <c r="L20" s="603" t="inlineStr">
        <is>
          <t>Số hợp đồng giấy</t>
        </is>
      </c>
      <c r="M20" s="334" t="inlineStr">
        <is>
          <t>PPR_CTR_NBR</t>
        </is>
      </c>
      <c r="N20" s="334">
        <f>"COMMENT ON COLUMN PG_GOLD."&amp;G20&amp;"."&amp;H20&amp;" IS '"&amp;K20&amp;"';"</f>
        <v/>
      </c>
      <c r="O20" s="603" t="n"/>
    </row>
    <row r="21" ht="15" customHeight="1" s="335">
      <c r="A21" s="618" t="inlineStr">
        <is>
          <t>PG_SILVER</t>
        </is>
      </c>
      <c r="B21" s="607" t="inlineStr">
        <is>
          <t>LOAN_AR</t>
        </is>
      </c>
      <c r="C21" s="607" t="inlineStr">
        <is>
          <t>PD_CGY_CODE</t>
        </is>
      </c>
      <c r="D21" s="608" t="inlineStr">
        <is>
          <t>1:1</t>
        </is>
      </c>
      <c r="E21" s="608" t="inlineStr">
        <is>
          <t>Interface Loan Disbursement</t>
        </is>
      </c>
      <c r="F21" s="603" t="inlineStr">
        <is>
          <t>Product Category Code</t>
        </is>
      </c>
      <c r="G21" s="608" t="inlineStr">
        <is>
          <t>INTF_LOAN_DSBR</t>
        </is>
      </c>
      <c r="H21" s="607" t="inlineStr">
        <is>
          <t>PD_CGY_CODE</t>
        </is>
      </c>
      <c r="I21" s="608" t="inlineStr">
        <is>
          <t>VARCHAR2</t>
        </is>
      </c>
      <c r="J21" s="605" t="n">
        <v>20</v>
      </c>
      <c r="K21" s="608" t="inlineStr">
        <is>
          <t>Mã phân loại sản phẩm</t>
        </is>
      </c>
      <c r="L21" s="603" t="inlineStr">
        <is>
          <t>Mã phân loại sản phẩm vay</t>
        </is>
      </c>
      <c r="M21" s="334" t="inlineStr">
        <is>
          <t>PD_CGY_CODE</t>
        </is>
      </c>
      <c r="N21" s="334">
        <f>"COMMENT ON COLUMN PG_GOLD."&amp;G21&amp;"."&amp;H21&amp;" IS '"&amp;K21&amp;"';"</f>
        <v/>
      </c>
      <c r="O21" s="603" t="n"/>
    </row>
    <row r="22" ht="15" customHeight="1" s="335">
      <c r="A22" s="618" t="inlineStr">
        <is>
          <t>PG_SILVER</t>
        </is>
      </c>
      <c r="B22" s="607" t="inlineStr">
        <is>
          <t>LOAN_AR</t>
        </is>
      </c>
      <c r="C22" s="607" t="inlineStr">
        <is>
          <t>ORIG_AMT_FCY</t>
        </is>
      </c>
      <c r="D22" s="608" t="inlineStr">
        <is>
          <t>1:1</t>
        </is>
      </c>
      <c r="E22" s="608" t="inlineStr">
        <is>
          <t>Interface Loan Disbursement</t>
        </is>
      </c>
      <c r="F22" s="608" t="inlineStr">
        <is>
          <t>Original Amount FCY</t>
        </is>
      </c>
      <c r="G22" s="608" t="inlineStr">
        <is>
          <t>INTF_LOAN_DSBR</t>
        </is>
      </c>
      <c r="H22" s="607" t="inlineStr">
        <is>
          <t>ORIG_AMT_FCY</t>
        </is>
      </c>
      <c r="I22" s="608" t="inlineStr">
        <is>
          <t>NUMBER</t>
        </is>
      </c>
      <c r="J22" s="605" t="n">
        <v>25.5</v>
      </c>
      <c r="K22" s="608" t="inlineStr">
        <is>
          <t>Giá trị phê duyệt</t>
        </is>
      </c>
      <c r="L22" s="608" t="inlineStr">
        <is>
          <t>Giá trị phê duyệt</t>
        </is>
      </c>
      <c r="M22" s="334" t="inlineStr">
        <is>
          <t>ORIG_AMT_FCY</t>
        </is>
      </c>
      <c r="N22" s="334">
        <f>"COMMENT ON COLUMN PG_GOLD."&amp;G22&amp;"."&amp;H22&amp;" IS '"&amp;K22&amp;"';"</f>
        <v/>
      </c>
      <c r="O22" s="603" t="n"/>
    </row>
    <row r="23" ht="15" customHeight="1" s="335">
      <c r="A23" s="618" t="inlineStr">
        <is>
          <t>PG_SILVER</t>
        </is>
      </c>
      <c r="B23" s="607" t="inlineStr">
        <is>
          <t>LOAN_AR</t>
        </is>
      </c>
      <c r="C23" s="608" t="inlineStr">
        <is>
          <t>CCY_CODE, EXG_RATE_TO_LCL_CCY</t>
        </is>
      </c>
      <c r="D23" s="608" t="inlineStr">
        <is>
          <t>DECODE(a.CCY_CODE, 'VND', 1, a.EXG_RATE_TO_LCL_CCY)</t>
        </is>
      </c>
      <c r="E23" s="608" t="inlineStr">
        <is>
          <t>Interface Loan Disbursement</t>
        </is>
      </c>
      <c r="F23" s="433" t="inlineStr">
        <is>
          <t>Exchange Rate To Local Currency</t>
        </is>
      </c>
      <c r="G23" s="608" t="inlineStr">
        <is>
          <t>INTF_LOAN_DSBR</t>
        </is>
      </c>
      <c r="H23" s="433" t="inlineStr">
        <is>
          <t>EXG_RATE_TO_LCL_CCY</t>
        </is>
      </c>
      <c r="I23" s="608" t="inlineStr">
        <is>
          <t>NUMBER</t>
        </is>
      </c>
      <c r="J23" s="605" t="n">
        <v>25.7</v>
      </c>
      <c r="K23" s="608" t="inlineStr">
        <is>
          <t>Tỷ giá</t>
        </is>
      </c>
      <c r="L23" s="603" t="inlineStr">
        <is>
          <t>Tỷ giá</t>
        </is>
      </c>
      <c r="M23" s="334" t="inlineStr">
        <is>
          <t>EXG_RATE_TO_LCL_CCY</t>
        </is>
      </c>
      <c r="N23" s="334">
        <f>"COMMENT ON COLUMN PG_GOLD."&amp;G23&amp;"."&amp;H23&amp;" IS '"&amp;K23&amp;"';"</f>
        <v/>
      </c>
      <c r="O23" s="603" t="n"/>
    </row>
    <row r="24" ht="15" customHeight="1" s="335">
      <c r="A24" s="618" t="inlineStr">
        <is>
          <t>PG_SILVER</t>
        </is>
      </c>
      <c r="B24" s="607" t="inlineStr">
        <is>
          <t>LOAN_AR</t>
        </is>
      </c>
      <c r="C24" s="608" t="inlineStr">
        <is>
          <t>ORIG_AMT_FCY, CCY_CODE, EXG_RATE_TO_LCL_CCY</t>
        </is>
      </c>
      <c r="D24" s="608" t="inlineStr">
        <is>
          <t>a.ORIG_AMT_FCY  * DECODE(a.CCY_CODE, 'VND', 1, a.EXG_RATE_TO_LCL_CCY)</t>
        </is>
      </c>
      <c r="E24" s="608" t="inlineStr">
        <is>
          <t>Interface Loan Disbursement</t>
        </is>
      </c>
      <c r="F24" s="608" t="inlineStr">
        <is>
          <t>Original Amount LCY</t>
        </is>
      </c>
      <c r="G24" s="608" t="inlineStr">
        <is>
          <t>INTF_LOAN_DSBR</t>
        </is>
      </c>
      <c r="H24" s="433" t="inlineStr">
        <is>
          <t>ORIG_AMT_LCY</t>
        </is>
      </c>
      <c r="I24" s="608" t="inlineStr">
        <is>
          <t>NUMBER</t>
        </is>
      </c>
      <c r="J24" s="605" t="n">
        <v>25.5</v>
      </c>
      <c r="K24" s="608" t="inlineStr">
        <is>
          <t>Giá trị phê duyệt quy đổi</t>
        </is>
      </c>
      <c r="L24" s="608" t="inlineStr">
        <is>
          <t>Giá trị phê duyệt quy đổi</t>
        </is>
      </c>
      <c r="M24" s="334" t="inlineStr">
        <is>
          <t>ORIG_AMT_LCY</t>
        </is>
      </c>
      <c r="N24" s="334">
        <f>"COMMENT ON COLUMN PG_GOLD."&amp;G24&amp;"."&amp;H24&amp;" IS '"&amp;K24&amp;"';"</f>
        <v/>
      </c>
      <c r="O24" s="603" t="n"/>
    </row>
    <row r="25" ht="41.25" customHeight="1" s="335">
      <c r="A25" s="618" t="inlineStr">
        <is>
          <t>PG_SILVER</t>
        </is>
      </c>
      <c r="B25" s="618" t="inlineStr">
        <is>
          <t>EMPE</t>
        </is>
      </c>
      <c r="C25" s="608" t="inlineStr">
        <is>
          <t>EMPE_NM</t>
        </is>
      </c>
      <c r="D25" s="609" t="inlineStr">
        <is>
          <t>1:1</t>
        </is>
      </c>
      <c r="E25" s="608" t="inlineStr">
        <is>
          <t>Interface Loan Disbursement</t>
        </is>
      </c>
      <c r="F25" s="608" t="inlineStr">
        <is>
          <t>Employee Name</t>
        </is>
      </c>
      <c r="G25" s="608" t="inlineStr">
        <is>
          <t>INTF_LOAN_DSBR</t>
        </is>
      </c>
      <c r="H25" s="608" t="inlineStr">
        <is>
          <t>EMPE_NM</t>
        </is>
      </c>
      <c r="I25" s="608" t="inlineStr">
        <is>
          <t>VARCHAR2</t>
        </is>
      </c>
      <c r="J25" s="605" t="n">
        <v>255</v>
      </c>
      <c r="K25" s="624" t="inlineStr">
        <is>
          <t>Tên nhân viên hạch toán</t>
        </is>
      </c>
      <c r="L25" s="603" t="inlineStr">
        <is>
          <t>Cán bộ hạch toán</t>
        </is>
      </c>
      <c r="M25" s="334" t="inlineStr">
        <is>
          <t>EMPE_NM</t>
        </is>
      </c>
      <c r="N25" s="334">
        <f>"COMMENT ON COLUMN PG_GOLD."&amp;G25&amp;"."&amp;H25&amp;" IS '"&amp;K25&amp;"';"</f>
        <v/>
      </c>
      <c r="O25" s="414" t="inlineStr">
        <is>
          <t>Khởi tạo sheet `Arrangement x Involved Party` (AR_X_IP_RLTNP) cho bảng `c` và lọc `SYS_EXP_DT IS NULL` trên toàn bộ các bảng SCD2.</t>
        </is>
      </c>
    </row>
    <row r="26" ht="15" customHeight="1" s="335">
      <c r="A26" s="618" t="inlineStr">
        <is>
          <t>PG_SILVER</t>
        </is>
      </c>
      <c r="B26" s="608" t="inlineStr">
        <is>
          <t>AR_RATE_HIST</t>
        </is>
      </c>
      <c r="C26" s="608" t="inlineStr">
        <is>
          <t>EFF_RATE_PCT</t>
        </is>
      </c>
      <c r="D26" s="608" t="inlineStr">
        <is>
          <t>1:1</t>
        </is>
      </c>
      <c r="E26" s="608" t="inlineStr">
        <is>
          <t>Interface Loan Disbursement</t>
        </is>
      </c>
      <c r="F26" s="608" t="inlineStr">
        <is>
          <t>Effective Rate Percentage</t>
        </is>
      </c>
      <c r="G26" s="608" t="inlineStr">
        <is>
          <t>INTF_LOAN_DSBR</t>
        </is>
      </c>
      <c r="H26" s="608" t="inlineStr">
        <is>
          <t>EFF_RATE_PCT</t>
        </is>
      </c>
      <c r="I26" s="608" t="inlineStr">
        <is>
          <t>NUMBER</t>
        </is>
      </c>
      <c r="J26" s="605" t="n">
        <v>25.7</v>
      </c>
      <c r="K26" s="608" t="inlineStr">
        <is>
          <t>Giá trị lãi suất</t>
        </is>
      </c>
      <c r="L26" s="603" t="inlineStr">
        <is>
          <t>Lãi suất vay</t>
        </is>
      </c>
      <c r="M26" s="334" t="inlineStr">
        <is>
          <t>EFF_RATE_PCT</t>
        </is>
      </c>
      <c r="N26" s="334">
        <f>"COMMENT ON COLUMN PG_GOLD."&amp;G26&amp;"."&amp;H26&amp;" IS '"&amp;K26&amp;"';"</f>
        <v/>
      </c>
      <c r="O26" s="603" t="n"/>
    </row>
    <row r="27" ht="15" customHeight="1" s="335">
      <c r="A27" s="618" t="inlineStr">
        <is>
          <t>PG_SILVER</t>
        </is>
      </c>
      <c r="B27" s="607" t="inlineStr">
        <is>
          <t>LOAN_AR_PRFL</t>
        </is>
      </c>
      <c r="C27" s="608" t="inlineStr">
        <is>
          <t>AR_PPS_BY_IDY</t>
        </is>
      </c>
      <c r="D27" s="608" t="inlineStr">
        <is>
          <t>1:1</t>
        </is>
      </c>
      <c r="E27" s="608" t="inlineStr">
        <is>
          <t>Interface Loan Disbursement</t>
        </is>
      </c>
      <c r="F27" s="608" t="inlineStr">
        <is>
          <t>Arrangement purpose by industry</t>
        </is>
      </c>
      <c r="G27" s="608" t="inlineStr">
        <is>
          <t>INTF_LOAN_DSBR</t>
        </is>
      </c>
      <c r="H27" s="608" t="inlineStr">
        <is>
          <t>AR_PPS_BY_IDY</t>
        </is>
      </c>
      <c r="I27" s="608" t="inlineStr">
        <is>
          <t>VARCHAR2</t>
        </is>
      </c>
      <c r="J27" s="605" t="n">
        <v>20</v>
      </c>
      <c r="K27" s="608" t="inlineStr">
        <is>
          <t>Mục đích vay theo ngành kinh tế</t>
        </is>
      </c>
      <c r="L27" s="608" t="inlineStr">
        <is>
          <t>Mục đích vay theo ngành kinh tế</t>
        </is>
      </c>
      <c r="M27" s="334" t="inlineStr">
        <is>
          <t>AR_PPS_BY_IDY</t>
        </is>
      </c>
      <c r="N27" s="334">
        <f>"COMMENT ON COLUMN PG_GOLD."&amp;G27&amp;"."&amp;H27&amp;" IS '"&amp;K27&amp;"';"</f>
        <v/>
      </c>
      <c r="O27" s="603" t="n"/>
    </row>
    <row r="28" ht="15" customHeight="1" s="335">
      <c r="A28" s="618" t="inlineStr">
        <is>
          <t>PG_SILVER</t>
        </is>
      </c>
      <c r="B28" s="607" t="inlineStr">
        <is>
          <t>LOAN_AR_PRFL</t>
        </is>
      </c>
      <c r="C28" s="608" t="inlineStr">
        <is>
          <t>LOS_CTR_CODE</t>
        </is>
      </c>
      <c r="D28" s="608" t="inlineStr">
        <is>
          <t>1:1</t>
        </is>
      </c>
      <c r="E28" s="608" t="inlineStr">
        <is>
          <t>Interface Loan Disbursement</t>
        </is>
      </c>
      <c r="F28" s="608" t="inlineStr">
        <is>
          <t>LOS Contract Code</t>
        </is>
      </c>
      <c r="G28" s="608" t="inlineStr">
        <is>
          <t>INTF_LOAN_DSBR</t>
        </is>
      </c>
      <c r="H28" s="608" t="inlineStr">
        <is>
          <t>LOS_CTR_CODE</t>
        </is>
      </c>
      <c r="I28" s="608" t="inlineStr">
        <is>
          <t>VARCHAR2</t>
        </is>
      </c>
      <c r="J28" s="605" t="n">
        <v>40</v>
      </c>
      <c r="K28" s="608" t="inlineStr">
        <is>
          <t>mã hợp đồng vay</t>
        </is>
      </c>
      <c r="L28" s="603" t="inlineStr">
        <is>
          <t>Mã hợp đồng trong LOS</t>
        </is>
      </c>
      <c r="M28" s="334" t="inlineStr">
        <is>
          <t>LOS_CTR_CODE</t>
        </is>
      </c>
      <c r="N28" s="334">
        <f>"COMMENT ON COLUMN PG_GOLD."&amp;G28&amp;"."&amp;H28&amp;" IS '"&amp;K28&amp;"';"</f>
        <v/>
      </c>
      <c r="O28" s="603" t="n"/>
    </row>
    <row r="29" ht="15" customHeight="1" s="335">
      <c r="A29" s="618" t="inlineStr">
        <is>
          <t>PG_SILVER</t>
        </is>
      </c>
      <c r="B29" s="607" t="inlineStr">
        <is>
          <t>LOAN_AR_PRFL</t>
        </is>
      </c>
      <c r="C29" s="608" t="inlineStr">
        <is>
          <t>CAR_AP_CODE</t>
        </is>
      </c>
      <c r="D29" s="608" t="inlineStr">
        <is>
          <t>1:1</t>
        </is>
      </c>
      <c r="E29" s="608" t="inlineStr">
        <is>
          <t>Interface Loan Disbursement</t>
        </is>
      </c>
      <c r="F29" s="608" t="inlineStr">
        <is>
          <t>Car Application Code</t>
        </is>
      </c>
      <c r="G29" s="608" t="inlineStr">
        <is>
          <t>INTF_LOAN_DSBR</t>
        </is>
      </c>
      <c r="H29" s="608" t="inlineStr">
        <is>
          <t>CAR_AP_CODE</t>
        </is>
      </c>
      <c r="I29" s="608" t="inlineStr">
        <is>
          <t>VARCHAR2</t>
        </is>
      </c>
      <c r="J29" s="605" t="n">
        <v>40</v>
      </c>
      <c r="K29" s="608" t="inlineStr">
        <is>
          <t>Mã hồ sơ đăng ký vay vốn mua xe</t>
        </is>
      </c>
      <c r="L29" s="608" t="inlineStr">
        <is>
          <t>Mã hồ sơ đăng ký vay vốn mua xe</t>
        </is>
      </c>
      <c r="M29" s="334" t="inlineStr">
        <is>
          <t>CAR_AP_CODE</t>
        </is>
      </c>
      <c r="N29" s="334">
        <f>"COMMENT ON COLUMN PG_GOLD."&amp;G29&amp;"."&amp;H29&amp;" IS '"&amp;K29&amp;"';"</f>
        <v/>
      </c>
      <c r="O29" s="603" t="n"/>
    </row>
    <row r="30" ht="15" customHeight="1" s="335">
      <c r="A30" s="618" t="inlineStr">
        <is>
          <t>PG_SILVER</t>
        </is>
      </c>
      <c r="B30" s="607" t="inlineStr">
        <is>
          <t>LOAN_AR_PRFL</t>
        </is>
      </c>
      <c r="C30" s="607" t="inlineStr">
        <is>
          <t>DSBR_PRPSL_OFCR</t>
        </is>
      </c>
      <c r="D30" s="608" t="inlineStr">
        <is>
          <t>1:1</t>
        </is>
      </c>
      <c r="E30" s="608" t="inlineStr">
        <is>
          <t>Interface Loan Disbursement</t>
        </is>
      </c>
      <c r="F30" s="608" t="inlineStr">
        <is>
          <t>Disbursement proposal officer</t>
        </is>
      </c>
      <c r="G30" s="608" t="inlineStr">
        <is>
          <t>INTF_LOAN_DSBR</t>
        </is>
      </c>
      <c r="H30" s="607" t="inlineStr">
        <is>
          <t>DSBR_PRPSL_OFCR</t>
        </is>
      </c>
      <c r="I30" s="608" t="inlineStr">
        <is>
          <t>VARCHAR2</t>
        </is>
      </c>
      <c r="J30" s="605" t="n">
        <v>40</v>
      </c>
      <c r="K30" s="608" t="inlineStr">
        <is>
          <t>Cán bộ đề xuất giải ngân</t>
        </is>
      </c>
      <c r="L30" s="603" t="inlineStr">
        <is>
          <t>Cán bộ giải ngân</t>
        </is>
      </c>
      <c r="M30" s="334" t="inlineStr">
        <is>
          <t>DSBR_PRPSL_OFCR</t>
        </is>
      </c>
      <c r="N30" s="334">
        <f>"COMMENT ON COLUMN PG_GOLD."&amp;G30&amp;"."&amp;H30&amp;" IS '"&amp;K30&amp;"';"</f>
        <v/>
      </c>
      <c r="O30" s="603" t="n"/>
    </row>
    <row r="31" ht="15" customHeight="1" s="335">
      <c r="A31" s="618" t="inlineStr">
        <is>
          <t>PG_SILVER</t>
        </is>
      </c>
      <c r="B31" s="607" t="inlineStr">
        <is>
          <t>LOAN_AR_PRFL</t>
        </is>
      </c>
      <c r="C31" s="607" t="inlineStr">
        <is>
          <t>DSBR_PRPSL_MGR</t>
        </is>
      </c>
      <c r="D31" s="608" t="inlineStr">
        <is>
          <t>1:1</t>
        </is>
      </c>
      <c r="E31" s="608" t="inlineStr">
        <is>
          <t>Interface Loan Disbursement</t>
        </is>
      </c>
      <c r="F31" s="608" t="inlineStr">
        <is>
          <t>Disbursement Proposal Manager</t>
        </is>
      </c>
      <c r="G31" s="608" t="inlineStr">
        <is>
          <t>INTF_LOAN_DSBR</t>
        </is>
      </c>
      <c r="H31" s="607" t="inlineStr">
        <is>
          <t>DSBR_PRPSL_MGR</t>
        </is>
      </c>
      <c r="I31" s="608" t="inlineStr">
        <is>
          <t>VARCHAR2</t>
        </is>
      </c>
      <c r="J31" s="605" t="n">
        <v>40</v>
      </c>
      <c r="K31" s="608" t="inlineStr">
        <is>
          <t>Người đề xuất giải ngân</t>
        </is>
      </c>
      <c r="L31" s="603" t="inlineStr">
        <is>
          <t>Trưởng nhóm giải ngân</t>
        </is>
      </c>
      <c r="M31" s="334" t="inlineStr">
        <is>
          <t>DSBR_PRPSL_MGR</t>
        </is>
      </c>
      <c r="N31" s="334">
        <f>"COMMENT ON COLUMN PG_GOLD."&amp;G31&amp;"."&amp;H31&amp;" IS '"&amp;K31&amp;"';"</f>
        <v/>
      </c>
      <c r="O31" s="603" t="n"/>
    </row>
    <row r="32" ht="27" customHeight="1" s="335">
      <c r="A32" s="618" t="inlineStr">
        <is>
          <t>PG_SILVER</t>
        </is>
      </c>
      <c r="B32" s="607" t="inlineStr">
        <is>
          <t>LOAN_AR</t>
        </is>
      </c>
      <c r="C32" s="607" t="inlineStr">
        <is>
          <t>PD_CODE</t>
        </is>
      </c>
      <c r="D32" s="608" t="inlineStr">
        <is>
          <t>1:1</t>
        </is>
      </c>
      <c r="E32" s="608" t="inlineStr">
        <is>
          <t>Interface Loan Disbursement</t>
        </is>
      </c>
      <c r="F32" s="603" t="inlineStr">
        <is>
          <t>Product Code</t>
        </is>
      </c>
      <c r="G32" s="608" t="inlineStr">
        <is>
          <t>INTF_LOAN_DSBR</t>
        </is>
      </c>
      <c r="H32" s="609" t="inlineStr">
        <is>
          <t>PD_CODE</t>
        </is>
      </c>
      <c r="I32" s="608" t="inlineStr">
        <is>
          <t>VARCHAR2</t>
        </is>
      </c>
      <c r="J32" s="605" t="n">
        <v>20</v>
      </c>
      <c r="K32" s="608" t="inlineStr">
        <is>
          <t>Mã nhóm sản phẩm</t>
        </is>
      </c>
      <c r="L32" s="603" t="inlineStr">
        <is>
          <t>Mã sản phẩm vay</t>
        </is>
      </c>
      <c r="M32" s="334" t="inlineStr">
        <is>
          <t>PD_CODE</t>
        </is>
      </c>
      <c r="N32" s="334">
        <f>"COMMENT ON COLUMN PG_GOLD."&amp;G32&amp;"."&amp;H32&amp;" IS '"&amp;K32&amp;"';"</f>
        <v/>
      </c>
      <c r="O32" s="414" t="inlineStr">
        <is>
          <t>Xóa ký tự xuống dòng trong `PRODUCT_CODE\nPD_CODE`.</t>
        </is>
      </c>
    </row>
    <row r="33" ht="27" customHeight="1" s="335">
      <c r="A33" s="618" t="inlineStr">
        <is>
          <t>PG_SILVER</t>
        </is>
      </c>
      <c r="B33" s="618" t="inlineStr">
        <is>
          <t>PD</t>
        </is>
      </c>
      <c r="C33" s="608" t="inlineStr">
        <is>
          <t>PD_NM</t>
        </is>
      </c>
      <c r="D33" s="608" t="inlineStr">
        <is>
          <t>1:1</t>
        </is>
      </c>
      <c r="E33" s="608" t="inlineStr">
        <is>
          <t>Interface Loan Disbursement</t>
        </is>
      </c>
      <c r="F33" s="603" t="inlineStr">
        <is>
          <t>Product Name</t>
        </is>
      </c>
      <c r="G33" s="608" t="inlineStr">
        <is>
          <t>INTF_LOAN_DSBR</t>
        </is>
      </c>
      <c r="H33" s="609" t="inlineStr">
        <is>
          <t>PD_NM</t>
        </is>
      </c>
      <c r="I33" s="608" t="inlineStr">
        <is>
          <t>VARCHAR2</t>
        </is>
      </c>
      <c r="J33" s="622" t="n">
        <v>255</v>
      </c>
      <c r="K33" s="608" t="inlineStr">
        <is>
          <t>Tên sản phẩm</t>
        </is>
      </c>
      <c r="L33" s="603" t="inlineStr">
        <is>
          <t>Tên sản phẩm vay</t>
        </is>
      </c>
      <c r="M33" s="334" t="inlineStr">
        <is>
          <t>PD_NM</t>
        </is>
      </c>
      <c r="N33" s="334">
        <f>"COMMENT ON COLUMN PG_GOLD."&amp;G33&amp;"."&amp;H33&amp;" IS '"&amp;K33&amp;"';"</f>
        <v/>
      </c>
      <c r="O33" s="414" t="inlineStr">
        <is>
          <t>Xóa ký tự xuống dòng trong `PRODUCT_NAME\nPD_NM`.</t>
        </is>
      </c>
    </row>
    <row r="34" ht="15" customHeight="1" s="335">
      <c r="A34" s="618" t="inlineStr">
        <is>
          <t>PG_SILVER</t>
        </is>
      </c>
      <c r="B34" s="607" t="inlineStr">
        <is>
          <t>LOAN_AR</t>
        </is>
      </c>
      <c r="C34" s="607" t="inlineStr">
        <is>
          <t>TERM_CODE</t>
        </is>
      </c>
      <c r="D34" s="608" t="inlineStr">
        <is>
          <t>1:1</t>
        </is>
      </c>
      <c r="E34" s="608" t="inlineStr">
        <is>
          <t>Interface Loan Disbursement</t>
        </is>
      </c>
      <c r="F34" s="608" t="inlineStr">
        <is>
          <t>Term Code</t>
        </is>
      </c>
      <c r="G34" s="608" t="inlineStr">
        <is>
          <t>INTF_LOAN_DSBR</t>
        </is>
      </c>
      <c r="H34" s="608" t="inlineStr">
        <is>
          <t>LOC_TERM</t>
        </is>
      </c>
      <c r="I34" s="608" t="inlineStr">
        <is>
          <t>VARCHAR2</t>
        </is>
      </c>
      <c r="J34" s="605" t="n">
        <v>20</v>
      </c>
      <c r="K34" s="608" t="inlineStr">
        <is>
          <t>Kỳ hạn</t>
        </is>
      </c>
      <c r="L34" s="603" t="inlineStr">
        <is>
          <t>Kỳ hạn vay</t>
        </is>
      </c>
      <c r="M34" s="334" t="inlineStr">
        <is>
          <t>TERM_CODE</t>
        </is>
      </c>
      <c r="N34" s="334">
        <f>"COMMENT ON COLUMN PG_GOLD."&amp;G34&amp;"."&amp;H34&amp;" IS '"&amp;K34&amp;"';"</f>
        <v/>
      </c>
      <c r="O34" s="603" t="n"/>
    </row>
    <row r="35" ht="15" customHeight="1" s="335"/>
    <row r="36" ht="15" customHeight="1" s="335"/>
    <row r="37" ht="15" customHeight="1" s="335"/>
    <row r="38" ht="15" customHeight="1" s="335"/>
    <row r="39" ht="15" customHeight="1" s="335"/>
    <row r="40" ht="15" customHeight="1" s="335"/>
    <row r="41" ht="15" customHeight="1" s="335"/>
    <row r="42" ht="15" customHeight="1" s="335"/>
    <row r="43" ht="15" customHeight="1" s="335"/>
    <row r="44" ht="15" customHeight="1" s="335"/>
    <row r="45" ht="15" customHeight="1" s="335"/>
    <row r="46" ht="15" customHeight="1" s="335"/>
    <row r="47" ht="15" customHeight="1" s="335"/>
    <row r="48" ht="15" customHeight="1" s="335"/>
    <row r="49" ht="15" customHeight="1" s="335"/>
    <row r="50" ht="15" customHeight="1" s="335"/>
    <row r="51" ht="15" customHeight="1" s="335"/>
    <row r="52" ht="15" customHeight="1" s="335"/>
    <row r="53" ht="15" customHeight="1" s="335"/>
    <row r="54" ht="15" customHeight="1" s="335"/>
    <row r="55" ht="15" customHeight="1" s="335"/>
    <row r="56" ht="15" customHeight="1" s="335"/>
    <row r="57" ht="15" customHeight="1" s="335"/>
    <row r="58" ht="15" customHeight="1" s="335"/>
    <row r="59" ht="15" customHeight="1" s="335"/>
    <row r="60" ht="15" customHeight="1" s="335"/>
    <row r="61" ht="15" customHeight="1" s="335"/>
    <row r="62" ht="15" customHeight="1" s="335"/>
    <row r="63" ht="15" customHeight="1" s="335"/>
    <row r="64" ht="15" customHeight="1" s="335"/>
    <row r="65" ht="15" customHeight="1" s="335"/>
    <row r="66" ht="15" customHeight="1" s="335"/>
    <row r="67" ht="15" customHeight="1" s="335"/>
    <row r="68" ht="15" customHeight="1" s="335"/>
    <row r="69" ht="15" customHeight="1" s="335"/>
    <row r="70" ht="15" customHeight="1" s="335"/>
    <row r="71" ht="15" customHeight="1" s="335"/>
    <row r="72" ht="15" customHeight="1" s="335"/>
    <row r="73" ht="15" customHeight="1" s="335"/>
    <row r="74" ht="15" customHeight="1" s="335"/>
    <row r="75" ht="15" customHeight="1" s="335"/>
    <row r="76" ht="15" customHeight="1" s="335"/>
    <row r="77" ht="15" customHeight="1" s="335"/>
    <row r="78" ht="15" customHeight="1" s="335"/>
    <row r="79" ht="15" customHeight="1" s="335"/>
    <row r="80" ht="15" customHeight="1" s="335"/>
    <row r="81" ht="15" customHeight="1" s="335"/>
    <row r="82" ht="15" customHeight="1" s="335"/>
    <row r="83" ht="15" customHeight="1" s="335"/>
    <row r="84" ht="15" customHeight="1" s="335"/>
    <row r="85" ht="15" customHeight="1" s="335"/>
    <row r="86" ht="15" customHeight="1" s="335"/>
    <row r="87" ht="15" customHeight="1" s="335"/>
    <row r="88" ht="15" customHeight="1" s="335"/>
    <row r="89" ht="15" customHeight="1" s="335"/>
    <row r="90" ht="15" customHeight="1" s="335"/>
    <row r="91" ht="15" customHeight="1" s="335"/>
    <row r="92" ht="15" customHeight="1" s="335"/>
    <row r="93" ht="15" customHeight="1" s="335"/>
    <row r="94" ht="15" customHeight="1" s="335"/>
    <row r="95" ht="15" customHeight="1" s="335"/>
    <row r="96" ht="15" customHeight="1" s="335"/>
    <row r="97" ht="15" customHeight="1" s="335"/>
    <row r="98" ht="15" customHeight="1" s="335"/>
    <row r="99" ht="15" customHeight="1" s="335"/>
    <row r="100" ht="15" customHeight="1" s="335"/>
    <row r="101" ht="15" customHeight="1" s="335"/>
    <row r="102" ht="15" customHeight="1" s="335"/>
    <row r="103" ht="15" customHeight="1" s="335"/>
    <row r="104" ht="15" customHeight="1" s="335"/>
    <row r="105" ht="15" customHeight="1" s="335"/>
    <row r="106" ht="15" customHeight="1" s="335"/>
    <row r="107" ht="15" customHeight="1" s="335"/>
    <row r="108" ht="15" customHeight="1" s="335"/>
    <row r="109" ht="15" customHeight="1" s="335"/>
    <row r="110" ht="15" customHeight="1" s="335"/>
    <row r="111" ht="15" customHeight="1" s="335"/>
    <row r="112" ht="15" customHeight="1" s="335"/>
    <row r="113" ht="15" customHeight="1" s="335"/>
    <row r="114" ht="15" customHeight="1" s="335"/>
    <row r="115" ht="15" customHeight="1" s="335"/>
    <row r="116" ht="15" customHeight="1" s="335"/>
    <row r="117" ht="15" customHeight="1" s="335"/>
    <row r="118" ht="15" customHeight="1" s="335"/>
    <row r="119" ht="15" customHeight="1" s="335"/>
    <row r="120" ht="15" customHeight="1" s="335"/>
    <row r="121" ht="15" customHeight="1" s="335"/>
    <row r="122" ht="15" customHeight="1" s="335"/>
    <row r="123" ht="15" customHeight="1" s="335"/>
    <row r="124" ht="15" customHeight="1" s="335"/>
    <row r="125" ht="15" customHeight="1" s="335"/>
    <row r="126" ht="15" customHeight="1" s="335"/>
    <row r="127" ht="15" customHeight="1" s="335"/>
    <row r="128" ht="15" customHeight="1" s="335"/>
    <row r="129" ht="15" customHeight="1" s="335"/>
    <row r="130" ht="15" customHeight="1" s="335"/>
    <row r="131" ht="15" customHeight="1" s="335"/>
    <row r="132" ht="15" customHeight="1" s="335"/>
    <row r="133" ht="15" customHeight="1" s="335"/>
    <row r="134" ht="15" customHeight="1" s="335"/>
    <row r="135" ht="15" customHeight="1" s="335"/>
    <row r="136" ht="15" customHeight="1" s="335"/>
    <row r="137" ht="15" customHeight="1" s="335"/>
    <row r="138" ht="15" customHeight="1" s="335"/>
    <row r="139" ht="15" customHeight="1" s="335"/>
    <row r="140" ht="15" customHeight="1" s="335"/>
    <row r="141" ht="15" customHeight="1" s="335"/>
    <row r="142" ht="15" customHeight="1" s="335"/>
    <row r="143" ht="15" customHeight="1" s="335"/>
    <row r="144" ht="15" customHeight="1" s="335"/>
    <row r="145" ht="15" customHeight="1" s="335"/>
    <row r="146" ht="15" customHeight="1" s="335"/>
    <row r="147" ht="15" customHeight="1" s="335"/>
    <row r="148" ht="15" customHeight="1" s="335"/>
    <row r="149" ht="15" customHeight="1" s="335"/>
    <row r="150" ht="15" customHeight="1" s="335"/>
    <row r="151" ht="15" customHeight="1" s="335"/>
    <row r="152" ht="15" customHeight="1" s="335"/>
    <row r="153" ht="15" customHeight="1" s="335"/>
    <row r="154" ht="15" customHeight="1" s="335"/>
    <row r="155" ht="15" customHeight="1" s="335"/>
    <row r="156" ht="15" customHeight="1" s="335"/>
    <row r="157" ht="15" customHeight="1" s="335"/>
    <row r="158" ht="15" customHeight="1" s="335"/>
    <row r="159" ht="15" customHeight="1" s="335"/>
    <row r="160" ht="15" customHeight="1" s="335"/>
    <row r="161" ht="15" customHeight="1" s="335"/>
    <row r="162" ht="15" customHeight="1" s="335"/>
    <row r="163" ht="15" customHeight="1" s="335"/>
    <row r="164" ht="15" customHeight="1" s="335"/>
    <row r="165" ht="15" customHeight="1" s="335"/>
    <row r="166" ht="15" customHeight="1" s="335"/>
    <row r="167" ht="15" customHeight="1" s="335"/>
    <row r="168" ht="15" customHeight="1" s="335"/>
    <row r="169" ht="15" customHeight="1" s="335"/>
    <row r="170" ht="15" customHeight="1" s="335"/>
    <row r="171" ht="15" customHeight="1" s="335"/>
    <row r="172" ht="15" customHeight="1" s="335"/>
    <row r="173" ht="15" customHeight="1" s="335"/>
    <row r="174" ht="15" customHeight="1" s="335"/>
    <row r="175" ht="15" customHeight="1" s="335"/>
    <row r="176" ht="15" customHeight="1" s="335"/>
    <row r="177" ht="15" customHeight="1" s="335"/>
    <row r="178" ht="15" customHeight="1" s="335"/>
    <row r="179" ht="15" customHeight="1" s="335"/>
    <row r="180" ht="15" customHeight="1" s="335"/>
    <row r="181" ht="15" customHeight="1" s="335"/>
    <row r="182" ht="15" customHeight="1" s="335"/>
    <row r="183" ht="15" customHeight="1" s="335"/>
    <row r="184" ht="15" customHeight="1" s="335"/>
    <row r="185" ht="15" customHeight="1" s="335"/>
    <row r="186" ht="15" customHeight="1" s="335"/>
    <row r="187" ht="15" customHeight="1" s="335"/>
    <row r="188" ht="15" customHeight="1" s="335"/>
    <row r="189" ht="15" customHeight="1" s="335"/>
    <row r="190" ht="15" customHeight="1" s="335"/>
    <row r="191" ht="15" customHeight="1" s="335"/>
    <row r="192" ht="15" customHeight="1" s="335"/>
    <row r="193" ht="15" customHeight="1" s="335"/>
    <row r="194" ht="15" customHeight="1" s="335"/>
    <row r="195" ht="15" customHeight="1" s="335"/>
    <row r="196" ht="15" customHeight="1" s="335"/>
    <row r="197" ht="15" customHeight="1" s="335"/>
    <row r="198" ht="15" customHeight="1" s="335"/>
    <row r="199" ht="15" customHeight="1" s="335"/>
    <row r="200" ht="15" customHeight="1" s="335"/>
    <row r="201" ht="15" customHeight="1" s="335"/>
    <row r="202" ht="15" customHeight="1" s="335"/>
    <row r="203" ht="15" customHeight="1" s="335"/>
    <row r="204" ht="15" customHeight="1" s="335"/>
    <row r="205" ht="15" customHeight="1" s="335"/>
    <row r="206" ht="15" customHeight="1" s="335"/>
    <row r="207" ht="15" customHeight="1" s="335"/>
    <row r="208" ht="15" customHeight="1" s="335"/>
    <row r="209" ht="15" customHeight="1" s="335"/>
    <row r="210" ht="15" customHeight="1" s="335"/>
    <row r="211" ht="15" customHeight="1" s="335"/>
    <row r="212" ht="15" customHeight="1" s="335"/>
    <row r="213" ht="15" customHeight="1" s="335"/>
    <row r="214" ht="15" customHeight="1" s="335"/>
    <row r="215" ht="15" customHeight="1" s="335"/>
    <row r="216" ht="15" customHeight="1" s="335"/>
    <row r="217" ht="15" customHeight="1" s="335"/>
    <row r="218" ht="15" customHeight="1" s="335"/>
    <row r="219" ht="15" customHeight="1" s="335"/>
    <row r="220" ht="15" customHeight="1" s="335"/>
    <row r="221" ht="15" customHeight="1" s="335"/>
    <row r="222" ht="15" customHeight="1" s="335"/>
    <row r="223" ht="15" customHeight="1" s="335"/>
    <row r="224" ht="15" customHeight="1" s="335"/>
    <row r="225" ht="15" customHeight="1" s="335"/>
    <row r="226" ht="15" customHeight="1" s="335"/>
    <row r="227" ht="15" customHeight="1" s="335"/>
    <row r="228" ht="15" customHeight="1" s="335"/>
    <row r="229" ht="15" customHeight="1" s="335"/>
    <row r="230" ht="15" customHeight="1" s="335"/>
    <row r="231" ht="15" customHeight="1" s="335"/>
    <row r="232" ht="15" customHeight="1" s="335"/>
    <row r="233" ht="15" customHeight="1" s="335"/>
    <row r="234" ht="15" customHeight="1" s="335"/>
    <row r="235" ht="15" customHeight="1" s="335"/>
    <row r="236" ht="15" customHeight="1" s="335"/>
    <row r="237" ht="15" customHeight="1" s="335"/>
    <row r="238" ht="15" customHeight="1" s="335"/>
    <row r="239" ht="15" customHeight="1" s="335"/>
    <row r="240" ht="15" customHeight="1" s="335"/>
    <row r="241" ht="15" customHeight="1" s="335"/>
    <row r="242" ht="15" customHeight="1" s="335"/>
    <row r="243" ht="15" customHeight="1" s="335"/>
    <row r="244" ht="15" customHeight="1" s="335"/>
    <row r="245" ht="15" customHeight="1" s="335"/>
    <row r="246" ht="15" customHeight="1" s="335"/>
    <row r="247" ht="15" customHeight="1" s="335"/>
    <row r="248" ht="15" customHeight="1" s="335"/>
    <row r="249" ht="15" customHeight="1" s="335"/>
    <row r="250" ht="15" customHeight="1" s="335"/>
    <row r="251" ht="15" customHeight="1" s="335"/>
    <row r="252" ht="15" customHeight="1" s="335"/>
    <row r="253" ht="15" customHeight="1" s="335"/>
    <row r="254" ht="15" customHeight="1" s="335"/>
    <row r="255" ht="15" customHeight="1" s="335"/>
    <row r="256" ht="15" customHeight="1" s="335"/>
    <row r="257" ht="15" customHeight="1" s="335"/>
    <row r="258" ht="15" customHeight="1" s="335"/>
    <row r="259" ht="15" customHeight="1" s="335"/>
    <row r="260" ht="15" customHeight="1" s="335"/>
    <row r="261" ht="15" customHeight="1" s="335"/>
    <row r="262" ht="15" customHeight="1" s="335"/>
    <row r="263" ht="15" customHeight="1" s="335"/>
    <row r="264" ht="15" customHeight="1" s="335"/>
    <row r="265" ht="15" customHeight="1" s="335"/>
    <row r="266" ht="15" customHeight="1" s="335"/>
    <row r="267" ht="15" customHeight="1" s="335"/>
    <row r="268" ht="15" customHeight="1" s="335"/>
    <row r="269" ht="15" customHeight="1" s="335"/>
    <row r="270" ht="15" customHeight="1" s="335"/>
    <row r="271" ht="15" customHeight="1" s="335"/>
    <row r="272" ht="15" customHeight="1" s="335"/>
    <row r="273" ht="15" customHeight="1" s="335"/>
    <row r="274" ht="15" customHeight="1" s="335"/>
    <row r="275" ht="15" customHeight="1" s="335"/>
    <row r="276" ht="15" customHeight="1" s="335"/>
    <row r="277" ht="15" customHeight="1" s="335"/>
    <row r="278" ht="15" customHeight="1" s="335"/>
    <row r="279" ht="15" customHeight="1" s="335"/>
    <row r="280" ht="15" customHeight="1" s="335"/>
    <row r="281" ht="15" customHeight="1" s="335"/>
    <row r="282" ht="15" customHeight="1" s="335"/>
    <row r="283" ht="15" customHeight="1" s="335"/>
    <row r="284" ht="15" customHeight="1" s="335"/>
    <row r="285" ht="15" customHeight="1" s="335"/>
    <row r="286" ht="15" customHeight="1" s="335"/>
    <row r="287" ht="15" customHeight="1" s="335"/>
    <row r="288" ht="15" customHeight="1" s="335"/>
    <row r="289" ht="15" customHeight="1" s="335"/>
    <row r="290" ht="15" customHeight="1" s="335"/>
    <row r="291" ht="15" customHeight="1" s="335"/>
    <row r="292" ht="15" customHeight="1" s="335"/>
    <row r="293" ht="15" customHeight="1" s="335"/>
    <row r="294" ht="15" customHeight="1" s="335"/>
    <row r="295" ht="15" customHeight="1" s="335"/>
    <row r="296" ht="15" customHeight="1" s="335"/>
    <row r="297" ht="15" customHeight="1" s="335"/>
    <row r="298" ht="15" customHeight="1" s="335"/>
    <row r="299" ht="15" customHeight="1" s="335"/>
    <row r="300" ht="15" customHeight="1" s="335"/>
    <row r="301" ht="15" customHeight="1" s="335"/>
    <row r="302" ht="15" customHeight="1" s="335"/>
    <row r="303" ht="15" customHeight="1" s="335"/>
    <row r="304" ht="15" customHeight="1" s="335"/>
    <row r="305" ht="15" customHeight="1" s="335"/>
    <row r="306" ht="15" customHeight="1" s="335"/>
    <row r="307" ht="15" customHeight="1" s="335"/>
    <row r="308" ht="15" customHeight="1" s="335"/>
    <row r="309" ht="15" customHeight="1" s="335"/>
    <row r="310" ht="15" customHeight="1" s="335"/>
    <row r="311" ht="15" customHeight="1" s="335"/>
    <row r="312" ht="15" customHeight="1" s="335"/>
    <row r="313" ht="15" customHeight="1" s="335"/>
    <row r="314" ht="15" customHeight="1" s="335"/>
    <row r="315" ht="15" customHeight="1" s="335"/>
    <row r="316" ht="15" customHeight="1" s="335"/>
    <row r="317" ht="15" customHeight="1" s="335"/>
    <row r="318" ht="15" customHeight="1" s="335"/>
    <row r="319" ht="15" customHeight="1" s="335"/>
    <row r="320" ht="15" customHeight="1" s="335"/>
    <row r="321" ht="15" customHeight="1" s="335"/>
    <row r="322" ht="15" customHeight="1" s="335"/>
    <row r="323" ht="15" customHeight="1" s="335"/>
    <row r="324" ht="15" customHeight="1" s="335"/>
    <row r="325" ht="15" customHeight="1" s="335"/>
    <row r="326" ht="15" customHeight="1" s="335"/>
    <row r="327" ht="15" customHeight="1" s="335"/>
    <row r="328" ht="15" customHeight="1" s="335"/>
    <row r="329" ht="15" customHeight="1" s="335"/>
    <row r="330" ht="15" customHeight="1" s="335"/>
    <row r="331" ht="15" customHeight="1" s="335"/>
    <row r="332" ht="15" customHeight="1" s="335"/>
    <row r="333" ht="15" customHeight="1" s="335"/>
    <row r="334" ht="15" customHeight="1" s="335"/>
    <row r="335" ht="15" customHeight="1" s="335"/>
    <row r="336" ht="15" customHeight="1" s="335"/>
    <row r="337" ht="15" customHeight="1" s="335"/>
    <row r="338" ht="15" customHeight="1" s="335"/>
    <row r="339" ht="15" customHeight="1" s="335"/>
    <row r="340" ht="15" customHeight="1" s="335"/>
    <row r="341" ht="15" customHeight="1" s="335"/>
    <row r="342" ht="15" customHeight="1" s="335"/>
    <row r="343" ht="15" customHeight="1" s="335"/>
    <row r="344" ht="15" customHeight="1" s="335"/>
    <row r="345" ht="15" customHeight="1" s="335"/>
    <row r="346" ht="15" customHeight="1" s="335"/>
    <row r="347" ht="15" customHeight="1" s="335"/>
    <row r="348" ht="15" customHeight="1" s="335"/>
    <row r="349" ht="15" customHeight="1" s="335"/>
    <row r="350" ht="15" customHeight="1" s="335"/>
    <row r="351" ht="15" customHeight="1" s="335"/>
    <row r="352" ht="15" customHeight="1" s="335"/>
    <row r="353" ht="15" customHeight="1" s="335"/>
    <row r="354" ht="15" customHeight="1" s="335"/>
    <row r="355" ht="15" customHeight="1" s="335"/>
    <row r="356" ht="15" customHeight="1" s="335"/>
    <row r="357" ht="15" customHeight="1" s="335"/>
    <row r="358" ht="15" customHeight="1" s="335"/>
    <row r="359" ht="15" customHeight="1" s="335"/>
    <row r="360" ht="15" customHeight="1" s="335"/>
    <row r="361" ht="15" customHeight="1" s="335"/>
    <row r="362" ht="15" customHeight="1" s="335"/>
    <row r="363" ht="15" customHeight="1" s="335"/>
    <row r="364" ht="15" customHeight="1" s="335"/>
    <row r="365" ht="15" customHeight="1" s="335"/>
    <row r="366" ht="15" customHeight="1" s="335"/>
    <row r="367" ht="15" customHeight="1" s="335"/>
    <row r="368" ht="15" customHeight="1" s="335"/>
    <row r="369" ht="15" customHeight="1" s="335"/>
    <row r="370" ht="15" customHeight="1" s="335"/>
    <row r="371" ht="15" customHeight="1" s="335"/>
    <row r="372" ht="15" customHeight="1" s="335"/>
    <row r="373" ht="15" customHeight="1" s="335"/>
    <row r="374" ht="15" customHeight="1" s="335"/>
    <row r="375" ht="15" customHeight="1" s="335"/>
    <row r="376" ht="15" customHeight="1" s="335"/>
    <row r="377" ht="15" customHeight="1" s="335"/>
    <row r="378" ht="15" customHeight="1" s="335"/>
    <row r="379" ht="15" customHeight="1" s="335"/>
    <row r="380" ht="15" customHeight="1" s="335"/>
    <row r="381" ht="15" customHeight="1" s="335"/>
    <row r="382" ht="15" customHeight="1" s="335"/>
    <row r="383" ht="15" customHeight="1" s="335"/>
    <row r="384" ht="15" customHeight="1" s="335"/>
    <row r="385" ht="15" customHeight="1" s="335"/>
    <row r="386" ht="15" customHeight="1" s="335"/>
    <row r="387" ht="15" customHeight="1" s="335"/>
    <row r="388" ht="15" customHeight="1" s="335"/>
    <row r="389" ht="15" customHeight="1" s="335"/>
    <row r="390" ht="15" customHeight="1" s="335"/>
    <row r="391" ht="15" customHeight="1" s="335"/>
    <row r="392" ht="15" customHeight="1" s="335"/>
    <row r="393" ht="15" customHeight="1" s="335"/>
    <row r="394" ht="15" customHeight="1" s="335"/>
    <row r="395" ht="15" customHeight="1" s="335"/>
    <row r="396" ht="15" customHeight="1" s="335"/>
    <row r="397" ht="15" customHeight="1" s="335"/>
    <row r="398" ht="15" customHeight="1" s="335"/>
    <row r="399" ht="15" customHeight="1" s="335"/>
    <row r="400" ht="15" customHeight="1" s="335"/>
    <row r="401" ht="15" customHeight="1" s="335"/>
    <row r="402" ht="15" customHeight="1" s="335"/>
    <row r="403" ht="15" customHeight="1" s="335"/>
    <row r="404" ht="15" customHeight="1" s="335"/>
    <row r="405" ht="15" customHeight="1" s="335"/>
    <row r="406" ht="15" customHeight="1" s="335"/>
    <row r="407" ht="15" customHeight="1" s="335"/>
    <row r="408" ht="15" customHeight="1" s="335"/>
    <row r="409" ht="15" customHeight="1" s="335"/>
    <row r="410" ht="15" customHeight="1" s="335"/>
    <row r="411" ht="15" customHeight="1" s="335"/>
    <row r="412" ht="15" customHeight="1" s="335"/>
    <row r="413" ht="15" customHeight="1" s="335"/>
    <row r="414" ht="15" customHeight="1" s="335"/>
    <row r="415" ht="15" customHeight="1" s="335"/>
    <row r="416" ht="15" customHeight="1" s="335"/>
    <row r="417" ht="15" customHeight="1" s="335"/>
    <row r="418" ht="15" customHeight="1" s="335"/>
    <row r="419" ht="15" customHeight="1" s="335"/>
    <row r="420" ht="15" customHeight="1" s="335"/>
    <row r="421" ht="15" customHeight="1" s="335"/>
    <row r="422" ht="15" customHeight="1" s="335"/>
    <row r="423" ht="15" customHeight="1" s="335"/>
    <row r="424" ht="15" customHeight="1" s="335"/>
    <row r="425" ht="15" customHeight="1" s="335"/>
    <row r="426" ht="15" customHeight="1" s="335"/>
    <row r="427" ht="15" customHeight="1" s="335"/>
    <row r="428" ht="15" customHeight="1" s="335"/>
    <row r="429" ht="15" customHeight="1" s="335"/>
    <row r="430" ht="15" customHeight="1" s="335"/>
    <row r="431" ht="15" customHeight="1" s="335"/>
    <row r="432" ht="15" customHeight="1" s="335"/>
    <row r="433" ht="15" customHeight="1" s="335"/>
    <row r="434" ht="15" customHeight="1" s="335"/>
    <row r="435" ht="15" customHeight="1" s="335"/>
    <row r="436" ht="15" customHeight="1" s="335"/>
    <row r="437" ht="15" customHeight="1" s="335"/>
    <row r="438" ht="15" customHeight="1" s="335"/>
    <row r="439" ht="15" customHeight="1" s="335"/>
    <row r="440" ht="15" customHeight="1" s="335"/>
    <row r="441" ht="15" customHeight="1" s="335"/>
    <row r="442" ht="15" customHeight="1" s="335"/>
    <row r="443" ht="15" customHeight="1" s="335"/>
    <row r="444" ht="15" customHeight="1" s="335"/>
    <row r="445" ht="15" customHeight="1" s="335"/>
    <row r="446" ht="15" customHeight="1" s="335"/>
    <row r="447" ht="15" customHeight="1" s="335"/>
    <row r="448" ht="15" customHeight="1" s="335"/>
    <row r="449" ht="15" customHeight="1" s="335"/>
    <row r="450" ht="15" customHeight="1" s="335"/>
    <row r="451" ht="15" customHeight="1" s="335"/>
    <row r="452" ht="15" customHeight="1" s="335"/>
    <row r="453" ht="15" customHeight="1" s="335"/>
    <row r="454" ht="15" customHeight="1" s="335"/>
    <row r="455" ht="15" customHeight="1" s="335"/>
    <row r="456" ht="15" customHeight="1" s="335"/>
    <row r="457" ht="15" customHeight="1" s="335"/>
    <row r="458" ht="15" customHeight="1" s="335"/>
    <row r="459" ht="15" customHeight="1" s="335"/>
    <row r="460" ht="15" customHeight="1" s="335"/>
    <row r="461" ht="15" customHeight="1" s="335"/>
    <row r="462" ht="15" customHeight="1" s="335"/>
    <row r="463" ht="15" customHeight="1" s="335"/>
    <row r="464" ht="15" customHeight="1" s="335"/>
    <row r="465" ht="15" customHeight="1" s="335"/>
    <row r="466" ht="15" customHeight="1" s="335"/>
    <row r="467" ht="15" customHeight="1" s="335"/>
    <row r="468" ht="15" customHeight="1" s="335"/>
    <row r="469" ht="15" customHeight="1" s="335"/>
    <row r="470" ht="15" customHeight="1" s="335"/>
    <row r="471" ht="15" customHeight="1" s="335"/>
    <row r="472" ht="15" customHeight="1" s="335"/>
    <row r="473" ht="15" customHeight="1" s="335"/>
    <row r="474" ht="15" customHeight="1" s="335"/>
    <row r="475" ht="15" customHeight="1" s="335"/>
    <row r="476" ht="15" customHeight="1" s="335"/>
    <row r="477" ht="15" customHeight="1" s="335"/>
    <row r="478" ht="15" customHeight="1" s="335"/>
    <row r="479" ht="15" customHeight="1" s="335"/>
    <row r="480" ht="15" customHeight="1" s="335"/>
    <row r="481" ht="15" customHeight="1" s="335"/>
    <row r="482" ht="15" customHeight="1" s="335"/>
    <row r="483" ht="15" customHeight="1" s="335"/>
    <row r="484" ht="15" customHeight="1" s="335"/>
    <row r="485" ht="15" customHeight="1" s="335"/>
    <row r="486" ht="15" customHeight="1" s="335"/>
    <row r="487" ht="15" customHeight="1" s="335"/>
    <row r="488" ht="15" customHeight="1" s="335"/>
    <row r="489" ht="15" customHeight="1" s="335"/>
    <row r="490" ht="15" customHeight="1" s="335"/>
    <row r="491" ht="15" customHeight="1" s="335"/>
    <row r="492" ht="15" customHeight="1" s="335"/>
    <row r="493" ht="15" customHeight="1" s="335"/>
    <row r="494" ht="15" customHeight="1" s="335"/>
    <row r="495" ht="15" customHeight="1" s="335"/>
    <row r="496" ht="15" customHeight="1" s="335"/>
    <row r="497" ht="15" customHeight="1" s="335"/>
    <row r="498" ht="15" customHeight="1" s="335"/>
    <row r="499" ht="15" customHeight="1" s="335"/>
    <row r="500" ht="15" customHeight="1" s="335"/>
    <row r="501" ht="15" customHeight="1" s="335"/>
    <row r="502" ht="15" customHeight="1" s="335"/>
    <row r="503" ht="15" customHeight="1" s="335"/>
    <row r="504" ht="15" customHeight="1" s="335"/>
    <row r="505" ht="15" customHeight="1" s="335"/>
    <row r="506" ht="15" customHeight="1" s="335"/>
    <row r="507" ht="15" customHeight="1" s="335"/>
    <row r="508" ht="15" customHeight="1" s="335"/>
    <row r="509" ht="15" customHeight="1" s="335"/>
    <row r="510" ht="15" customHeight="1" s="335"/>
    <row r="511" ht="15" customHeight="1" s="335"/>
    <row r="512" ht="15" customHeight="1" s="335"/>
    <row r="513" ht="15" customHeight="1" s="335"/>
    <row r="514" ht="15" customHeight="1" s="335"/>
    <row r="515" ht="15" customHeight="1" s="335"/>
    <row r="516" ht="15" customHeight="1" s="335"/>
    <row r="517" ht="15" customHeight="1" s="335"/>
    <row r="518" ht="15" customHeight="1" s="335"/>
    <row r="519" ht="15" customHeight="1" s="335"/>
    <row r="520" ht="15" customHeight="1" s="335"/>
    <row r="521" ht="15" customHeight="1" s="335"/>
    <row r="522" ht="15" customHeight="1" s="335"/>
    <row r="523" ht="15" customHeight="1" s="335"/>
    <row r="524" ht="15" customHeight="1" s="335"/>
    <row r="525" ht="15" customHeight="1" s="335"/>
    <row r="526" ht="15" customHeight="1" s="335"/>
    <row r="527" ht="15" customHeight="1" s="335"/>
    <row r="528" ht="15" customHeight="1" s="335"/>
    <row r="529" ht="15" customHeight="1" s="335"/>
    <row r="530" ht="15" customHeight="1" s="335"/>
    <row r="531" ht="15" customHeight="1" s="335"/>
    <row r="532" ht="15" customHeight="1" s="335"/>
    <row r="533" ht="15" customHeight="1" s="335"/>
    <row r="534" ht="15" customHeight="1" s="335"/>
    <row r="535" ht="15" customHeight="1" s="335"/>
    <row r="536" ht="15" customHeight="1" s="335"/>
    <row r="537" ht="15" customHeight="1" s="335"/>
    <row r="538" ht="15" customHeight="1" s="335"/>
    <row r="539" ht="15" customHeight="1" s="335"/>
    <row r="540" ht="15" customHeight="1" s="335"/>
    <row r="541" ht="15" customHeight="1" s="335"/>
    <row r="542" ht="15" customHeight="1" s="335"/>
    <row r="543" ht="15" customHeight="1" s="335"/>
    <row r="544" ht="15" customHeight="1" s="335"/>
    <row r="545" ht="15" customHeight="1" s="335"/>
    <row r="546" ht="15" customHeight="1" s="335"/>
    <row r="547" ht="15" customHeight="1" s="335"/>
    <row r="548" ht="15" customHeight="1" s="335"/>
    <row r="549" ht="15" customHeight="1" s="335"/>
    <row r="550" ht="15" customHeight="1" s="335"/>
    <row r="551" ht="15" customHeight="1" s="335"/>
    <row r="552" ht="15" customHeight="1" s="335"/>
    <row r="553" ht="15" customHeight="1" s="335"/>
    <row r="554" ht="15" customHeight="1" s="335"/>
    <row r="555" ht="15" customHeight="1" s="335"/>
    <row r="556" ht="15" customHeight="1" s="335"/>
    <row r="557" ht="15" customHeight="1" s="335"/>
    <row r="558" ht="15" customHeight="1" s="335"/>
    <row r="559" ht="15" customHeight="1" s="335"/>
    <row r="560" ht="15" customHeight="1" s="335"/>
    <row r="561" ht="15" customHeight="1" s="335"/>
    <row r="562" ht="15" customHeight="1" s="335"/>
    <row r="563" ht="15" customHeight="1" s="335"/>
    <row r="564" ht="15" customHeight="1" s="335"/>
    <row r="565" ht="15" customHeight="1" s="335"/>
    <row r="566" ht="15" customHeight="1" s="335"/>
    <row r="567" ht="15" customHeight="1" s="335"/>
    <row r="568" ht="15" customHeight="1" s="335"/>
    <row r="569" ht="15" customHeight="1" s="335"/>
    <row r="570" ht="15" customHeight="1" s="335"/>
    <row r="571" ht="15" customHeight="1" s="335"/>
    <row r="572" ht="15" customHeight="1" s="335"/>
    <row r="573" ht="15" customHeight="1" s="335"/>
    <row r="574" ht="15" customHeight="1" s="335"/>
    <row r="575" ht="15" customHeight="1" s="335"/>
    <row r="576" ht="15" customHeight="1" s="335"/>
    <row r="577" ht="15" customHeight="1" s="335"/>
    <row r="578" ht="15" customHeight="1" s="335"/>
    <row r="579" ht="15" customHeight="1" s="335"/>
    <row r="580" ht="15" customHeight="1" s="335"/>
    <row r="581" ht="15" customHeight="1" s="335"/>
    <row r="582" ht="15" customHeight="1" s="335"/>
    <row r="583" ht="15" customHeight="1" s="335"/>
    <row r="584" ht="15" customHeight="1" s="335"/>
    <row r="585" ht="15" customHeight="1" s="335"/>
    <row r="586" ht="15" customHeight="1" s="335"/>
    <row r="587" ht="15" customHeight="1" s="335"/>
    <row r="588" ht="15" customHeight="1" s="335"/>
    <row r="589" ht="15" customHeight="1" s="335"/>
    <row r="590" ht="15" customHeight="1" s="335"/>
    <row r="591" ht="15" customHeight="1" s="335"/>
    <row r="592" ht="15" customHeight="1" s="335"/>
    <row r="593" ht="15" customHeight="1" s="335"/>
    <row r="594" ht="15" customHeight="1" s="335"/>
    <row r="595" ht="15" customHeight="1" s="335"/>
    <row r="596" ht="15" customHeight="1" s="335"/>
    <row r="597" ht="15" customHeight="1" s="335"/>
    <row r="598" ht="15" customHeight="1" s="335"/>
    <row r="599" ht="15" customHeight="1" s="335"/>
    <row r="600" ht="15" customHeight="1" s="335"/>
    <row r="601" ht="15" customHeight="1" s="335"/>
    <row r="602" ht="15" customHeight="1" s="335"/>
    <row r="603" ht="15" customHeight="1" s="335"/>
    <row r="604" ht="15" customHeight="1" s="335"/>
    <row r="605" ht="15" customHeight="1" s="335"/>
    <row r="606" ht="15" customHeight="1" s="335"/>
    <row r="607" ht="15" customHeight="1" s="335"/>
    <row r="608" ht="15" customHeight="1" s="335"/>
    <row r="609" ht="15" customHeight="1" s="335"/>
    <row r="610" ht="15" customHeight="1" s="335"/>
    <row r="611" ht="15" customHeight="1" s="335"/>
    <row r="612" ht="15" customHeight="1" s="335"/>
    <row r="613" ht="15" customHeight="1" s="335"/>
    <row r="614" ht="15" customHeight="1" s="335"/>
    <row r="615" ht="15" customHeight="1" s="335"/>
    <row r="616" ht="15" customHeight="1" s="335"/>
    <row r="617" ht="15" customHeight="1" s="335"/>
    <row r="618" ht="15" customHeight="1" s="335"/>
    <row r="619" ht="15" customHeight="1" s="335"/>
    <row r="620" ht="15" customHeight="1" s="335"/>
    <row r="621" ht="15" customHeight="1" s="335"/>
    <row r="622" ht="15" customHeight="1" s="335"/>
    <row r="623" ht="15" customHeight="1" s="335"/>
    <row r="624" ht="15" customHeight="1" s="335"/>
    <row r="625" ht="15" customHeight="1" s="335"/>
    <row r="626" ht="15" customHeight="1" s="335"/>
    <row r="627" ht="15" customHeight="1" s="335"/>
    <row r="628" ht="15" customHeight="1" s="335"/>
    <row r="629" ht="15" customHeight="1" s="335"/>
    <row r="630" ht="15" customHeight="1" s="335"/>
    <row r="631" ht="15" customHeight="1" s="335"/>
    <row r="632" ht="15" customHeight="1" s="335"/>
    <row r="633" ht="15" customHeight="1" s="335"/>
    <row r="634" ht="15" customHeight="1" s="335"/>
    <row r="635" ht="15" customHeight="1" s="335"/>
    <row r="636" ht="15" customHeight="1" s="335"/>
    <row r="637" ht="15" customHeight="1" s="335"/>
    <row r="638" ht="15" customHeight="1" s="335"/>
    <row r="639" ht="15" customHeight="1" s="335"/>
    <row r="640" ht="15" customHeight="1" s="335"/>
    <row r="641" ht="15" customHeight="1" s="335"/>
    <row r="642" ht="15" customHeight="1" s="335"/>
    <row r="643" ht="15" customHeight="1" s="335"/>
    <row r="644" ht="15" customHeight="1" s="335"/>
    <row r="645" ht="15" customHeight="1" s="335"/>
    <row r="646" ht="15" customHeight="1" s="335"/>
    <row r="647" ht="15" customHeight="1" s="335"/>
    <row r="648" ht="15" customHeight="1" s="335"/>
    <row r="649" ht="15" customHeight="1" s="335"/>
    <row r="650" ht="15" customHeight="1" s="335"/>
    <row r="651" ht="15" customHeight="1" s="335"/>
    <row r="652" ht="15" customHeight="1" s="335"/>
    <row r="653" ht="15" customHeight="1" s="335"/>
    <row r="654" ht="15" customHeight="1" s="335"/>
    <row r="655" ht="15" customHeight="1" s="335"/>
    <row r="656" ht="15" customHeight="1" s="335"/>
    <row r="657" ht="15" customHeight="1" s="335"/>
    <row r="658" ht="15" customHeight="1" s="335"/>
    <row r="659" ht="15" customHeight="1" s="335"/>
    <row r="660" ht="15" customHeight="1" s="335"/>
    <row r="661" ht="15" customHeight="1" s="335"/>
    <row r="662" ht="15" customHeight="1" s="335"/>
    <row r="663" ht="15" customHeight="1" s="335"/>
    <row r="664" ht="15" customHeight="1" s="335"/>
    <row r="665" ht="15" customHeight="1" s="335"/>
    <row r="666" ht="15" customHeight="1" s="335"/>
    <row r="667" ht="15" customHeight="1" s="335"/>
    <row r="668" ht="15" customHeight="1" s="335"/>
    <row r="669" ht="15" customHeight="1" s="335"/>
    <row r="670" ht="15" customHeight="1" s="335"/>
    <row r="671" ht="15" customHeight="1" s="335"/>
    <row r="672" ht="15" customHeight="1" s="335"/>
    <row r="673" ht="15" customHeight="1" s="335"/>
    <row r="674" ht="15" customHeight="1" s="335"/>
    <row r="675" ht="15" customHeight="1" s="335"/>
    <row r="676" ht="15" customHeight="1" s="335"/>
    <row r="677" ht="15" customHeight="1" s="335"/>
    <row r="678" ht="15" customHeight="1" s="335"/>
    <row r="679" ht="15" customHeight="1" s="335"/>
    <row r="680" ht="15" customHeight="1" s="335"/>
    <row r="681" ht="15" customHeight="1" s="335"/>
    <row r="682" ht="15" customHeight="1" s="335"/>
    <row r="683" ht="15" customHeight="1" s="335"/>
    <row r="684" ht="15" customHeight="1" s="335"/>
    <row r="685" ht="15" customHeight="1" s="335"/>
    <row r="686" ht="15" customHeight="1" s="335"/>
    <row r="687" ht="15" customHeight="1" s="335"/>
    <row r="688" ht="15" customHeight="1" s="335"/>
    <row r="689" ht="15" customHeight="1" s="335"/>
    <row r="690" ht="15" customHeight="1" s="335"/>
    <row r="691" ht="15" customHeight="1" s="335"/>
    <row r="692" ht="15" customHeight="1" s="335"/>
    <row r="693" ht="15" customHeight="1" s="335"/>
    <row r="694" ht="15" customHeight="1" s="335"/>
    <row r="695" ht="15" customHeight="1" s="335"/>
    <row r="696" ht="15" customHeight="1" s="335"/>
    <row r="697" ht="15" customHeight="1" s="335"/>
    <row r="698" ht="15" customHeight="1" s="335"/>
    <row r="699" ht="15" customHeight="1" s="335"/>
    <row r="700" ht="15" customHeight="1" s="335"/>
    <row r="701" ht="15" customHeight="1" s="335"/>
    <row r="702" ht="15" customHeight="1" s="335"/>
    <row r="703" ht="15" customHeight="1" s="335"/>
    <row r="704" ht="15" customHeight="1" s="335"/>
    <row r="705" ht="15" customHeight="1" s="335"/>
    <row r="706" ht="15" customHeight="1" s="335"/>
    <row r="707" ht="15" customHeight="1" s="335"/>
    <row r="708" ht="15" customHeight="1" s="335"/>
    <row r="709" ht="15" customHeight="1" s="335"/>
    <row r="710" ht="15" customHeight="1" s="335"/>
    <row r="711" ht="15" customHeight="1" s="335"/>
    <row r="712" ht="15" customHeight="1" s="335"/>
    <row r="713" ht="15" customHeight="1" s="335"/>
    <row r="714" ht="15" customHeight="1" s="335"/>
    <row r="715" ht="15" customHeight="1" s="335"/>
    <row r="716" ht="15" customHeight="1" s="335"/>
    <row r="717" ht="15" customHeight="1" s="335"/>
    <row r="718" ht="15" customHeight="1" s="335"/>
    <row r="719" ht="15" customHeight="1" s="335"/>
    <row r="720" ht="15" customHeight="1" s="335"/>
    <row r="721" ht="15" customHeight="1" s="335"/>
    <row r="722" ht="15" customHeight="1" s="335"/>
    <row r="723" ht="15" customHeight="1" s="335"/>
    <row r="724" ht="15" customHeight="1" s="335"/>
    <row r="725" ht="15" customHeight="1" s="335"/>
    <row r="726" ht="15" customHeight="1" s="335"/>
    <row r="727" ht="15" customHeight="1" s="335"/>
    <row r="728" ht="15" customHeight="1" s="335"/>
    <row r="729" ht="15" customHeight="1" s="335"/>
    <row r="730" ht="15" customHeight="1" s="335"/>
    <row r="731" ht="15" customHeight="1" s="335"/>
    <row r="732" ht="15" customHeight="1" s="335"/>
    <row r="733" ht="15" customHeight="1" s="335"/>
    <row r="734" ht="15" customHeight="1" s="335"/>
    <row r="735" ht="15" customHeight="1" s="335"/>
    <row r="736" ht="15" customHeight="1" s="335"/>
    <row r="737" ht="15" customHeight="1" s="335"/>
    <row r="738" ht="15" customHeight="1" s="335"/>
    <row r="739" ht="15" customHeight="1" s="335"/>
    <row r="740" ht="15" customHeight="1" s="335"/>
    <row r="741" ht="15" customHeight="1" s="335"/>
    <row r="742" ht="15" customHeight="1" s="335"/>
    <row r="743" ht="15" customHeight="1" s="335"/>
    <row r="744" ht="15" customHeight="1" s="335"/>
    <row r="745" ht="15" customHeight="1" s="335"/>
    <row r="746" ht="15" customHeight="1" s="335"/>
    <row r="747" ht="15" customHeight="1" s="335"/>
    <row r="748" ht="15" customHeight="1" s="335"/>
    <row r="749" ht="15" customHeight="1" s="335"/>
    <row r="750" ht="15" customHeight="1" s="335"/>
    <row r="751" ht="15" customHeight="1" s="335"/>
    <row r="752" ht="15" customHeight="1" s="335"/>
    <row r="753" ht="15" customHeight="1" s="335"/>
    <row r="754" ht="15" customHeight="1" s="335"/>
    <row r="755" ht="15" customHeight="1" s="335"/>
    <row r="756" ht="15" customHeight="1" s="335"/>
    <row r="757" ht="15" customHeight="1" s="335"/>
    <row r="758" ht="15" customHeight="1" s="335"/>
    <row r="759" ht="15" customHeight="1" s="335"/>
    <row r="760" ht="15" customHeight="1" s="335"/>
    <row r="761" ht="15" customHeight="1" s="335"/>
    <row r="762" ht="15" customHeight="1" s="335"/>
    <row r="763" ht="15" customHeight="1" s="335"/>
    <row r="764" ht="15" customHeight="1" s="335"/>
    <row r="765" ht="15" customHeight="1" s="335"/>
    <row r="766" ht="15" customHeight="1" s="335"/>
    <row r="767" ht="15" customHeight="1" s="335"/>
    <row r="768" ht="15" customHeight="1" s="335"/>
    <row r="769" ht="15" customHeight="1" s="335"/>
    <row r="770" ht="15" customHeight="1" s="335"/>
    <row r="771" ht="15" customHeight="1" s="335"/>
    <row r="772" ht="15" customHeight="1" s="335"/>
    <row r="773" ht="15" customHeight="1" s="335"/>
    <row r="774" ht="15" customHeight="1" s="335"/>
    <row r="775" ht="15" customHeight="1" s="335"/>
    <row r="776" ht="15" customHeight="1" s="335"/>
    <row r="777" ht="15" customHeight="1" s="335"/>
    <row r="778" ht="15" customHeight="1" s="335"/>
    <row r="779" ht="15" customHeight="1" s="335"/>
    <row r="780" ht="15" customHeight="1" s="335"/>
    <row r="781" ht="15" customHeight="1" s="335"/>
    <row r="782" ht="15" customHeight="1" s="335"/>
    <row r="783" ht="15" customHeight="1" s="335"/>
    <row r="784" ht="15" customHeight="1" s="335"/>
    <row r="785" ht="15" customHeight="1" s="335"/>
    <row r="786" ht="15" customHeight="1" s="335"/>
    <row r="787" ht="15" customHeight="1" s="335"/>
    <row r="788" ht="15" customHeight="1" s="335"/>
    <row r="789" ht="15" customHeight="1" s="335"/>
    <row r="790" ht="15" customHeight="1" s="335"/>
    <row r="791" ht="15" customHeight="1" s="335"/>
    <row r="792" ht="15" customHeight="1" s="335"/>
    <row r="793" ht="15" customHeight="1" s="335"/>
    <row r="794" ht="15" customHeight="1" s="335"/>
    <row r="795" ht="15" customHeight="1" s="335"/>
    <row r="796" ht="15" customHeight="1" s="335"/>
    <row r="797" ht="15" customHeight="1" s="335"/>
    <row r="798" ht="15" customHeight="1" s="335"/>
    <row r="799" ht="15" customHeight="1" s="335"/>
    <row r="800" ht="15" customHeight="1" s="335"/>
    <row r="801" ht="15" customHeight="1" s="335"/>
    <row r="802" ht="15" customHeight="1" s="335"/>
    <row r="803" ht="15" customHeight="1" s="335"/>
    <row r="804" ht="15" customHeight="1" s="335"/>
    <row r="805" ht="15" customHeight="1" s="335"/>
    <row r="806" ht="15" customHeight="1" s="335"/>
    <row r="807" ht="15" customHeight="1" s="335"/>
    <row r="808" ht="15" customHeight="1" s="335"/>
    <row r="809" ht="15" customHeight="1" s="335"/>
    <row r="810" ht="15" customHeight="1" s="335"/>
    <row r="811" ht="15" customHeight="1" s="335"/>
    <row r="812" ht="15" customHeight="1" s="335"/>
    <row r="813" ht="15" customHeight="1" s="335"/>
    <row r="814" ht="15" customHeight="1" s="335"/>
    <row r="815" ht="15" customHeight="1" s="335"/>
    <row r="816" ht="15" customHeight="1" s="335"/>
    <row r="817" ht="15" customHeight="1" s="335"/>
    <row r="818" ht="15" customHeight="1" s="335"/>
    <row r="819" ht="15" customHeight="1" s="335"/>
    <row r="820" ht="15" customHeight="1" s="335"/>
    <row r="821" ht="15" customHeight="1" s="335"/>
    <row r="822" ht="15" customHeight="1" s="335"/>
    <row r="823" ht="15" customHeight="1" s="335"/>
    <row r="824" ht="15" customHeight="1" s="335"/>
    <row r="825" ht="15" customHeight="1" s="335"/>
    <row r="826" ht="15" customHeight="1" s="335"/>
    <row r="827" ht="15" customHeight="1" s="335"/>
    <row r="828" ht="15" customHeight="1" s="335"/>
    <row r="829" ht="15" customHeight="1" s="335"/>
    <row r="830" ht="15" customHeight="1" s="335"/>
    <row r="831" ht="15" customHeight="1" s="335"/>
    <row r="832" ht="15" customHeight="1" s="335"/>
    <row r="833" ht="15" customHeight="1" s="335"/>
    <row r="834" ht="15" customHeight="1" s="335"/>
    <row r="835" ht="15" customHeight="1" s="335"/>
    <row r="836" ht="15" customHeight="1" s="335"/>
    <row r="837" ht="15" customHeight="1" s="335"/>
    <row r="838" ht="15" customHeight="1" s="335"/>
    <row r="839" ht="15" customHeight="1" s="335"/>
    <row r="840" ht="15" customHeight="1" s="335"/>
    <row r="841" ht="15" customHeight="1" s="335"/>
    <row r="842" ht="15" customHeight="1" s="335"/>
    <row r="843" ht="15" customHeight="1" s="335"/>
    <row r="844" ht="15" customHeight="1" s="335"/>
    <row r="845" ht="15" customHeight="1" s="335"/>
    <row r="846" ht="15" customHeight="1" s="335"/>
    <row r="847" ht="15" customHeight="1" s="335"/>
    <row r="848" ht="15" customHeight="1" s="335"/>
    <row r="849" ht="15" customHeight="1" s="335"/>
    <row r="850" ht="15" customHeight="1" s="335"/>
    <row r="851" ht="15" customHeight="1" s="335"/>
    <row r="852" ht="15" customHeight="1" s="335"/>
    <row r="853" ht="15" customHeight="1" s="335"/>
    <row r="854" ht="15" customHeight="1" s="335"/>
    <row r="855" ht="15" customHeight="1" s="335"/>
    <row r="856" ht="15" customHeight="1" s="335"/>
    <row r="857" ht="15" customHeight="1" s="335"/>
    <row r="858" ht="15" customHeight="1" s="335"/>
    <row r="859" ht="15" customHeight="1" s="335"/>
    <row r="860" ht="15" customHeight="1" s="335"/>
    <row r="861" ht="15" customHeight="1" s="335"/>
    <row r="862" ht="15" customHeight="1" s="335"/>
    <row r="863" ht="15" customHeight="1" s="335"/>
    <row r="864" ht="15" customHeight="1" s="335"/>
    <row r="865" ht="15" customHeight="1" s="335"/>
    <row r="866" ht="15" customHeight="1" s="335"/>
    <row r="867" ht="15" customHeight="1" s="335"/>
    <row r="868" ht="15" customHeight="1" s="335"/>
    <row r="869" ht="15" customHeight="1" s="335"/>
    <row r="870" ht="15" customHeight="1" s="3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N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6.56" customWidth="1" style="334" min="1" max="1"/>
    <col width="19.11" customWidth="1" style="334" min="3" max="3"/>
    <col width="30.33" customWidth="1" style="334" min="4" max="4"/>
    <col width="25" customWidth="1" style="334" min="6" max="6"/>
    <col width="9.67" customWidth="1" style="334" min="7" max="7"/>
    <col width="18.88" customWidth="1" style="334" min="8" max="8"/>
    <col width="12.11" customWidth="1" style="334" min="9" max="9"/>
    <col width="6.67" customWidth="1" style="334" min="10" max="10"/>
    <col width="34" customWidth="1" style="334" min="11" max="11"/>
  </cols>
  <sheetData>
    <row r="1" ht="14.25" customHeight="1" s="335">
      <c r="A1" s="432" t="inlineStr">
        <is>
          <t>TYPE : SCD TYPE 1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80" t="inlineStr">
        <is>
          <t>Nguồn</t>
        </is>
      </c>
      <c r="B2" s="480" t="inlineStr">
        <is>
          <t>Bảng nguồn</t>
        </is>
      </c>
      <c r="C2" s="480" t="inlineStr">
        <is>
          <t>Short table</t>
        </is>
      </c>
      <c r="D2" s="480" t="inlineStr">
        <is>
          <t>Business Rule</t>
        </is>
      </c>
    </row>
    <row r="3" ht="14.25" customHeight="1" s="335">
      <c r="A3" s="370" t="inlineStr">
        <is>
          <t>PG_BRONZE</t>
        </is>
      </c>
      <c r="B3" s="370" t="inlineStr">
        <is>
          <t>T24CORE_CUSTOMER</t>
        </is>
      </c>
      <c r="C3" s="368" t="inlineStr">
        <is>
          <t>c</t>
        </is>
      </c>
      <c r="D3" s="372" t="inlineStr">
        <is>
          <t>WHERE c.ETL_DATE = ${ETL_DATE} -- Bảng thực thể Khách hàng trung tâm (SCD Type 1)</t>
        </is>
      </c>
    </row>
    <row r="4" ht="14.25" customHeight="1" s="335">
      <c r="A4" s="370" t="inlineStr">
        <is>
          <t>PG_BRONZE</t>
        </is>
      </c>
      <c r="B4" s="370" t="inlineStr">
        <is>
          <t>T24CORE_SECTOR</t>
        </is>
      </c>
      <c r="C4" s="368" t="inlineStr">
        <is>
          <t>s</t>
        </is>
      </c>
      <c r="D4" s="372" t="inlineStr">
        <is>
          <t>(LEFT JOIN) ON c.SECTOR = s.RECID AND s.ETL_DATE = ${ETL_DATE}</t>
        </is>
      </c>
    </row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32" t="inlineStr">
        <is>
          <t>Ghi chú kỹ thuật &amp; Business Rule</t>
        </is>
      </c>
    </row>
    <row r="6" ht="14.25" customHeight="1" s="335">
      <c r="A6" s="433" t="inlineStr">
        <is>
          <t>PG_BRONZE</t>
        </is>
      </c>
      <c r="B6" s="415" t="inlineStr">
        <is>
          <t>T24CORE_CUSTOMER</t>
        </is>
      </c>
      <c r="C6" s="433" t="inlineStr">
        <is>
          <t>RECID</t>
        </is>
      </c>
      <c r="D6" s="433" t="inlineStr">
        <is>
          <t>fn_hash("T24_CUSTOMER", c.RECID)</t>
        </is>
      </c>
      <c r="E6" s="433" t="inlineStr">
        <is>
          <t>Customer</t>
        </is>
      </c>
      <c r="F6" s="433" t="inlineStr">
        <is>
          <t>Customer ID</t>
        </is>
      </c>
      <c r="G6" s="415" t="inlineStr">
        <is>
          <t>CST</t>
        </is>
      </c>
      <c r="H6" s="433" t="inlineStr">
        <is>
          <t>CST_ID</t>
        </is>
      </c>
      <c r="I6" s="415" t="inlineStr">
        <is>
          <t>CHAR</t>
        </is>
      </c>
      <c r="J6" s="415" t="n">
        <v>32</v>
      </c>
      <c r="K6" s="415" t="inlineStr">
        <is>
          <t>Unique key trên DWH</t>
        </is>
      </c>
      <c r="M6" s="334">
        <f>"COMMENT ON COLUMN PG_SILVER."&amp;G6&amp;"."&amp;H6&amp;" IS '"&amp;K6&amp;"';"</f>
        <v/>
      </c>
    </row>
    <row r="7" ht="14.25" customHeight="1" s="335">
      <c r="A7" s="433" t="inlineStr">
        <is>
          <t>PG_BRONZE</t>
        </is>
      </c>
      <c r="B7" s="415" t="inlineStr">
        <is>
          <t>T24CORE_CUSTOMER</t>
        </is>
      </c>
      <c r="C7" s="433" t="inlineStr">
        <is>
          <t>RECID</t>
        </is>
      </c>
      <c r="D7" s="433" t="inlineStr">
        <is>
          <t>1:1</t>
        </is>
      </c>
      <c r="E7" s="433" t="inlineStr">
        <is>
          <t>Customer</t>
        </is>
      </c>
      <c r="F7" s="433" t="inlineStr">
        <is>
          <t>Customer Code</t>
        </is>
      </c>
      <c r="G7" s="415" t="inlineStr">
        <is>
          <t>CST</t>
        </is>
      </c>
      <c r="H7" s="433" t="inlineStr">
        <is>
          <t>CST_CODE</t>
        </is>
      </c>
      <c r="I7" s="415" t="inlineStr">
        <is>
          <t>VARCHAR2</t>
        </is>
      </c>
      <c r="J7" s="415" t="n">
        <v>20</v>
      </c>
      <c r="K7" s="415" t="inlineStr">
        <is>
          <t>Mã CIF</t>
        </is>
      </c>
      <c r="M7" s="334">
        <f>"COMMENT ON COLUMN PG_SILVER."&amp;G7&amp;"."&amp;H7&amp;" IS '"&amp;K7&amp;"';"</f>
        <v/>
      </c>
    </row>
    <row r="8" ht="14.25" customHeight="1" s="335">
      <c r="A8" s="415" t="inlineStr">
        <is>
          <t>PG_BRONZE</t>
        </is>
      </c>
      <c r="B8" s="415" t="inlineStr">
        <is>
          <t>T24CORE_CUSTOMER</t>
        </is>
      </c>
      <c r="C8" s="466" t="inlineStr">
        <is>
          <t>KHOI</t>
        </is>
      </c>
      <c r="D8" s="433" t="inlineStr">
        <is>
          <t>1:1</t>
        </is>
      </c>
      <c r="E8" s="433" t="inlineStr">
        <is>
          <t>Customer</t>
        </is>
      </c>
      <c r="F8" s="433" t="inlineStr">
        <is>
          <t>Customer Group Code</t>
        </is>
      </c>
      <c r="G8" s="415" t="inlineStr">
        <is>
          <t>CST</t>
        </is>
      </c>
      <c r="H8" s="433" t="inlineStr">
        <is>
          <t>CST_GRP_CODE</t>
        </is>
      </c>
      <c r="I8" s="415" t="inlineStr">
        <is>
          <t>VARCHAR2</t>
        </is>
      </c>
      <c r="J8" s="415" t="n">
        <v>20</v>
      </c>
      <c r="K8" s="415" t="inlineStr">
        <is>
          <t>mã Khối quản lý khách hàng</t>
        </is>
      </c>
      <c r="M8" s="334">
        <f>"COMMENT ON COLUMN PG_SILVER."&amp;G8&amp;"."&amp;H8&amp;" IS '"&amp;K8&amp;"';"</f>
        <v/>
      </c>
    </row>
    <row r="9" ht="14.25" customHeight="1" s="335">
      <c r="A9" s="415" t="inlineStr">
        <is>
          <t>PG_BRONZE</t>
        </is>
      </c>
      <c r="B9" s="415" t="inlineStr">
        <is>
          <t>T24CORE_CUSTOMER</t>
        </is>
      </c>
      <c r="C9" s="466" t="inlineStr">
        <is>
          <t>OPEN_COMPANY</t>
        </is>
      </c>
      <c r="D9" s="433" t="inlineStr">
        <is>
          <t>1:1</t>
        </is>
      </c>
      <c r="E9" s="433" t="inlineStr">
        <is>
          <t>Customer</t>
        </is>
      </c>
      <c r="F9" s="433" t="inlineStr">
        <is>
          <t>First Organization Unit Code</t>
        </is>
      </c>
      <c r="G9" s="415" t="inlineStr">
        <is>
          <t>CST</t>
        </is>
      </c>
      <c r="H9" s="433" t="inlineStr">
        <is>
          <t>FRST_OU_CODE</t>
        </is>
      </c>
      <c r="I9" s="415" t="inlineStr">
        <is>
          <t>VARCHAR2</t>
        </is>
      </c>
      <c r="J9" s="415" t="n">
        <v>20</v>
      </c>
      <c r="K9" s="415" t="inlineStr">
        <is>
          <t>Chi nhánh mở</t>
        </is>
      </c>
      <c r="M9" s="334">
        <f>"COMMENT ON COLUMN PG_SILVER."&amp;G9&amp;"."&amp;H9&amp;" IS '"&amp;K9&amp;"';"</f>
        <v/>
      </c>
    </row>
    <row r="10" ht="14.25" customHeight="1" s="335">
      <c r="A10" s="415" t="inlineStr">
        <is>
          <t>PG_BRONZE</t>
        </is>
      </c>
      <c r="B10" s="415" t="inlineStr">
        <is>
          <t>T24CORE_CUSTOMER</t>
        </is>
      </c>
      <c r="C10" s="466" t="inlineStr">
        <is>
          <t>COMPANY_BOOK</t>
        </is>
      </c>
      <c r="D10" s="433" t="inlineStr">
        <is>
          <t>1:1</t>
        </is>
      </c>
      <c r="E10" s="433" t="inlineStr">
        <is>
          <t>Customer</t>
        </is>
      </c>
      <c r="F10" s="433" t="inlineStr">
        <is>
          <t>Organization Unit Code</t>
        </is>
      </c>
      <c r="G10" s="415" t="inlineStr">
        <is>
          <t>CST</t>
        </is>
      </c>
      <c r="H10" s="433" t="inlineStr">
        <is>
          <t>OU_CODE</t>
        </is>
      </c>
      <c r="I10" s="415" t="inlineStr">
        <is>
          <t>VARCHAR2</t>
        </is>
      </c>
      <c r="J10" s="415" t="n">
        <v>20</v>
      </c>
      <c r="K10" s="415" t="inlineStr">
        <is>
          <t>Mã chi nhánh mở CIF</t>
        </is>
      </c>
      <c r="M10" s="334">
        <f>"COMMENT ON COLUMN PG_SILVER."&amp;G10&amp;"."&amp;H10&amp;" IS '"&amp;K10&amp;"';"</f>
        <v/>
      </c>
    </row>
    <row r="11" ht="14.25" customHeight="1" s="335">
      <c r="A11" s="415" t="inlineStr">
        <is>
          <t>PG_BRONZE</t>
        </is>
      </c>
      <c r="B11" s="415" t="inlineStr">
        <is>
          <t>T24CORE_CUSTOMER</t>
        </is>
      </c>
      <c r="C11" s="466" t="inlineStr">
        <is>
          <t>ACCOUNT_OFFICER</t>
        </is>
      </c>
      <c r="D11" s="433" t="inlineStr">
        <is>
          <t>1:1</t>
        </is>
      </c>
      <c r="E11" s="433" t="inlineStr">
        <is>
          <t>Customer</t>
        </is>
      </c>
      <c r="F11" s="433" t="inlineStr">
        <is>
          <t>Maker Officer Code</t>
        </is>
      </c>
      <c r="G11" s="415" t="inlineStr">
        <is>
          <t>CST</t>
        </is>
      </c>
      <c r="H11" s="433" t="inlineStr">
        <is>
          <t>MAKER_OFCR_CODE</t>
        </is>
      </c>
      <c r="I11" s="415" t="inlineStr">
        <is>
          <t>VARCHAR2</t>
        </is>
      </c>
      <c r="J11" s="415" t="n">
        <v>20</v>
      </c>
      <c r="K11" s="415" t="inlineStr">
        <is>
          <t>Mã nhân viên hạch toán</t>
        </is>
      </c>
      <c r="M11" s="334">
        <f>"COMMENT ON COLUMN PG_SILVER."&amp;G11&amp;"."&amp;H11&amp;" IS '"&amp;K11&amp;"';"</f>
        <v/>
      </c>
    </row>
    <row r="12" ht="14.25" customHeight="1" s="335">
      <c r="A12" s="415" t="inlineStr">
        <is>
          <t>PG_BRONZE</t>
        </is>
      </c>
      <c r="B12" s="415" t="inlineStr">
        <is>
          <t>T24CORE_CUSTOMER</t>
        </is>
      </c>
      <c r="C12" s="466" t="inlineStr">
        <is>
          <t>SECOND_OFFICER</t>
        </is>
      </c>
      <c r="D12" s="433" t="inlineStr">
        <is>
          <t>1:1</t>
        </is>
      </c>
      <c r="E12" s="433" t="inlineStr">
        <is>
          <t>Customer</t>
        </is>
      </c>
      <c r="F12" s="433" t="inlineStr">
        <is>
          <t>Checker Officer Code</t>
        </is>
      </c>
      <c r="G12" s="415" t="inlineStr">
        <is>
          <t>CST</t>
        </is>
      </c>
      <c r="H12" s="433" t="inlineStr">
        <is>
          <t>CHKER_OFCR_CODE</t>
        </is>
      </c>
      <c r="I12" s="415" t="inlineStr">
        <is>
          <t>VARCHAR2</t>
        </is>
      </c>
      <c r="J12" s="415" t="n">
        <v>20</v>
      </c>
      <c r="K12" s="415" t="inlineStr">
        <is>
          <t>Mã nhân viên hạch toán thứ 2</t>
        </is>
      </c>
      <c r="M12" s="334">
        <f>"COMMENT ON COLUMN PG_SILVER."&amp;G12&amp;"."&amp;H12&amp;" IS '"&amp;K12&amp;"';"</f>
        <v/>
      </c>
    </row>
    <row r="13" ht="14.25" customHeight="1" s="335">
      <c r="A13" s="415" t="inlineStr">
        <is>
          <t>PG_BRONZE</t>
        </is>
      </c>
      <c r="B13" s="415" t="inlineStr">
        <is>
          <t>T24CORE_CUSTOMER</t>
        </is>
      </c>
      <c r="C13" s="466" t="inlineStr">
        <is>
          <t>REFERRED_BY</t>
        </is>
      </c>
      <c r="D13" s="433" t="inlineStr">
        <is>
          <t>1:1</t>
        </is>
      </c>
      <c r="E13" s="433" t="inlineStr">
        <is>
          <t>Customer</t>
        </is>
      </c>
      <c r="F13" s="433" t="inlineStr">
        <is>
          <t>Reference Code</t>
        </is>
      </c>
      <c r="G13" s="415" t="inlineStr">
        <is>
          <t>CST</t>
        </is>
      </c>
      <c r="H13" s="433" t="inlineStr">
        <is>
          <t>REFR_CODE</t>
        </is>
      </c>
      <c r="I13" s="415" t="inlineStr">
        <is>
          <t>VARCHAR2</t>
        </is>
      </c>
      <c r="J13" s="415" t="n">
        <v>40</v>
      </c>
      <c r="K13" s="415" t="inlineStr">
        <is>
          <t>Mã người tham chiếu/giới thiệu</t>
        </is>
      </c>
      <c r="M13" s="334">
        <f>"COMMENT ON COLUMN PG_SILVER."&amp;G13&amp;"."&amp;H13&amp;" IS '"&amp;K13&amp;"';"</f>
        <v/>
      </c>
    </row>
    <row r="14" ht="14.25" customHeight="1" s="335">
      <c r="A14" s="415" t="inlineStr">
        <is>
          <t>PG_BRONZE</t>
        </is>
      </c>
      <c r="B14" s="415" t="inlineStr">
        <is>
          <t>T24CORE_CUSTOMER</t>
        </is>
      </c>
      <c r="C14" s="466" t="inlineStr">
        <is>
          <t>SECTOR</t>
        </is>
      </c>
      <c r="D14" s="433" t="inlineStr">
        <is>
          <t>1:1</t>
        </is>
      </c>
      <c r="E14" s="433" t="inlineStr">
        <is>
          <t>Customer</t>
        </is>
      </c>
      <c r="F14" s="433" t="inlineStr">
        <is>
          <t>Sector Code</t>
        </is>
      </c>
      <c r="G14" s="415" t="inlineStr">
        <is>
          <t>CST</t>
        </is>
      </c>
      <c r="H14" s="433" t="inlineStr">
        <is>
          <t>SCTR_CODE</t>
        </is>
      </c>
      <c r="I14" s="415" t="inlineStr">
        <is>
          <t>VARCHAR2</t>
        </is>
      </c>
      <c r="J14" s="415" t="n">
        <v>40</v>
      </c>
      <c r="K14" s="415" t="inlineStr">
        <is>
          <t>Mã phân loại hình khách hàng</t>
        </is>
      </c>
      <c r="M14" s="334">
        <f>"COMMENT ON COLUMN PG_SILVER."&amp;G14&amp;"."&amp;H14&amp;" IS '"&amp;K14&amp;"';"</f>
        <v/>
      </c>
    </row>
    <row r="15" ht="14.25" customHeight="1" s="335">
      <c r="A15" s="415" t="inlineStr">
        <is>
          <t>PG_BRONZE</t>
        </is>
      </c>
      <c r="B15" s="415" t="inlineStr">
        <is>
          <t>T24CORE_CUSTOMER</t>
        </is>
      </c>
      <c r="C15" s="466" t="inlineStr">
        <is>
          <t>SHORT_NAME</t>
        </is>
      </c>
      <c r="D15" s="433" t="inlineStr">
        <is>
          <t>1:1</t>
        </is>
      </c>
      <c r="E15" s="433" t="inlineStr">
        <is>
          <t>Customer</t>
        </is>
      </c>
      <c r="F15" s="433" t="inlineStr">
        <is>
          <t>Short Name</t>
        </is>
      </c>
      <c r="G15" s="415" t="inlineStr">
        <is>
          <t>CST</t>
        </is>
      </c>
      <c r="H15" s="433" t="inlineStr">
        <is>
          <t>SHRT_NM</t>
        </is>
      </c>
      <c r="I15" s="415" t="inlineStr">
        <is>
          <t>VARCHAR2</t>
        </is>
      </c>
      <c r="J15" s="415" t="n">
        <v>255</v>
      </c>
      <c r="K15" s="415" t="inlineStr">
        <is>
          <t>Tên viết tắt khách hàng</t>
        </is>
      </c>
      <c r="M15" s="334">
        <f>"COMMENT ON COLUMN PG_SILVER."&amp;G15&amp;"."&amp;H15&amp;" IS '"&amp;K15&amp;"';"</f>
        <v/>
      </c>
    </row>
    <row r="16" ht="14.25" customHeight="1" s="335">
      <c r="A16" s="415" t="inlineStr">
        <is>
          <t>PG_BRONZE</t>
        </is>
      </c>
      <c r="B16" s="415" t="inlineStr">
        <is>
          <t>T24CORE_CUSTOMER</t>
        </is>
      </c>
      <c r="C16" s="466" t="inlineStr">
        <is>
          <t>VN_FULL_NAME</t>
        </is>
      </c>
      <c r="D16" s="433" t="inlineStr">
        <is>
          <t>1:1</t>
        </is>
      </c>
      <c r="E16" s="433" t="inlineStr">
        <is>
          <t>Customer</t>
        </is>
      </c>
      <c r="F16" s="433" t="inlineStr">
        <is>
          <t>Customer Name</t>
        </is>
      </c>
      <c r="G16" s="415" t="inlineStr">
        <is>
          <t>CST</t>
        </is>
      </c>
      <c r="H16" s="433" t="inlineStr">
        <is>
          <t>CST_NM</t>
        </is>
      </c>
      <c r="I16" s="415" t="inlineStr">
        <is>
          <t>VARCHAR2</t>
        </is>
      </c>
      <c r="J16" s="415" t="n">
        <v>255</v>
      </c>
      <c r="K16" s="415" t="inlineStr">
        <is>
          <t>Tên khách hàng đầy đủ</t>
        </is>
      </c>
      <c r="M16" s="334">
        <f>"COMMENT ON COLUMN PG_SILVER."&amp;G16&amp;"."&amp;H16&amp;" IS '"&amp;K16&amp;"';"</f>
        <v/>
      </c>
    </row>
    <row r="17" ht="14.25" customHeight="1" s="335">
      <c r="A17" s="415" t="inlineStr">
        <is>
          <t>PG_BRONZE</t>
        </is>
      </c>
      <c r="B17" s="415" t="inlineStr">
        <is>
          <t>T24CORE_CUSTOMER</t>
        </is>
      </c>
      <c r="C17" s="466" t="inlineStr">
        <is>
          <t>CONTACT_DATE</t>
        </is>
      </c>
      <c r="D17" s="433" t="inlineStr">
        <is>
          <t>1:1</t>
        </is>
      </c>
      <c r="E17" s="433" t="inlineStr">
        <is>
          <t>Customer</t>
        </is>
      </c>
      <c r="F17" s="433" t="inlineStr">
        <is>
          <t>Open Date</t>
        </is>
      </c>
      <c r="G17" s="415" t="inlineStr">
        <is>
          <t>CST</t>
        </is>
      </c>
      <c r="H17" s="433" t="inlineStr">
        <is>
          <t>OPN_DT</t>
        </is>
      </c>
      <c r="I17" s="415" t="inlineStr">
        <is>
          <t>DATE</t>
        </is>
      </c>
      <c r="J17" s="415" t="n"/>
      <c r="K17" s="415" t="inlineStr">
        <is>
          <t>Ngày khách hàng liên hệ/mở CIF</t>
        </is>
      </c>
      <c r="M17" s="334">
        <f>"COMMENT ON COLUMN PG_SILVER."&amp;G17&amp;"."&amp;H17&amp;" IS '"&amp;K17&amp;"';"</f>
        <v/>
      </c>
    </row>
    <row r="18" ht="14.25" customHeight="1" s="335">
      <c r="A18" s="415" t="inlineStr">
        <is>
          <t>PG_BRONZE</t>
        </is>
      </c>
      <c r="B18" s="415" t="inlineStr">
        <is>
          <t>T24CORE_CUSTOMER</t>
        </is>
      </c>
      <c r="C18" s="466" t="inlineStr">
        <is>
          <t>ACCOUNT_OFFICER</t>
        </is>
      </c>
      <c r="D18" s="433" t="inlineStr">
        <is>
          <t>1:1</t>
        </is>
      </c>
      <c r="E18" s="433" t="inlineStr">
        <is>
          <t>Customer</t>
        </is>
      </c>
      <c r="F18" s="433" t="inlineStr">
        <is>
          <t>Employee Code</t>
        </is>
      </c>
      <c r="G18" s="415" t="inlineStr">
        <is>
          <t>CST</t>
        </is>
      </c>
      <c r="H18" s="433" t="inlineStr">
        <is>
          <t>EMPE_CODE</t>
        </is>
      </c>
      <c r="I18" s="415" t="inlineStr">
        <is>
          <t>VARCHAR2</t>
        </is>
      </c>
      <c r="J18" s="415" t="n">
        <v>20</v>
      </c>
      <c r="K18" s="415" t="inlineStr">
        <is>
          <t>Mã nhân viên quản lý / giới thiệu</t>
        </is>
      </c>
      <c r="L18" s="334" t="inlineStr">
        <is>
          <t>EMPE_CODE</t>
        </is>
      </c>
      <c r="M18" s="334">
        <f>"COMMENT ON COLUMN PG_SILVER."&amp;G18&amp;"."&amp;H18&amp;" IS '"&amp;K18&amp;"';"</f>
        <v/>
      </c>
      <c r="N18" s="334" t="inlineStr">
        <is>
          <t>Bổ sung từ T24CORE_CUSTOMER.ACCOUNT_OFFICER phục vụ INF_CST.EMPE_CODE</t>
        </is>
      </c>
    </row>
    <row r="19" ht="14.25" customHeight="1" s="335">
      <c r="A19" s="415" t="inlineStr">
        <is>
          <t>PG_BRONZE</t>
        </is>
      </c>
      <c r="B19" s="415" t="inlineStr">
        <is>
          <t>T24CORE_CUSTOMER</t>
        </is>
      </c>
      <c r="C19" s="466" t="inlineStr">
        <is>
          <t>STREET</t>
        </is>
      </c>
      <c r="D19" s="433" t="inlineStr">
        <is>
          <t>1:1</t>
        </is>
      </c>
      <c r="E19" s="433" t="inlineStr">
        <is>
          <t>Customer</t>
        </is>
      </c>
      <c r="F19" s="433" t="inlineStr">
        <is>
          <t>Street Address Raw</t>
        </is>
      </c>
      <c r="G19" s="415" t="inlineStr">
        <is>
          <t>CST</t>
        </is>
      </c>
      <c r="H19" s="433" t="inlineStr">
        <is>
          <t>STR_ADDR</t>
        </is>
      </c>
      <c r="I19" s="415" t="inlineStr">
        <is>
          <t>VARCHAR2</t>
        </is>
      </c>
      <c r="J19" s="415" t="n">
        <v>100</v>
      </c>
      <c r="K19" s="415" t="inlineStr">
        <is>
          <t>Địa chỉ đường phố gốc trên CIF</t>
        </is>
      </c>
      <c r="L19" s="334" t="inlineStr">
        <is>
          <t>STR_ADDR</t>
        </is>
      </c>
      <c r="M19" s="334">
        <f>"COMMENT ON COLUMN PG_SILVER."&amp;G19&amp;"."&amp;H19&amp;" IS '"&amp;K19&amp;"';"</f>
        <v/>
      </c>
      <c r="N19" s="334" t="inlineStr">
        <is>
          <t>Bổ sung từ T24CORE_CUSTOMER.STREET phục vụ INF_CST.STR_ADDR</t>
        </is>
      </c>
    </row>
    <row r="20" ht="14.25" customHeight="1" s="335">
      <c r="A20" s="415" t="inlineStr">
        <is>
          <t>PG_BRONZE</t>
        </is>
      </c>
      <c r="B20" s="415" t="inlineStr">
        <is>
          <t>T24CORE_CUSTOMER</t>
        </is>
      </c>
      <c r="C20" s="466" t="inlineStr">
        <is>
          <t>TARGET</t>
        </is>
      </c>
      <c r="D20" s="433" t="inlineStr">
        <is>
          <t>1:1</t>
        </is>
      </c>
      <c r="E20" s="433" t="inlineStr">
        <is>
          <t>Customer</t>
        </is>
      </c>
      <c r="F20" s="433" t="inlineStr">
        <is>
          <t>Target Segment Code</t>
        </is>
      </c>
      <c r="G20" s="415" t="inlineStr">
        <is>
          <t>CST</t>
        </is>
      </c>
      <c r="H20" s="433" t="inlineStr">
        <is>
          <t>TRGT_CODE</t>
        </is>
      </c>
      <c r="I20" s="415" t="inlineStr">
        <is>
          <t>VARCHAR2</t>
        </is>
      </c>
      <c r="J20" s="415" t="n">
        <v>20</v>
      </c>
      <c r="K20" s="415" t="inlineStr">
        <is>
          <t>Mã phân khúc khách hàng mục tiêu</t>
        </is>
      </c>
      <c r="L20" s="334" t="inlineStr">
        <is>
          <t>TRGT_CODE</t>
        </is>
      </c>
      <c r="M20" s="334">
        <f>"COMMENT ON COLUMN PG_SILVER."&amp;G20&amp;"."&amp;H20&amp;" IS '"&amp;K20&amp;"';"</f>
        <v/>
      </c>
      <c r="N20" s="334" t="inlineStr">
        <is>
          <t>Bổ sung từ T24CORE_CUSTOMER.TARGET phục vụ INF_CST.TRGT_CODE</t>
        </is>
      </c>
    </row>
    <row r="21" ht="14.25" customHeight="1" s="335">
      <c r="A21" s="415" t="inlineStr">
        <is>
          <t>PG_BRONZE</t>
        </is>
      </c>
      <c r="B21" s="415" t="inlineStr">
        <is>
          <t>T24CORE_CUSTOMER</t>
        </is>
      </c>
      <c r="C21" s="466" t="inlineStr">
        <is>
          <t>DATE_TIME, TXN_DATE</t>
        </is>
      </c>
      <c r="D21" s="433" t="inlineStr">
        <is>
          <t>COALESCE(c.DATE_TIME, c.TXN_DATE)</t>
        </is>
      </c>
      <c r="E21" s="433" t="inlineStr">
        <is>
          <t>Customer</t>
        </is>
      </c>
      <c r="F21" s="433" t="inlineStr">
        <is>
          <t>Source Date Time</t>
        </is>
      </c>
      <c r="G21" s="415" t="inlineStr">
        <is>
          <t>CST</t>
        </is>
      </c>
      <c r="H21" s="433" t="inlineStr">
        <is>
          <t>SRC_DT_TM</t>
        </is>
      </c>
      <c r="I21" s="415" t="inlineStr">
        <is>
          <t>DATE</t>
        </is>
      </c>
      <c r="J21" s="415" t="n"/>
      <c r="K21" s="415" t="inlineStr">
        <is>
          <t>Thời gian cập nhật bản ghi nguồn</t>
        </is>
      </c>
      <c r="L21" s="334" t="inlineStr">
        <is>
          <t>SRC_DT_TM</t>
        </is>
      </c>
      <c r="M21" s="334">
        <f>"COMMENT ON COLUMN PG_SILVER."&amp;G21&amp;"."&amp;H21&amp;" IS '"&amp;K21&amp;"';"</f>
        <v/>
      </c>
      <c r="N21" s="334" t="inlineStr">
        <is>
          <t>Bổ sung từ T24CORE_CUSTOMER.DATE_TIME phục vụ INF_CST.SRC_DT_TM</t>
        </is>
      </c>
    </row>
    <row r="22" ht="14.25" customHeight="1" s="335">
      <c r="A22" s="415" t="inlineStr">
        <is>
          <t>PG_BRONZE</t>
        </is>
      </c>
      <c r="B22" s="415" t="inlineStr">
        <is>
          <t>T24CORE_CUSTOMER</t>
        </is>
      </c>
      <c r="C22" s="466" t="inlineStr">
        <is>
          <t>MAU_HD</t>
        </is>
      </c>
      <c r="D22" s="433" t="inlineStr">
        <is>
          <t>1:1</t>
        </is>
      </c>
      <c r="E22" s="433" t="inlineStr">
        <is>
          <t>Customer</t>
        </is>
      </c>
      <c r="F22" s="433" t="inlineStr">
        <is>
          <t>Contract Template Code</t>
        </is>
      </c>
      <c r="G22" s="415" t="inlineStr">
        <is>
          <t>CST</t>
        </is>
      </c>
      <c r="H22" s="433" t="inlineStr">
        <is>
          <t>CTR_TMPL_CODE</t>
        </is>
      </c>
      <c r="I22" s="415" t="inlineStr">
        <is>
          <t>VARCHAR2</t>
        </is>
      </c>
      <c r="J22" s="415" t="n">
        <v>100</v>
      </c>
      <c r="K22" s="415" t="inlineStr">
        <is>
          <t>Mã biểu mẫu hợp đồng chuẩn</t>
        </is>
      </c>
      <c r="L22" s="334" t="inlineStr">
        <is>
          <t>CTR_TMPL_CODE</t>
        </is>
      </c>
      <c r="M22" s="334">
        <f>"COMMENT ON COLUMN PG_SILVER."&amp;G22&amp;"."&amp;H22&amp;" IS '"&amp;K22&amp;"';"</f>
        <v/>
      </c>
      <c r="N22" s="334" t="inlineStr">
        <is>
          <t>Bổ sung từ T24CORE_CUSTOMER.MAU_HD phục vụ INF_CST.CTR_TMPL_CODE</t>
        </is>
      </c>
    </row>
    <row r="23" ht="14.25" customHeight="1" s="335">
      <c r="A23" s="415" t="inlineStr">
        <is>
          <t>PG_BRONZE</t>
        </is>
      </c>
      <c r="B23" s="415" t="inlineStr">
        <is>
          <t>T24CORE_CUSTOMER</t>
        </is>
      </c>
      <c r="C23" s="466" t="inlineStr">
        <is>
          <t>MB_RM_BANCHEO</t>
        </is>
      </c>
      <c r="D23" s="433" t="inlineStr">
        <is>
          <t>1:1</t>
        </is>
      </c>
      <c r="E23" s="433" t="inlineStr">
        <is>
          <t>Customer</t>
        </is>
      </c>
      <c r="F23" s="433" t="inlineStr">
        <is>
          <t>Cross Sell RM Officer Code</t>
        </is>
      </c>
      <c r="G23" s="415" t="inlineStr">
        <is>
          <t>CST</t>
        </is>
      </c>
      <c r="H23" s="433" t="inlineStr">
        <is>
          <t>CRS_SELL_RM_CODE</t>
        </is>
      </c>
      <c r="I23" s="415" t="inlineStr">
        <is>
          <t>VARCHAR2</t>
        </is>
      </c>
      <c r="J23" s="415" t="n">
        <v>100</v>
      </c>
      <c r="K23" s="415" t="inlineStr">
        <is>
          <t>Mã nhân sự bán chéo sản phẩm</t>
        </is>
      </c>
      <c r="L23" s="334" t="inlineStr">
        <is>
          <t>CRS_SELL_RM_CODE</t>
        </is>
      </c>
      <c r="M23" s="334">
        <f>"COMMENT ON COLUMN PG_SILVER."&amp;G23&amp;"."&amp;H23&amp;" IS '"&amp;K23&amp;"';"</f>
        <v/>
      </c>
      <c r="N23" s="334" t="inlineStr">
        <is>
          <t>Bổ sung từ T24CORE_CUSTOMER.MB_RM_BANCHEO phục vụ INF_CST.CRS_SELL_RM_CODE</t>
        </is>
      </c>
    </row>
    <row r="24" ht="14.25" customHeight="1" s="335">
      <c r="A24" s="415" t="inlineStr">
        <is>
          <t>PG_BRONZE</t>
        </is>
      </c>
      <c r="B24" s="415" t="inlineStr">
        <is>
          <t>T24CORE_SECTOR</t>
        </is>
      </c>
      <c r="C24" s="466" t="inlineStr">
        <is>
          <t>CUSTOMER_TYPE</t>
        </is>
      </c>
      <c r="D24" s="433" t="inlineStr">
        <is>
          <t>s.CUSTOMER_TYPE</t>
        </is>
      </c>
      <c r="E24" s="433" t="inlineStr">
        <is>
          <t>Customer</t>
        </is>
      </c>
      <c r="F24" s="433" t="inlineStr">
        <is>
          <t>Customer Type Code</t>
        </is>
      </c>
      <c r="G24" s="415" t="inlineStr">
        <is>
          <t>CST</t>
        </is>
      </c>
      <c r="H24" s="433" t="inlineStr">
        <is>
          <t>CST_TP_CODE</t>
        </is>
      </c>
      <c r="I24" s="415" t="inlineStr">
        <is>
          <t>VARCHAR2</t>
        </is>
      </c>
      <c r="J24" s="415" t="n">
        <v>40</v>
      </c>
      <c r="K24" s="415" t="inlineStr">
        <is>
          <t>Loại khách hàng (theo phân khúc Sector)</t>
        </is>
      </c>
      <c r="L24" s="334" t="inlineStr">
        <is>
          <t>CST_TP_CODE</t>
        </is>
      </c>
      <c r="M24" s="334">
        <f>"COMMENT ON COLUMN PG_SILVER."&amp;G24&amp;"."&amp;H24&amp;" IS '"&amp;SUBSTITUTE(K24,"'","''")&amp;"';"</f>
        <v/>
      </c>
      <c r="N24" s="334" t="inlineStr">
        <is>
          <t>Map từ T24CORE_SECTOR.CUSTOMER_TYPE qua LEFT JOIN c.SECTOR = s.RECID</t>
        </is>
      </c>
    </row>
    <row r="25" ht="14.25" customHeight="1" s="335">
      <c r="A25" s="415" t="inlineStr">
        <is>
          <t>PG_BRONZE</t>
        </is>
      </c>
      <c r="B25" s="415" t="inlineStr">
        <is>
          <t>T24CORE_CUSTOMER</t>
        </is>
      </c>
      <c r="C25" s="415" t="inlineStr">
        <is>
          <t>RECID</t>
        </is>
      </c>
      <c r="D25" s="415" t="inlineStr">
        <is>
          <t>ETL_DATE if not exists CST_ID</t>
        </is>
      </c>
      <c r="E25" s="433" t="inlineStr">
        <is>
          <t>Customer</t>
        </is>
      </c>
      <c r="F25" s="415" t="inlineStr">
        <is>
          <t>System Effective Date</t>
        </is>
      </c>
      <c r="G25" s="415" t="inlineStr">
        <is>
          <t>CST</t>
        </is>
      </c>
      <c r="H25" s="415" t="inlineStr">
        <is>
          <t>SYS_EFF_DT</t>
        </is>
      </c>
      <c r="I25" s="415" t="inlineStr">
        <is>
          <t>DATE</t>
        </is>
      </c>
      <c r="J25" s="415" t="n"/>
      <c r="K25" s="415" t="inlineStr">
        <is>
          <t>Ngày bản ghi lần đầu tiên vào hệ thống</t>
        </is>
      </c>
      <c r="M25" s="334">
        <f>"COMMENT ON COLUMN PG_SILVER."&amp;G25&amp;"."&amp;H25&amp;" IS '"&amp;SUBSTITUTE(K25,"'","''")&amp;"';"</f>
        <v/>
      </c>
    </row>
    <row r="26" ht="14.25" customHeight="1" s="335">
      <c r="A26" s="415" t="inlineStr">
        <is>
          <t>PG_BRONZE</t>
        </is>
      </c>
      <c r="B26" s="415" t="inlineStr">
        <is>
          <t>T24CORE_CUSTOMER</t>
        </is>
      </c>
      <c r="C26" s="415" t="inlineStr">
        <is>
          <t>RECID</t>
        </is>
      </c>
      <c r="D26" s="415" t="inlineStr">
        <is>
          <t>ETL_DATE if RECID was deleted</t>
        </is>
      </c>
      <c r="E26" s="433" t="inlineStr">
        <is>
          <t>Customer</t>
        </is>
      </c>
      <c r="F26" s="415" t="inlineStr">
        <is>
          <t>System Expiry Date</t>
        </is>
      </c>
      <c r="G26" s="415" t="inlineStr">
        <is>
          <t>CST</t>
        </is>
      </c>
      <c r="H26" s="415" t="inlineStr">
        <is>
          <t>SYS_EXP_DT</t>
        </is>
      </c>
      <c r="I26" s="415" t="inlineStr">
        <is>
          <t>DATE</t>
        </is>
      </c>
      <c r="J26" s="415" t="n"/>
      <c r="K26" s="415" t="inlineStr">
        <is>
          <t>Ngày hết hạn của bản ghi</t>
        </is>
      </c>
      <c r="M26" s="334">
        <f>"COMMENT ON COLUMN PG_SILVER."&amp;G26&amp;"."&amp;H26&amp;" IS '"&amp;SUBSTITUTE(K26,"'","''")&amp;"';"</f>
        <v/>
      </c>
    </row>
    <row r="27" ht="14.25" customHeight="1" s="335">
      <c r="A27" s="415" t="inlineStr">
        <is>
          <t>PG_BRONZE</t>
        </is>
      </c>
      <c r="B27" s="415" t="inlineStr">
        <is>
          <t>T24CORE_CUSTOMER</t>
        </is>
      </c>
      <c r="C27" s="415" t="inlineStr">
        <is>
          <t>RECID</t>
        </is>
      </c>
      <c r="D27" s="415" t="inlineStr">
        <is>
          <t>ETL_DATE</t>
        </is>
      </c>
      <c r="E27" s="433" t="inlineStr">
        <is>
          <t>Customer</t>
        </is>
      </c>
      <c r="F27" s="415" t="inlineStr">
        <is>
          <t>System Update Date</t>
        </is>
      </c>
      <c r="G27" s="415" t="inlineStr">
        <is>
          <t>CST</t>
        </is>
      </c>
      <c r="H27" s="415" t="inlineStr">
        <is>
          <t>SYS_UDT_DT</t>
        </is>
      </c>
      <c r="I27" s="415" t="inlineStr">
        <is>
          <t>DATE</t>
        </is>
      </c>
      <c r="J27" s="415" t="n"/>
      <c r="K27" s="415" t="inlineStr">
        <is>
          <t>Ngày update dữ liệu gần nhất</t>
        </is>
      </c>
      <c r="M27" s="334">
        <f>"COMMENT ON COLUMN PG_SILVER."&amp;G27&amp;"."&amp;H27&amp;" IS '"&amp;SUBSTITUTE(K27,"'","''")&amp;"';"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N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1.56" customWidth="1" style="334" min="1" max="1"/>
    <col width="16.33" customWidth="1" style="334" min="2" max="2"/>
    <col width="29.66" customWidth="1" style="334" min="3" max="3"/>
    <col width="89.33" customWidth="1" style="334" min="4" max="4"/>
    <col width="14.67" customWidth="1" style="334" min="5" max="5"/>
    <col width="23.67" customWidth="1" style="334" min="6" max="6"/>
    <col width="30.33" customWidth="1" style="334" min="7" max="7"/>
    <col width="31.56" customWidth="1" style="334" min="8" max="8"/>
    <col width="17.44" customWidth="1" style="334" min="9" max="9"/>
    <col width="10.11" customWidth="1" style="334" min="10" max="10"/>
    <col width="48.44" customWidth="1" style="334" min="11" max="11"/>
    <col width="20.88" customWidth="1" style="334" min="12" max="12"/>
    <col width="55" customWidth="1" style="334" min="14" max="14"/>
  </cols>
  <sheetData>
    <row r="1" ht="14.25" customHeight="1" s="335">
      <c r="A1" s="432" t="inlineStr">
        <is>
          <t>TYPE : TXN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47" t="inlineStr">
        <is>
          <t>No</t>
        </is>
      </c>
      <c r="B2" s="448" t="inlineStr">
        <is>
          <t>System</t>
        </is>
      </c>
      <c r="C2" s="450" t="inlineStr">
        <is>
          <t>TABLE</t>
        </is>
      </c>
      <c r="D2" s="450" t="inlineStr">
        <is>
          <t>Short table</t>
        </is>
      </c>
      <c r="E2" s="450" t="inlineStr">
        <is>
          <t>Main Table</t>
        </is>
      </c>
      <c r="F2" s="450" t="inlineStr">
        <is>
          <t>Type join</t>
        </is>
      </c>
      <c r="G2" s="450" t="inlineStr">
        <is>
          <t>Condition JOIN</t>
        </is>
      </c>
      <c r="H2" s="450" t="inlineStr">
        <is>
          <t>Condition where</t>
        </is>
      </c>
      <c r="I2" s="625" t="inlineStr">
        <is>
          <t>Fields</t>
        </is>
      </c>
      <c r="J2" s="437" t="n"/>
      <c r="K2" s="437" t="n"/>
      <c r="M2" s="626" t="n"/>
    </row>
    <row r="3" ht="72.75" customHeight="1" s="335">
      <c r="A3" s="627" t="n">
        <v>1</v>
      </c>
      <c r="B3" s="628" t="inlineStr">
        <is>
          <t>PG_BRONZE</t>
        </is>
      </c>
      <c r="C3" s="629" t="inlineStr">
        <is>
          <t>T24CORE_STMT_ENTRY</t>
        </is>
      </c>
      <c r="D3" s="489" t="inlineStr">
        <is>
          <t>stmt</t>
        </is>
      </c>
      <c r="E3" s="489" t="inlineStr">
        <is>
          <t>main</t>
        </is>
      </c>
      <c r="F3" s="630" t="n"/>
      <c r="G3" s="630" t="n"/>
      <c r="H3" s="461" t="inlineStr">
        <is>
          <t>stmt.RECID NOT LIKE 'F%'
AND stmt.COMMIT_ACTION &lt;&gt; 'D'
AND stmt.BOOKING_DATE = ${ETL_DATE}</t>
        </is>
      </c>
      <c r="I3" s="472" t="inlineStr">
        <is>
          <t>CASE
        WHEN stmt.OUR_REFERENCE LIKE 'LD%' THEN stmt.OUR_REFERENCE
        WHEN stmt.OUR_REFERENCE LIKE 'PD%' THEN SUBSTR(stmt.OUR_REFERENCE, 3)
END as contract_id, *</t>
        </is>
      </c>
      <c r="J3" s="437" t="n"/>
      <c r="K3" s="437" t="n"/>
      <c r="M3" s="626" t="n"/>
    </row>
    <row r="4" ht="38.25" customHeight="1" s="335">
      <c r="A4" s="459" t="n">
        <v>2</v>
      </c>
      <c r="B4" s="462" t="inlineStr">
        <is>
          <t>PG_BRONZE</t>
        </is>
      </c>
      <c r="C4" s="462" t="inlineStr">
        <is>
          <t>T24CORE_LD_LOANS_AND_DEPOSITS</t>
        </is>
      </c>
      <c r="D4" s="415" t="inlineStr">
        <is>
          <t>ld</t>
        </is>
      </c>
      <c r="E4" s="415" t="inlineStr">
        <is>
          <t>sub</t>
        </is>
      </c>
      <c r="F4" s="460" t="inlineStr">
        <is>
          <t>left</t>
        </is>
      </c>
      <c r="G4" s="460" t="inlineStr">
        <is>
          <t>ld.recid=stmt.contract_id</t>
        </is>
      </c>
      <c r="H4" s="461" t="inlineStr">
        <is>
          <t>TRUNC(TO_DATE(ld.DATE_TIME, 'YYMMDDHH24MI')) &lt;= TO_DATE(${ETL_DATE}, 'YYYYMMDD')</t>
        </is>
      </c>
      <c r="I4" s="415" t="inlineStr">
        <is>
          <t>.</t>
        </is>
      </c>
      <c r="J4" s="437" t="n"/>
      <c r="K4" s="437" t="n"/>
      <c r="M4" s="626" t="n"/>
    </row>
    <row r="5" ht="38.25" customHeight="1" s="335">
      <c r="A5" s="627" t="n">
        <v>3</v>
      </c>
      <c r="B5" s="462" t="inlineStr">
        <is>
          <t>PG_BRONZE</t>
        </is>
      </c>
      <c r="C5" s="631" t="inlineStr">
        <is>
          <t>T24CORE_PD_PAYMENT_DUE_MV</t>
        </is>
      </c>
      <c r="D5" s="489" t="inlineStr">
        <is>
          <t>pd</t>
        </is>
      </c>
      <c r="E5" s="489" t="inlineStr">
        <is>
          <t>sub</t>
        </is>
      </c>
      <c r="F5" s="630" t="inlineStr">
        <is>
          <t>left</t>
        </is>
      </c>
      <c r="G5" s="630" t="inlineStr">
        <is>
          <t>substr(pd.RECID, 3)=stmt.contract_id</t>
        </is>
      </c>
      <c r="H5" s="632" t="inlineStr">
        <is>
          <t>pd.FLAG_STATUS &lt;&gt; 'DELETE'
AND TRUNC(TO_DATE(pd.DATE_TIME, 'YYMMDDHH24MI')) &lt;= TO_DATE(${ETL_DATE}, 'YYYYMMDD')</t>
        </is>
      </c>
      <c r="I5" s="415" t="inlineStr">
        <is>
          <t>.</t>
        </is>
      </c>
      <c r="J5" s="437" t="n"/>
      <c r="K5" s="437" t="n"/>
      <c r="M5" s="626" t="n"/>
    </row>
    <row r="6" ht="14.25" customHeight="1" s="335">
      <c r="A6" s="633" t="n"/>
      <c r="B6" s="634" t="n"/>
      <c r="C6" s="631" t="n"/>
      <c r="D6" s="468" t="n"/>
      <c r="E6" s="468" t="n"/>
      <c r="F6" s="468" t="n"/>
      <c r="G6" s="468" t="n"/>
      <c r="H6" s="635" t="n"/>
      <c r="I6" s="437" t="n"/>
      <c r="J6" s="437" t="n"/>
      <c r="K6" s="437" t="n"/>
      <c r="M6" s="626" t="n"/>
    </row>
    <row r="7" ht="14.25" customHeight="1" s="335">
      <c r="A7" s="432" t="inlineStr">
        <is>
          <t>Nguồn</t>
        </is>
      </c>
      <c r="B7" s="432" t="inlineStr">
        <is>
          <t>Bảng nguồn</t>
        </is>
      </c>
      <c r="C7" s="432" t="inlineStr">
        <is>
          <t>Cột nguồn</t>
        </is>
      </c>
      <c r="D7" s="432" t="inlineStr">
        <is>
          <t>Transform</t>
        </is>
      </c>
      <c r="E7" s="432" t="inlineStr">
        <is>
          <t>Entity</t>
        </is>
      </c>
      <c r="F7" s="432" t="inlineStr">
        <is>
          <t>Attribute</t>
        </is>
      </c>
      <c r="G7" s="432" t="inlineStr">
        <is>
          <t>Bảng đích</t>
        </is>
      </c>
      <c r="H7" s="432" t="inlineStr">
        <is>
          <t>Cột đích</t>
        </is>
      </c>
      <c r="I7" s="432" t="inlineStr">
        <is>
          <t>Kiểu dữ liệu</t>
        </is>
      </c>
      <c r="J7" s="432" t="inlineStr">
        <is>
          <t>Độ dài</t>
        </is>
      </c>
      <c r="K7" s="432" t="inlineStr">
        <is>
          <t>Diễn giải</t>
        </is>
      </c>
      <c r="L7" s="432" t="inlineStr">
        <is>
          <t>Glossary</t>
        </is>
      </c>
      <c r="M7" s="432" t="inlineStr">
        <is>
          <t>DDL Comment</t>
        </is>
      </c>
      <c r="N7" s="413" t="inlineStr">
        <is>
          <t>Ghi chú kỹ thuật &amp; Business Rule</t>
        </is>
      </c>
    </row>
    <row r="8" ht="54.75" customHeight="1" s="335">
      <c r="A8" s="433" t="inlineStr">
        <is>
          <t>PG_BRONZE</t>
        </is>
      </c>
      <c r="B8" s="415" t="inlineStr">
        <is>
          <t>T24CORE_STMT_ENTRY</t>
        </is>
      </c>
      <c r="C8" s="433" t="inlineStr">
        <is>
          <t>RECID</t>
        </is>
      </c>
      <c r="D8" s="441" t="inlineStr">
        <is>
          <t>fn_hash("T24_STMT_ENTRY", stmt.RECID)</t>
        </is>
      </c>
      <c r="E8" s="433" t="inlineStr">
        <is>
          <t>Posting Entry</t>
        </is>
      </c>
      <c r="F8" s="433" t="inlineStr">
        <is>
          <t>Posting Entry Id</t>
        </is>
      </c>
      <c r="G8" s="558" t="inlineStr">
        <is>
          <t>PST_ENTR</t>
        </is>
      </c>
      <c r="H8" s="442" t="inlineStr">
        <is>
          <t>PST_ENTR_ID</t>
        </is>
      </c>
      <c r="I8" s="415" t="inlineStr">
        <is>
          <t>CHAR</t>
        </is>
      </c>
      <c r="J8" s="415" t="n">
        <v>32</v>
      </c>
      <c r="K8" s="415" t="inlineStr">
        <is>
          <t>ID duy nhất của đối tượng trên DWH</t>
        </is>
      </c>
      <c r="M8" s="334">
        <f>"COMMENT ON COLUMN PG_SILVER."&amp;G8&amp;"."&amp;H8&amp;" IS '"&amp;K8&amp;"';"</f>
        <v/>
      </c>
      <c r="N8" s="414" t="inlineStr">
        <is>
          <t>Chuẩn hóa thành `fn_hash("T24_STMT_ENTRY", stmt.recid)`.</t>
        </is>
      </c>
    </row>
    <row r="9" ht="14.25" customHeight="1" s="335">
      <c r="A9" s="433" t="inlineStr">
        <is>
          <t>PG_BRONZE</t>
        </is>
      </c>
      <c r="B9" s="415" t="inlineStr">
        <is>
          <t>T24CORE_STMT_ENTRY</t>
        </is>
      </c>
      <c r="C9" s="433" t="inlineStr">
        <is>
          <t>RECID</t>
        </is>
      </c>
      <c r="D9" s="433" t="inlineStr">
        <is>
          <t>'T24_STMT_ENTRY'</t>
        </is>
      </c>
      <c r="E9" s="433" t="inlineStr">
        <is>
          <t>Posting Entry</t>
        </is>
      </c>
      <c r="F9" s="433" t="inlineStr">
        <is>
          <t>Source System Code</t>
        </is>
      </c>
      <c r="G9" s="558" t="inlineStr">
        <is>
          <t>PST_ENTR</t>
        </is>
      </c>
      <c r="H9" s="442" t="inlineStr">
        <is>
          <t>SRC_STM_CODE</t>
        </is>
      </c>
      <c r="I9" s="415" t="inlineStr">
        <is>
          <t>VARCHAR2</t>
        </is>
      </c>
      <c r="J9" s="415" t="n">
        <v>40</v>
      </c>
      <c r="K9" s="433" t="inlineStr">
        <is>
          <t>Mã nguồn dữ liệu</t>
        </is>
      </c>
      <c r="M9" s="334">
        <f>"COMMENT ON COLUMN PG_SILVER."&amp;G9&amp;"."&amp;H9&amp;" IS '"&amp;K9&amp;"';"</f>
        <v/>
      </c>
    </row>
    <row r="10" ht="14.25" customHeight="1" s="335">
      <c r="A10" s="433" t="inlineStr">
        <is>
          <t>PG_BRONZE</t>
        </is>
      </c>
      <c r="B10" s="415" t="inlineStr">
        <is>
          <t>T24CORE_STMT_ENTRY</t>
        </is>
      </c>
      <c r="C10" s="433" t="inlineStr">
        <is>
          <t>RECID</t>
        </is>
      </c>
      <c r="D10" s="433" t="inlineStr">
        <is>
          <t>1:1</t>
        </is>
      </c>
      <c r="E10" s="433" t="inlineStr">
        <is>
          <t>Posting Entry</t>
        </is>
      </c>
      <c r="F10" s="468" t="inlineStr">
        <is>
          <t>Posting Entry Number</t>
        </is>
      </c>
      <c r="G10" s="558" t="inlineStr">
        <is>
          <t>PST_ENTR</t>
        </is>
      </c>
      <c r="H10" s="433" t="inlineStr">
        <is>
          <t>PST_ENTR_NBR</t>
        </is>
      </c>
      <c r="I10" s="415" t="inlineStr">
        <is>
          <t>VARCHAR2</t>
        </is>
      </c>
      <c r="J10" s="415" t="n">
        <v>32</v>
      </c>
      <c r="K10" s="442" t="inlineStr">
        <is>
          <t>Mã bút toán hạch toán</t>
        </is>
      </c>
      <c r="M10" s="334">
        <f>"COMMENT ON COLUMN PG_SILVER."&amp;G10&amp;"."&amp;H10&amp;" IS '"&amp;K10&amp;"';"</f>
        <v/>
      </c>
    </row>
    <row r="11" ht="27" customHeight="1" s="335">
      <c r="A11" s="433" t="inlineStr">
        <is>
          <t>PG_BRONZE</t>
        </is>
      </c>
      <c r="B11" s="415" t="inlineStr">
        <is>
          <t>T24CORE_STMT_ENTRY</t>
        </is>
      </c>
      <c r="C11" s="433" t="inlineStr">
        <is>
          <t>OUR_REFERENCE</t>
        </is>
      </c>
      <c r="D11" s="441" t="inlineStr">
        <is>
          <t>fn_hash("T24_LD_LOANS_AND_DEPOSITS", stmt.OUR_REFERENCE)</t>
        </is>
      </c>
      <c r="E11" s="433" t="inlineStr">
        <is>
          <t>Posting Entry</t>
        </is>
      </c>
      <c r="F11" s="468" t="inlineStr">
        <is>
          <t>Transaction Id</t>
        </is>
      </c>
      <c r="G11" s="558" t="inlineStr">
        <is>
          <t>PST_ENTR</t>
        </is>
      </c>
      <c r="H11" s="442" t="inlineStr">
        <is>
          <t>TXN_ID</t>
        </is>
      </c>
      <c r="I11" s="415" t="inlineStr">
        <is>
          <t>CHAR</t>
        </is>
      </c>
      <c r="J11" s="415" t="n">
        <v>32</v>
      </c>
      <c r="K11" s="442" t="inlineStr">
        <is>
          <t>ID của giao dịch của bút toán trên DWH</t>
        </is>
      </c>
      <c r="M11" s="334">
        <f>"COMMENT ON COLUMN PG_SILVER."&amp;G11&amp;"."&amp;H11&amp;" IS '"&amp;K11&amp;"';"</f>
        <v/>
      </c>
      <c r="N11" s="414" t="inlineStr">
        <is>
          <t>Chuẩn hóa thành `fn_hash("T24_LD_LOANS_AND_DEPOSITS", stmt.OUR_REFERENCE)`.</t>
        </is>
      </c>
    </row>
    <row r="12" ht="14.25" customHeight="1" s="335">
      <c r="A12" s="433" t="inlineStr">
        <is>
          <t>PG_BRONZE</t>
        </is>
      </c>
      <c r="B12" s="415" t="inlineStr">
        <is>
          <t>T24CORE_STMT_ENTRY</t>
        </is>
      </c>
      <c r="C12" s="433" t="inlineStr">
        <is>
          <t>OUR_REFERENCE</t>
        </is>
      </c>
      <c r="D12" s="433" t="inlineStr">
        <is>
          <t>1:1</t>
        </is>
      </c>
      <c r="E12" s="433" t="inlineStr">
        <is>
          <t>Posting Entry</t>
        </is>
      </c>
      <c r="F12" s="468" t="inlineStr">
        <is>
          <t>Transaction Number</t>
        </is>
      </c>
      <c r="G12" s="558" t="inlineStr">
        <is>
          <t>PST_ENTR</t>
        </is>
      </c>
      <c r="H12" s="442" t="inlineStr">
        <is>
          <t>TXN_NBR</t>
        </is>
      </c>
      <c r="I12" s="415" t="inlineStr">
        <is>
          <t>VARCHAR2</t>
        </is>
      </c>
      <c r="J12" s="415" t="n">
        <v>20</v>
      </c>
      <c r="K12" s="442" t="inlineStr">
        <is>
          <t>Số giao dịch</t>
        </is>
      </c>
      <c r="M12" s="334">
        <f>"COMMENT ON COLUMN PG_SILVER."&amp;G12&amp;"."&amp;H12&amp;" IS '"&amp;K12&amp;"';"</f>
        <v/>
      </c>
    </row>
    <row r="13" ht="14.25" customHeight="1" s="335">
      <c r="A13" s="433" t="inlineStr">
        <is>
          <t>PG_BRONZE</t>
        </is>
      </c>
      <c r="B13" s="415" t="inlineStr">
        <is>
          <t>T24CORE_STMT_ENTRY</t>
        </is>
      </c>
      <c r="C13" s="433" t="inlineStr">
        <is>
          <t>CRF_TYPE</t>
        </is>
      </c>
      <c r="D13" s="433" t="inlineStr">
        <is>
          <t>1:1</t>
        </is>
      </c>
      <c r="E13" s="334" t="inlineStr">
        <is>
          <t>Posting Entry</t>
        </is>
      </c>
      <c r="F13" s="334" t="inlineStr">
        <is>
          <t>Accounting Credit Debit Flag</t>
        </is>
      </c>
      <c r="G13" s="558" t="inlineStr">
        <is>
          <t>PST_ENTR</t>
        </is>
      </c>
      <c r="H13" s="442" t="inlineStr">
        <is>
          <t>ACG_CR_DB_F</t>
        </is>
      </c>
      <c r="I13" s="415" t="inlineStr">
        <is>
          <t>VARCHAR2</t>
        </is>
      </c>
      <c r="J13" s="415" t="n">
        <v>20</v>
      </c>
      <c r="K13" s="442" t="inlineStr">
        <is>
          <t>Cờ đánh dấu ghi nợ/ghi có</t>
        </is>
      </c>
      <c r="M13" s="334">
        <f>"COMMENT ON COLUMN PG_SILVER."&amp;G13&amp;"."&amp;H13&amp;" IS '"&amp;K13&amp;"';"</f>
        <v/>
      </c>
    </row>
    <row r="14" ht="14.25" customHeight="1" s="335">
      <c r="A14" s="433" t="inlineStr">
        <is>
          <t>PG_BRONZE</t>
        </is>
      </c>
      <c r="B14" s="415" t="inlineStr">
        <is>
          <t>T24CORE_STMT_ENTRY</t>
        </is>
      </c>
      <c r="C14" s="433" t="inlineStr">
        <is>
          <t>TRANSACTION_CODE</t>
        </is>
      </c>
      <c r="D14" s="433" t="inlineStr">
        <is>
          <t>1:1</t>
        </is>
      </c>
      <c r="E14" s="433" t="inlineStr">
        <is>
          <t>Posting Entry</t>
        </is>
      </c>
      <c r="F14" s="468" t="inlineStr">
        <is>
          <t>Transaction Code</t>
        </is>
      </c>
      <c r="G14" s="558" t="inlineStr">
        <is>
          <t>PST_ENTR</t>
        </is>
      </c>
      <c r="H14" s="442" t="inlineStr">
        <is>
          <t>TXN_CODE</t>
        </is>
      </c>
      <c r="I14" s="415" t="inlineStr">
        <is>
          <t>VARCHAR2</t>
        </is>
      </c>
      <c r="J14" s="415" t="n">
        <v>20</v>
      </c>
      <c r="K14" s="442" t="inlineStr">
        <is>
          <t>Phân loại mã giao dịch</t>
        </is>
      </c>
      <c r="M14" s="334">
        <f>"COMMENT ON COLUMN PG_SILVER."&amp;G14&amp;"."&amp;H14&amp;" IS '"&amp;K14&amp;"';"</f>
        <v/>
      </c>
    </row>
    <row r="15" ht="14.25" customHeight="1" s="335">
      <c r="A15" s="433" t="inlineStr">
        <is>
          <t>PG_BRONZE</t>
        </is>
      </c>
      <c r="B15" s="415" t="inlineStr">
        <is>
          <t>T24CORE_STMT_ENTRY</t>
        </is>
      </c>
      <c r="C15" s="433" t="inlineStr">
        <is>
          <t>BOOKING_DATE</t>
        </is>
      </c>
      <c r="D15" s="433" t="inlineStr">
        <is>
          <t>1:1</t>
        </is>
      </c>
      <c r="E15" s="433" t="inlineStr">
        <is>
          <t>Posting Entry</t>
        </is>
      </c>
      <c r="F15" s="433" t="inlineStr">
        <is>
          <t>Posting Date</t>
        </is>
      </c>
      <c r="G15" s="558" t="inlineStr">
        <is>
          <t>PST_ENTR</t>
        </is>
      </c>
      <c r="H15" s="442" t="inlineStr">
        <is>
          <t>PST_DT</t>
        </is>
      </c>
      <c r="I15" s="415" t="inlineStr">
        <is>
          <t>DATE</t>
        </is>
      </c>
      <c r="J15" s="415" t="n"/>
      <c r="K15" s="442" t="inlineStr">
        <is>
          <t>Ngày phát sinh bút toán</t>
        </is>
      </c>
      <c r="M15" s="334">
        <f>"COMMENT ON COLUMN PG_SILVER."&amp;G15&amp;"."&amp;H15&amp;" IS '"&amp;K15&amp;"';"</f>
        <v/>
      </c>
    </row>
    <row r="16" ht="82.5" customHeight="1" s="335">
      <c r="A16" s="433" t="inlineStr">
        <is>
          <t>PG_BRONZE</t>
        </is>
      </c>
      <c r="B16" s="415" t="inlineStr">
        <is>
          <t>T24CORE_STMT_ENTRY</t>
        </is>
      </c>
      <c r="C16" s="433" t="inlineStr">
        <is>
          <t>AMOUNT_FCY</t>
        </is>
      </c>
      <c r="D16" s="441" t="inlineStr">
        <is>
          <t>COALESCE(stmt.AMOUNT_FCY, 0)</t>
        </is>
      </c>
      <c r="E16" s="433" t="inlineStr">
        <is>
          <t>Posting Entry</t>
        </is>
      </c>
      <c r="F16" s="473" t="inlineStr">
        <is>
          <t>Posting Entry Amount FCY</t>
        </is>
      </c>
      <c r="G16" s="558" t="inlineStr">
        <is>
          <t>PST_ENTR</t>
        </is>
      </c>
      <c r="H16" s="415" t="inlineStr">
        <is>
          <t>PST_ENTR_AMT_FCY</t>
        </is>
      </c>
      <c r="I16" s="415" t="inlineStr">
        <is>
          <t>NUMBER</t>
        </is>
      </c>
      <c r="J16" s="415" t="n">
        <v>25.5</v>
      </c>
      <c r="K16" s="442" t="inlineStr">
        <is>
          <t>Số tiền của bút toán nguyên tệ</t>
        </is>
      </c>
      <c r="M16" s="334">
        <f>"COMMENT ON COLUMN PG_SILVER."&amp;G16&amp;"."&amp;H16&amp;" IS '"&amp;K16&amp;"';"</f>
        <v/>
      </c>
      <c r="N16" s="414" t="inlineStr">
        <is>
          <t>Đóng đủ ngoặc `COALESCE(stmt.AMOUNT_FCY, 0)` và sửa Attribute thành `Posting Entry Amount FCY`.</t>
        </is>
      </c>
    </row>
    <row r="17" ht="82.5" customHeight="1" s="335">
      <c r="A17" s="433" t="inlineStr">
        <is>
          <t>PG_BRONZE</t>
        </is>
      </c>
      <c r="B17" s="415" t="inlineStr">
        <is>
          <t>T24CORE_STMT_ENTRY</t>
        </is>
      </c>
      <c r="C17" s="433" t="inlineStr">
        <is>
          <t>AMOUNT_LCY</t>
        </is>
      </c>
      <c r="D17" s="441" t="inlineStr">
        <is>
          <t>COALESCE(stmt.AMOUNT_LCY, 0)</t>
        </is>
      </c>
      <c r="E17" s="433" t="inlineStr">
        <is>
          <t>Posting Entry</t>
        </is>
      </c>
      <c r="F17" s="473" t="inlineStr">
        <is>
          <t>Posting Entry Amount LCY</t>
        </is>
      </c>
      <c r="G17" s="558" t="inlineStr">
        <is>
          <t>PST_ENTR</t>
        </is>
      </c>
      <c r="H17" s="415" t="inlineStr">
        <is>
          <t>PST_ENTR_AMT_LCY</t>
        </is>
      </c>
      <c r="I17" s="415" t="inlineStr">
        <is>
          <t>NUMBER</t>
        </is>
      </c>
      <c r="J17" s="415" t="n">
        <v>25.5</v>
      </c>
      <c r="K17" s="442" t="inlineStr">
        <is>
          <t>Số tiền của bút toán quy đổi</t>
        </is>
      </c>
      <c r="M17" s="334">
        <f>"COMMENT ON COLUMN PG_SILVER."&amp;G17&amp;"."&amp;H17&amp;" IS '"&amp;K17&amp;"';"</f>
        <v/>
      </c>
      <c r="N17" s="414" t="inlineStr">
        <is>
          <t>Đóng đủ ngoặc `COALESCE(stmt.AMOUNT_LCY, 0)` và sửa Attribute thành `Posting Entry Amount LCY`.</t>
        </is>
      </c>
    </row>
    <row r="18" ht="27" customHeight="1" s="335">
      <c r="A18" s="433" t="inlineStr">
        <is>
          <t>PG_BRONZE</t>
        </is>
      </c>
      <c r="B18" s="415" t="inlineStr">
        <is>
          <t>T24CORE_STMT_ENTRY</t>
        </is>
      </c>
      <c r="C18" s="636" t="inlineStr">
        <is>
          <t>CURRENCY</t>
        </is>
      </c>
      <c r="D18" s="433" t="inlineStr">
        <is>
          <t>1:1</t>
        </is>
      </c>
      <c r="E18" s="433" t="inlineStr">
        <is>
          <t>Posting Entry</t>
        </is>
      </c>
      <c r="F18" s="468" t="inlineStr">
        <is>
          <t>Currency Code</t>
        </is>
      </c>
      <c r="G18" s="558" t="inlineStr">
        <is>
          <t>PST_ENTR</t>
        </is>
      </c>
      <c r="H18" s="415" t="inlineStr">
        <is>
          <t>CCY_CODE</t>
        </is>
      </c>
      <c r="I18" s="463" t="inlineStr">
        <is>
          <t>VARCHAR2</t>
        </is>
      </c>
      <c r="J18" s="415" t="n">
        <v>20</v>
      </c>
      <c r="K18" s="442" t="inlineStr">
        <is>
          <t>Mã loại tiền</t>
        </is>
      </c>
      <c r="M18" s="334">
        <f>"COMMENT ON COLUMN PG_SILVER."&amp;G18&amp;"."&amp;H18&amp;" IS '"&amp;K18&amp;"';"</f>
        <v/>
      </c>
      <c r="N18" s="414" t="inlineStr">
        <is>
          <t>Bổ sung kiểu dữ liệu `VARCHAR2(20)`.</t>
        </is>
      </c>
    </row>
    <row r="19" ht="14.25" customHeight="1" s="335">
      <c r="A19" s="433" t="inlineStr">
        <is>
          <t>PG_BRONZE</t>
        </is>
      </c>
      <c r="B19" s="415" t="inlineStr">
        <is>
          <t>T24CORE_STMT_ENTRY</t>
        </is>
      </c>
      <c r="C19" s="636" t="inlineStr">
        <is>
          <t>VALUE_DATE</t>
        </is>
      </c>
      <c r="D19" s="415" t="inlineStr">
        <is>
          <t>1:1</t>
        </is>
      </c>
      <c r="E19" s="433" t="inlineStr">
        <is>
          <t>Posting Entry</t>
        </is>
      </c>
      <c r="F19" s="468" t="inlineStr">
        <is>
          <t>Value Date</t>
        </is>
      </c>
      <c r="G19" s="558" t="inlineStr">
        <is>
          <t>PST_ENTR</t>
        </is>
      </c>
      <c r="H19" s="415" t="inlineStr">
        <is>
          <t>VAL_DT</t>
        </is>
      </c>
      <c r="I19" s="415" t="inlineStr">
        <is>
          <t>DATE</t>
        </is>
      </c>
      <c r="J19" s="415" t="n"/>
      <c r="K19" s="442" t="inlineStr">
        <is>
          <t>Ngày hiệu lực của bút toán</t>
        </is>
      </c>
      <c r="M19" s="334">
        <f>"COMMENT ON COLUMN PG_SILVER."&amp;G19&amp;"."&amp;H19&amp;" IS '"&amp;K19&amp;"';"</f>
        <v/>
      </c>
    </row>
    <row r="20" ht="14.25" customHeight="1" s="335">
      <c r="A20" s="433" t="inlineStr">
        <is>
          <t>PG_BRONZE</t>
        </is>
      </c>
      <c r="B20" s="415" t="inlineStr">
        <is>
          <t>T24CORE_STMT_ENTRY</t>
        </is>
      </c>
      <c r="C20" s="636" t="inlineStr">
        <is>
          <t>EXCHANGE_RATE</t>
        </is>
      </c>
      <c r="D20" s="433" t="inlineStr">
        <is>
          <t>1:1</t>
        </is>
      </c>
      <c r="E20" s="433" t="inlineStr">
        <is>
          <t>Posting Entry</t>
        </is>
      </c>
      <c r="F20" s="468" t="inlineStr">
        <is>
          <t>Exchange Rate</t>
        </is>
      </c>
      <c r="G20" s="558" t="inlineStr">
        <is>
          <t>PST_ENTR</t>
        </is>
      </c>
      <c r="H20" s="415" t="inlineStr">
        <is>
          <t>EXG_RATE</t>
        </is>
      </c>
      <c r="I20" s="415" t="inlineStr">
        <is>
          <t>NUMBER</t>
        </is>
      </c>
      <c r="J20" s="415" t="n">
        <v>25.7</v>
      </c>
      <c r="K20" s="442" t="inlineStr">
        <is>
          <t>Tỷ giá thực hiện</t>
        </is>
      </c>
      <c r="M20" s="334">
        <f>"COMMENT ON COLUMN PG_SILVER."&amp;G20&amp;"."&amp;H20&amp;" IS '"&amp;K20&amp;"';"</f>
        <v/>
      </c>
    </row>
    <row r="21" ht="30.75" customHeight="1" s="335">
      <c r="A21" s="433" t="inlineStr">
        <is>
          <t>PG_BRONZE</t>
        </is>
      </c>
      <c r="B21" s="415" t="inlineStr">
        <is>
          <t>T24CORE_LD_LOANS_AND_DEPOSITS, T24CORE_PD_PAYMENT_DUE_MV, T24CORE_STMT_ENTRY</t>
        </is>
      </c>
      <c r="C21" s="637" t="inlineStr">
        <is>
          <t>CO_CODE, COMPANY_CODE</t>
        </is>
      </c>
      <c r="D21" s="436" t="inlineStr">
        <is>
          <t>COALESCE(ld.CO_CODE, pd.CO_CODE, stmt.COMPANY_CODE)</t>
        </is>
      </c>
      <c r="E21" s="433" t="inlineStr">
        <is>
          <t>Posting Entry</t>
        </is>
      </c>
      <c r="F21" s="468" t="inlineStr">
        <is>
          <t>Organization Unit Code</t>
        </is>
      </c>
      <c r="G21" s="558" t="inlineStr">
        <is>
          <t>PST_ENTR</t>
        </is>
      </c>
      <c r="H21" s="415" t="inlineStr">
        <is>
          <t>OU_CODE</t>
        </is>
      </c>
      <c r="I21" s="415" t="inlineStr">
        <is>
          <t>VARCHAR2</t>
        </is>
      </c>
      <c r="J21" s="415" t="n">
        <v>32</v>
      </c>
      <c r="K21" s="442" t="inlineStr">
        <is>
          <t>Chi nhánh hạch toán</t>
        </is>
      </c>
      <c r="M21" s="334">
        <f>"COMMENT ON COLUMN PG_SILVER."&amp;G21&amp;"."&amp;H21&amp;" IS '"&amp;K21&amp;"';"</f>
        <v/>
      </c>
    </row>
    <row r="22" ht="14.25" customHeight="1" s="335">
      <c r="A22" s="433" t="inlineStr">
        <is>
          <t>PG_BRONZE</t>
        </is>
      </c>
      <c r="B22" s="415" t="inlineStr">
        <is>
          <t>T24CORE_STMT_ENTRY</t>
        </is>
      </c>
      <c r="C22" s="636" t="inlineStr">
        <is>
          <t>ACCOUNT_NUMBER</t>
        </is>
      </c>
      <c r="D22" s="433" t="inlineStr">
        <is>
          <t>1:1</t>
        </is>
      </c>
      <c r="E22" s="433" t="inlineStr">
        <is>
          <t>Posting Entry</t>
        </is>
      </c>
      <c r="F22" s="415" t="inlineStr">
        <is>
          <t>Account Number</t>
        </is>
      </c>
      <c r="G22" s="558" t="inlineStr">
        <is>
          <t>PST_ENTR</t>
        </is>
      </c>
      <c r="H22" s="415" t="inlineStr">
        <is>
          <t>AC_NBR</t>
        </is>
      </c>
      <c r="I22" s="415" t="inlineStr">
        <is>
          <t>VARCHAR2</t>
        </is>
      </c>
      <c r="J22" s="415" t="n">
        <v>40</v>
      </c>
      <c r="K22" s="433" t="inlineStr">
        <is>
          <t>Số tài khoản liên quan</t>
        </is>
      </c>
      <c r="M22" s="334">
        <f>"COMMENT ON COLUMN PG_SILVER."&amp;G22&amp;"."&amp;H22&amp;" IS '"&amp;K22&amp;"';"</f>
        <v/>
      </c>
    </row>
    <row r="23" ht="14.25" customHeight="1" s="335">
      <c r="A23" s="433" t="inlineStr">
        <is>
          <t>PG_BRONZE</t>
        </is>
      </c>
      <c r="B23" s="415" t="inlineStr">
        <is>
          <t>T24CORE_STMT_ENTRY</t>
        </is>
      </c>
      <c r="C23" s="636" t="inlineStr">
        <is>
          <t>OUR_REFERENCE</t>
        </is>
      </c>
      <c r="D23" s="433" t="inlineStr">
        <is>
          <t>stmt.contract_id</t>
        </is>
      </c>
      <c r="E23" s="433" t="inlineStr">
        <is>
          <t>Posting Entry</t>
        </is>
      </c>
      <c r="F23" s="415" t="inlineStr">
        <is>
          <t>Arrangement Code</t>
        </is>
      </c>
      <c r="G23" s="558" t="inlineStr">
        <is>
          <t>PST_ENTR</t>
        </is>
      </c>
      <c r="H23" s="415" t="inlineStr">
        <is>
          <t>AR_CODE</t>
        </is>
      </c>
      <c r="I23" s="415" t="inlineStr">
        <is>
          <t>VARCHAR2</t>
        </is>
      </c>
      <c r="J23" s="415" t="n">
        <v>40</v>
      </c>
      <c r="K23" s="433" t="inlineStr">
        <is>
          <t>Số hợp đồng liên quan</t>
        </is>
      </c>
      <c r="M23" s="334">
        <f>"COMMENT ON COLUMN PG_SILVER."&amp;G23&amp;"."&amp;H23&amp;" IS '"&amp;K23&amp;"';"</f>
        <v/>
      </c>
    </row>
    <row r="24" ht="69" customHeight="1" s="335">
      <c r="A24" s="433" t="inlineStr">
        <is>
          <t>PG_BRONZE</t>
        </is>
      </c>
      <c r="B24" s="415" t="inlineStr">
        <is>
          <t>T24CORE_STMT_ENTRY</t>
        </is>
      </c>
      <c r="C24" s="636" t="inlineStr">
        <is>
          <t>OUR_REFERENCE</t>
        </is>
      </c>
      <c r="D24" s="441" t="inlineStr">
        <is>
          <t>fn_hash("T24_LD_LOANS_AND_DEPOSITS", stmt.contract_id)</t>
        </is>
      </c>
      <c r="E24" s="433" t="inlineStr">
        <is>
          <t>Posting Entry</t>
        </is>
      </c>
      <c r="F24" s="415" t="inlineStr">
        <is>
          <t>Arrangement Id</t>
        </is>
      </c>
      <c r="G24" s="558" t="inlineStr">
        <is>
          <t>PST_ENTR</t>
        </is>
      </c>
      <c r="H24" s="415" t="inlineStr">
        <is>
          <t>AR_ID</t>
        </is>
      </c>
      <c r="I24" s="415" t="inlineStr">
        <is>
          <t>CHAR</t>
        </is>
      </c>
      <c r="J24" s="415" t="n">
        <v>32</v>
      </c>
      <c r="K24" s="433" t="inlineStr">
        <is>
          <t>ID hợp đồng duy nhất liên quan trên DWH</t>
        </is>
      </c>
      <c r="M24" s="334">
        <f>"COMMENT ON COLUMN PG_SILVER."&amp;G24&amp;"."&amp;H24&amp;" IS '"&amp;K24&amp;"';"</f>
        <v/>
      </c>
      <c r="N24" s="414" t="inlineStr">
        <is>
          <t>Đổi thành `fn_hash("T24_LD_LOANS_AND_DEPOSITS", stmt.contract_id)`.</t>
        </is>
      </c>
    </row>
    <row r="25" ht="54.75" customHeight="1" s="335">
      <c r="A25" s="433" t="inlineStr">
        <is>
          <t>PG_BRONZE</t>
        </is>
      </c>
      <c r="B25" s="415" t="inlineStr">
        <is>
          <t>T24CORE_STMT_ENTRY</t>
        </is>
      </c>
      <c r="C25" s="636" t="inlineStr">
        <is>
          <t>CUSTOMER_ID</t>
        </is>
      </c>
      <c r="D25" s="441" t="inlineStr">
        <is>
          <t>fn_hash("T24_CUSTOMER", stmt.CUSTOMER_ID)</t>
        </is>
      </c>
      <c r="E25" s="433" t="inlineStr">
        <is>
          <t>Posting Entry</t>
        </is>
      </c>
      <c r="F25" s="468" t="inlineStr">
        <is>
          <t>Customer Id</t>
        </is>
      </c>
      <c r="G25" s="558" t="inlineStr">
        <is>
          <t>PST_ENTR</t>
        </is>
      </c>
      <c r="H25" s="415" t="inlineStr">
        <is>
          <t>CST_ID</t>
        </is>
      </c>
      <c r="I25" s="415" t="inlineStr">
        <is>
          <t>CHAR</t>
        </is>
      </c>
      <c r="J25" s="415" t="n">
        <v>32</v>
      </c>
      <c r="K25" s="433" t="inlineStr">
        <is>
          <t>ID duy nhất của khách hàng liên quan trên DWH</t>
        </is>
      </c>
      <c r="M25" s="334">
        <f>"COMMENT ON COLUMN PG_SILVER."&amp;G25&amp;"."&amp;H25&amp;" IS '"&amp;K25&amp;"';"</f>
        <v/>
      </c>
      <c r="N25" s="414" t="inlineStr">
        <is>
          <t>Đổi thành `fn_hash("T24_CUSTOMER", stmt.CUSTOMER_ID)`.</t>
        </is>
      </c>
    </row>
    <row r="26" ht="14.25" customHeight="1" s="335">
      <c r="A26" s="433" t="inlineStr">
        <is>
          <t>PG_BRONZE</t>
        </is>
      </c>
      <c r="B26" s="415" t="inlineStr">
        <is>
          <t>T24CORE_STMT_ENTRY</t>
        </is>
      </c>
      <c r="C26" s="636" t="inlineStr">
        <is>
          <t>CUSTOMER_ID</t>
        </is>
      </c>
      <c r="D26" s="433" t="inlineStr">
        <is>
          <t>1:1</t>
        </is>
      </c>
      <c r="E26" s="433" t="inlineStr">
        <is>
          <t>Posting Entry</t>
        </is>
      </c>
      <c r="F26" s="468" t="inlineStr">
        <is>
          <t>Customer Number</t>
        </is>
      </c>
      <c r="G26" s="558" t="inlineStr">
        <is>
          <t>PST_ENTR</t>
        </is>
      </c>
      <c r="H26" s="415" t="inlineStr">
        <is>
          <t>CST_NBR</t>
        </is>
      </c>
      <c r="I26" s="415" t="inlineStr">
        <is>
          <t>VARCHAR2</t>
        </is>
      </c>
      <c r="J26" s="415" t="n">
        <v>20</v>
      </c>
      <c r="K26" s="442" t="inlineStr">
        <is>
          <t>Mã số khách hàng</t>
        </is>
      </c>
      <c r="M26" s="334">
        <f>"COMMENT ON COLUMN PG_SILVER."&amp;G26&amp;"."&amp;H26&amp;" IS '"&amp;K26&amp;"';"</f>
        <v/>
      </c>
    </row>
    <row r="27" ht="14.25" customHeight="1" s="335">
      <c r="A27" s="433" t="inlineStr">
        <is>
          <t>PG_BRONZE</t>
        </is>
      </c>
      <c r="B27" s="415" t="inlineStr">
        <is>
          <t>T24CORE_STMT_ENTRY</t>
        </is>
      </c>
      <c r="C27" s="636" t="inlineStr">
        <is>
          <t>PRODUCT_CATEGORY</t>
        </is>
      </c>
      <c r="D27" s="433" t="inlineStr">
        <is>
          <t>1:1</t>
        </is>
      </c>
      <c r="E27" s="433" t="inlineStr">
        <is>
          <t>Posting Entry</t>
        </is>
      </c>
      <c r="F27" s="468" t="inlineStr">
        <is>
          <t>Accounting Product Category</t>
        </is>
      </c>
      <c r="G27" s="558" t="inlineStr">
        <is>
          <t>PST_ENTR</t>
        </is>
      </c>
      <c r="H27" s="415" t="inlineStr">
        <is>
          <t>ACG_PD_CGY</t>
        </is>
      </c>
      <c r="I27" s="415" t="inlineStr">
        <is>
          <t>VARCHAR2</t>
        </is>
      </c>
      <c r="J27" s="415" t="n">
        <v>20</v>
      </c>
      <c r="K27" s="442" t="inlineStr">
        <is>
          <t>Loại sản phẩm hạch toán</t>
        </is>
      </c>
      <c r="M27" s="334">
        <f>"COMMENT ON COLUMN PG_SILVER."&amp;G27&amp;"."&amp;H27&amp;" IS '"&amp;K27&amp;"';"</f>
        <v/>
      </c>
    </row>
    <row r="28" ht="14.25" customHeight="1" s="335">
      <c r="A28" s="433" t="inlineStr">
        <is>
          <t>PG_BRONZE</t>
        </is>
      </c>
      <c r="B28" s="415" t="inlineStr">
        <is>
          <t>T24CORE_STMT_ENTRY</t>
        </is>
      </c>
      <c r="C28" s="636" t="inlineStr">
        <is>
          <t>NARRATIVE</t>
        </is>
      </c>
      <c r="D28" s="433" t="inlineStr">
        <is>
          <t>1:1</t>
        </is>
      </c>
      <c r="E28" s="433" t="inlineStr">
        <is>
          <t>Posting Entry</t>
        </is>
      </c>
      <c r="F28" s="468" t="inlineStr">
        <is>
          <t>Posting Entry Description</t>
        </is>
      </c>
      <c r="G28" s="558" t="inlineStr">
        <is>
          <t>PST_ENTR</t>
        </is>
      </c>
      <c r="H28" s="415" t="inlineStr">
        <is>
          <t>PST_ENTR_DSC</t>
        </is>
      </c>
      <c r="I28" s="415" t="inlineStr">
        <is>
          <t>VARCHAR2</t>
        </is>
      </c>
      <c r="J28" s="415" t="n">
        <v>4000</v>
      </c>
      <c r="K28" s="442" t="inlineStr">
        <is>
          <t>Mô tả bút toán</t>
        </is>
      </c>
      <c r="M28" s="334">
        <f>"COMMENT ON COLUMN PG_SILVER."&amp;G28&amp;"."&amp;H28&amp;" IS '"&amp;K28&amp;"';"</f>
        <v/>
      </c>
    </row>
    <row r="29" ht="14.25" customHeight="1" s="335">
      <c r="A29" s="433" t="inlineStr">
        <is>
          <t>PG_BRONZE</t>
        </is>
      </c>
      <c r="B29" s="415" t="inlineStr">
        <is>
          <t>T24CORE_STMT_ENTRY</t>
        </is>
      </c>
      <c r="C29" s="636" t="inlineStr">
        <is>
          <t>CONSOL_KEY</t>
        </is>
      </c>
      <c r="D29" s="433" t="inlineStr">
        <is>
          <t>1:1</t>
        </is>
      </c>
      <c r="E29" s="433" t="inlineStr">
        <is>
          <t>Posting Entry</t>
        </is>
      </c>
      <c r="F29" s="468" t="inlineStr">
        <is>
          <t>Consol Key</t>
        </is>
      </c>
      <c r="G29" s="558" t="inlineStr">
        <is>
          <t>PST_ENTR</t>
        </is>
      </c>
      <c r="H29" s="415" t="inlineStr">
        <is>
          <t>CONSOL_KEY</t>
        </is>
      </c>
      <c r="I29" s="415" t="inlineStr">
        <is>
          <t>VARCHAR2</t>
        </is>
      </c>
      <c r="J29" s="415" t="n">
        <v>1000</v>
      </c>
      <c r="K29" s="442" t="inlineStr">
        <is>
          <t>Consol key của bút toán STMT</t>
        </is>
      </c>
      <c r="M29" s="334">
        <f>"COMMENT ON COLUMN PG_SILVER."&amp;G29&amp;"."&amp;H29&amp;" IS '"&amp;K29&amp;"';"</f>
        <v/>
      </c>
    </row>
    <row r="30" ht="14.25" customHeight="1" s="335">
      <c r="A30" s="436" t="inlineStr">
        <is>
          <t>PG_BRONZE</t>
        </is>
      </c>
      <c r="B30" s="442" t="inlineStr">
        <is>
          <t>T24CORE_STMT_ENTRY</t>
        </is>
      </c>
      <c r="C30" s="470" t="inlineStr">
        <is>
          <t>SYSTEM_ID</t>
        </is>
      </c>
      <c r="D30" s="436" t="inlineStr">
        <is>
          <t>1:1</t>
        </is>
      </c>
      <c r="E30" s="436" t="inlineStr">
        <is>
          <t>Posting Entry</t>
        </is>
      </c>
      <c r="F30" s="442" t="inlineStr">
        <is>
          <t>Module Code</t>
        </is>
      </c>
      <c r="G30" s="638" t="inlineStr">
        <is>
          <t>PST_ENTR</t>
        </is>
      </c>
      <c r="H30" s="436" t="inlineStr">
        <is>
          <t>MOD_CODE</t>
        </is>
      </c>
      <c r="I30" s="442" t="inlineStr">
        <is>
          <t>VARCHAR2</t>
        </is>
      </c>
      <c r="J30" s="442" t="n">
        <v>20</v>
      </c>
      <c r="K30" s="436" t="inlineStr">
        <is>
          <t>Mã phân hệ giao dịch</t>
        </is>
      </c>
      <c r="M30" s="334">
        <f>"COMMENT ON COLUMN PG_SILVER."&amp;G30&amp;"."&amp;H30&amp;" IS '"&amp;K30&amp;"';"</f>
        <v/>
      </c>
    </row>
    <row r="31" ht="167.25" customHeight="1" s="335">
      <c r="A31" s="433" t="inlineStr">
        <is>
          <t>PG_BRONZE</t>
        </is>
      </c>
      <c r="B31" s="461" t="inlineStr">
        <is>
          <t>T24CORE_STMT_ENTRY, T24CORE_LD_LOANS_AND_DEPOSITS, T24CORE_PD_PAYMENT_DUE_MV</t>
        </is>
      </c>
      <c r="C31" s="639" t="inlineStr">
        <is>
          <t>TRANSACTION_CODE, CATEGORY, CRF_PROD_CAT</t>
        </is>
      </c>
      <c r="D31" s="443" t="inlineStr">
        <is>
          <t>CASE        
              WHEN stmt.TRANSACTION_CODE ='402' THEN 'LD_GN'
              WHEN stmt.TRANSACTION_CODE in ('420','423') AND COALESCE(ld.CATEGORY, pd.CATEGORY, stmt.CRF_PROD_CAT,'_') &lt;&gt; '21069' THEN 'LD_PR'
              WHEN stmt.TRANSACTION_CODE in('434','424') OR (stmt.TRANSACTION_CODE in ('420','423') AND COALESCE(ld.CATEGORY, pd.CATEGORY, stmt.CRF_PROD_CAT) ='21069') THEN 'LD_IN'
              WHEN stmt.TRANSACTION_CODE = '750' THEN 'PD_PR'
              WHEN stmt.TRANSACTION_CODE = '751' THEN 'PD_IN'
              WHEN stmt.TRANSACTION_CODE = '752' THEN 'PD_PE'
              WHEN stmt.TRANSACTION_CODE = '753' THEN 'PD_PS'
         END</t>
        </is>
      </c>
      <c r="E31" s="433" t="inlineStr">
        <is>
          <t>Posting Entry</t>
        </is>
      </c>
      <c r="F31" s="433" t="inlineStr">
        <is>
          <t>Posting Entry Component</t>
        </is>
      </c>
      <c r="G31" s="558" t="inlineStr">
        <is>
          <t>PST_ENTR</t>
        </is>
      </c>
      <c r="H31" s="433" t="inlineStr">
        <is>
          <t>PST_ENTR_CMPT</t>
        </is>
      </c>
      <c r="I31" s="415" t="inlineStr">
        <is>
          <t>VARCHAR2</t>
        </is>
      </c>
      <c r="J31" s="415" t="n">
        <v>20</v>
      </c>
      <c r="K31" s="433" t="inlineStr">
        <is>
          <t>Phân loại thành phần giao dịch bút toán</t>
        </is>
      </c>
      <c r="M31" s="334">
        <f>"COMMENT ON COLUMN PG_SILVER."&amp;G31&amp;"."&amp;H31&amp;" IS '"&amp;K31&amp;"';"</f>
        <v/>
      </c>
    </row>
    <row r="32" ht="14.25" customHeight="1" s="335">
      <c r="A32" s="433" t="inlineStr">
        <is>
          <t>PG_BRONZE</t>
        </is>
      </c>
      <c r="B32" s="415" t="inlineStr">
        <is>
          <t>T24CORE_STMT_ENTRY</t>
        </is>
      </c>
      <c r="C32" s="433" t="inlineStr">
        <is>
          <t>ACCOUNTING_DATE</t>
        </is>
      </c>
      <c r="D32" s="433" t="inlineStr">
        <is>
          <t>1:1</t>
        </is>
      </c>
      <c r="E32" s="433" t="inlineStr">
        <is>
          <t>Posting Entry</t>
        </is>
      </c>
      <c r="F32" s="433" t="inlineStr">
        <is>
          <t>Accounting Date</t>
        </is>
      </c>
      <c r="G32" s="558" t="inlineStr">
        <is>
          <t>PST_ENTR</t>
        </is>
      </c>
      <c r="H32" s="433" t="inlineStr">
        <is>
          <t>ACG_DT</t>
        </is>
      </c>
      <c r="I32" s="433" t="inlineStr">
        <is>
          <t>DATE</t>
        </is>
      </c>
      <c r="J32" s="433" t="n"/>
      <c r="K32" s="433" t="inlineStr">
        <is>
          <t>Ngày hạch toán của bút toán</t>
        </is>
      </c>
      <c r="M32" s="334">
        <f>"COMMENT ON COLUMN PG_SILVER."&amp;G32&amp;"."&amp;H32&amp;" IS '"&amp;K32&amp;"';"</f>
        <v/>
      </c>
    </row>
    <row r="33" ht="14.25" customHeight="1" s="335">
      <c r="A33" s="433" t="inlineStr">
        <is>
          <t>PG_BRONZE</t>
        </is>
      </c>
      <c r="B33" s="415" t="inlineStr">
        <is>
          <t>T24CORE_STMT_ENTRY</t>
        </is>
      </c>
      <c r="C33" s="433" t="inlineStr">
        <is>
          <t>ACCT_ID</t>
        </is>
      </c>
      <c r="D33" s="433" t="inlineStr">
        <is>
          <t>CASE WHEN stmt.ACCT_ID IS NOT NULL THEN fn_hash("T24_ACCOUNT", stmt.ACCT_ID) ELSE NULL END</t>
        </is>
      </c>
      <c r="E33" s="433" t="inlineStr">
        <is>
          <t>Posting Entry</t>
        </is>
      </c>
      <c r="F33" s="433" t="inlineStr">
        <is>
          <t>Account Id</t>
        </is>
      </c>
      <c r="G33" s="558" t="inlineStr">
        <is>
          <t>PST_ENTR</t>
        </is>
      </c>
      <c r="H33" s="433" t="inlineStr">
        <is>
          <t>AC_ID</t>
        </is>
      </c>
      <c r="I33" s="415" t="inlineStr">
        <is>
          <t>CHAR</t>
        </is>
      </c>
      <c r="J33" s="415" t="n">
        <v>32</v>
      </c>
      <c r="K33" s="433" t="inlineStr">
        <is>
          <t>ID tài khoản hạch toán trên DWH</t>
        </is>
      </c>
      <c r="M33" s="334">
        <f>"COMMENT ON COLUMN PG_SILVER."&amp;G33&amp;"."&amp;H33&amp;" IS '"&amp;K33&amp;"';"</f>
        <v/>
      </c>
    </row>
    <row r="34" ht="14.25" customHeight="1" s="335">
      <c r="A34" s="433" t="inlineStr">
        <is>
          <t>PG_BRONZE</t>
        </is>
      </c>
      <c r="B34" s="415" t="inlineStr">
        <is>
          <t>T24CORE_STMT_ENTRY</t>
        </is>
      </c>
      <c r="C34" s="433" t="inlineStr">
        <is>
          <t>BALANCE_TYPE</t>
        </is>
      </c>
      <c r="D34" s="433" t="inlineStr">
        <is>
          <t>1:1</t>
        </is>
      </c>
      <c r="E34" s="433" t="inlineStr">
        <is>
          <t>Posting Entry</t>
        </is>
      </c>
      <c r="F34" s="433" t="inlineStr">
        <is>
          <t>Balance Type</t>
        </is>
      </c>
      <c r="G34" s="558" t="inlineStr">
        <is>
          <t>PST_ENTR</t>
        </is>
      </c>
      <c r="H34" s="433" t="inlineStr">
        <is>
          <t>BAL_TP</t>
        </is>
      </c>
      <c r="I34" s="442" t="inlineStr">
        <is>
          <t>VARCHAR2</t>
        </is>
      </c>
      <c r="J34" s="442" t="n">
        <v>20</v>
      </c>
      <c r="K34" s="433" t="inlineStr">
        <is>
          <t>Loại bút toán</t>
        </is>
      </c>
      <c r="M34" s="334">
        <f>"COMMENT ON COLUMN PG_SILVER."&amp;G34&amp;"."&amp;H34&amp;" IS '"&amp;K34&amp;"';"</f>
        <v/>
      </c>
    </row>
    <row r="35" ht="14.25" customHeight="1" s="335">
      <c r="A35" s="433" t="inlineStr">
        <is>
          <t>PG_BRONZE</t>
        </is>
      </c>
      <c r="B35" s="415" t="inlineStr">
        <is>
          <t>T24CORE_STMT_ENTRY</t>
        </is>
      </c>
      <c r="C35" s="433" t="inlineStr">
        <is>
          <t>CARD_NUMBER</t>
        </is>
      </c>
      <c r="D35" s="433" t="inlineStr">
        <is>
          <t>1:1</t>
        </is>
      </c>
      <c r="E35" s="433" t="inlineStr">
        <is>
          <t>Posting Entry</t>
        </is>
      </c>
      <c r="F35" s="433" t="inlineStr">
        <is>
          <t>Card Number</t>
        </is>
      </c>
      <c r="G35" s="558" t="inlineStr">
        <is>
          <t>PST_ENTR</t>
        </is>
      </c>
      <c r="H35" s="433" t="inlineStr">
        <is>
          <t>CARD_NBR</t>
        </is>
      </c>
      <c r="I35" s="442" t="inlineStr">
        <is>
          <t>VARCHAR2</t>
        </is>
      </c>
      <c r="J35" s="442" t="n">
        <v>40</v>
      </c>
      <c r="K35" s="433" t="inlineStr">
        <is>
          <t>Số thẻ</t>
        </is>
      </c>
      <c r="M35" s="334">
        <f>"COMMENT ON COLUMN PG_SILVER."&amp;G35&amp;"."&amp;H35&amp;" IS '"&amp;K35&amp;"';"</f>
        <v/>
      </c>
    </row>
    <row r="36" ht="14.25" customHeight="1" s="335">
      <c r="A36" s="433" t="inlineStr">
        <is>
          <t>PG_BRONZE</t>
        </is>
      </c>
      <c r="B36" s="415" t="inlineStr">
        <is>
          <t>T24CORE_STMT_ENTRY</t>
        </is>
      </c>
      <c r="C36" s="433" t="inlineStr">
        <is>
          <t>COMMIT_ACTION</t>
        </is>
      </c>
      <c r="D36" s="433" t="inlineStr">
        <is>
          <t>1:1</t>
        </is>
      </c>
      <c r="E36" s="433" t="inlineStr">
        <is>
          <t>Posting Entry</t>
        </is>
      </c>
      <c r="F36" s="433" t="inlineStr">
        <is>
          <t>Commit Action</t>
        </is>
      </c>
      <c r="G36" s="558" t="inlineStr">
        <is>
          <t>PST_ENTR</t>
        </is>
      </c>
      <c r="H36" s="433" t="inlineStr">
        <is>
          <t>CMMT_ACTN</t>
        </is>
      </c>
      <c r="I36" s="442" t="inlineStr">
        <is>
          <t>VARCHAR2</t>
        </is>
      </c>
      <c r="J36" s="442" t="n">
        <v>20</v>
      </c>
      <c r="K36" s="433" t="inlineStr">
        <is>
          <t>Trường kỹ thuật đánh dấu bản ghi IUD</t>
        </is>
      </c>
      <c r="M36" s="334">
        <f>"COMMENT ON COLUMN PG_SILVER."&amp;G36&amp;"."&amp;H36&amp;" IS '"&amp;K36&amp;"';"</f>
        <v/>
      </c>
    </row>
    <row r="37" ht="14.25" customHeight="1" s="335">
      <c r="A37" s="433" t="inlineStr">
        <is>
          <t>PG_BRONZE</t>
        </is>
      </c>
      <c r="B37" s="415" t="inlineStr">
        <is>
          <t>T24CORE_STMT_ENTRY</t>
        </is>
      </c>
      <c r="C37" s="433" t="inlineStr">
        <is>
          <t>COMMIT_TS</t>
        </is>
      </c>
      <c r="D37" s="433" t="inlineStr">
        <is>
          <t>1:1</t>
        </is>
      </c>
      <c r="E37" s="433" t="inlineStr">
        <is>
          <t>Posting Entry</t>
        </is>
      </c>
      <c r="F37" s="433" t="inlineStr">
        <is>
          <t>Commit Timestamp</t>
        </is>
      </c>
      <c r="G37" s="558" t="inlineStr">
        <is>
          <t>PST_ENTR</t>
        </is>
      </c>
      <c r="H37" s="433" t="inlineStr">
        <is>
          <t>CMMT_TMS</t>
        </is>
      </c>
      <c r="I37" s="433" t="inlineStr">
        <is>
          <t>TIMESTAMP</t>
        </is>
      </c>
      <c r="J37" s="433" t="n"/>
      <c r="K37" s="433" t="inlineStr">
        <is>
          <t>Thời gian ghi nhận thay đổi bản ghi trên hệ thống</t>
        </is>
      </c>
      <c r="M37" s="334">
        <f>"COMMENT ON COLUMN PG_SILVER."&amp;G37&amp;"."&amp;H37&amp;" IS '"&amp;K37&amp;"';"</f>
        <v/>
      </c>
    </row>
    <row r="38" ht="14.25" customHeight="1" s="335">
      <c r="A38" s="433" t="inlineStr">
        <is>
          <t>PG_BRONZE</t>
        </is>
      </c>
      <c r="B38" s="415" t="inlineStr">
        <is>
          <t>T24CORE_STMT_ENTRY</t>
        </is>
      </c>
      <c r="C38" s="433" t="inlineStr">
        <is>
          <t>CRF_PROD_CAT</t>
        </is>
      </c>
      <c r="D38" s="433" t="inlineStr">
        <is>
          <t>1:1</t>
        </is>
      </c>
      <c r="E38" s="433" t="inlineStr">
        <is>
          <t>Posting Entry</t>
        </is>
      </c>
      <c r="F38" s="433" t="inlineStr">
        <is>
          <t>Category Product Code</t>
        </is>
      </c>
      <c r="G38" s="558" t="inlineStr">
        <is>
          <t>PST_ENTR</t>
        </is>
      </c>
      <c r="H38" s="433" t="inlineStr">
        <is>
          <t>CGY_PD_CODE</t>
        </is>
      </c>
      <c r="I38" s="442" t="inlineStr">
        <is>
          <t>VARCHAR2</t>
        </is>
      </c>
      <c r="J38" s="442" t="n">
        <v>20</v>
      </c>
      <c r="K38" s="433" t="inlineStr">
        <is>
          <t>Mã Category phân loại bút toán</t>
        </is>
      </c>
      <c r="M38" s="334">
        <f>"COMMENT ON COLUMN PG_SILVER."&amp;G38&amp;"."&amp;H38&amp;" IS '"&amp;K38&amp;"';"</f>
        <v/>
      </c>
    </row>
    <row r="39" ht="14.25" customHeight="1" s="335">
      <c r="A39" s="433" t="inlineStr">
        <is>
          <t>PG_BRONZE</t>
        </is>
      </c>
      <c r="B39" s="415" t="inlineStr">
        <is>
          <t>T24CORE_STMT_ENTRY</t>
        </is>
      </c>
      <c r="C39" s="433" t="inlineStr">
        <is>
          <t>CURR_NO</t>
        </is>
      </c>
      <c r="D39" s="433" t="inlineStr">
        <is>
          <t>1:1</t>
        </is>
      </c>
      <c r="E39" s="433" t="inlineStr">
        <is>
          <t>Posting Entry</t>
        </is>
      </c>
      <c r="F39" s="433" t="inlineStr">
        <is>
          <t>Current Number</t>
        </is>
      </c>
      <c r="G39" s="558" t="inlineStr">
        <is>
          <t>PST_ENTR</t>
        </is>
      </c>
      <c r="H39" s="433" t="inlineStr">
        <is>
          <t>CRN_NBR</t>
        </is>
      </c>
      <c r="I39" s="433" t="inlineStr">
        <is>
          <t>NUMBER</t>
        </is>
      </c>
      <c r="J39" s="433" t="n">
        <v>22</v>
      </c>
      <c r="K39" s="433" t="inlineStr">
        <is>
          <t>Trường kỹ thuật, đánh dấu version thay đổi bút toán</t>
        </is>
      </c>
      <c r="M39" s="334">
        <f>"COMMENT ON COLUMN PG_SILVER."&amp;G39&amp;"."&amp;H39&amp;" IS '"&amp;K39&amp;"';"</f>
        <v/>
      </c>
    </row>
    <row r="40" ht="14.25" customHeight="1" s="335">
      <c r="A40" s="433" t="inlineStr">
        <is>
          <t>PG_BRONZE</t>
        </is>
      </c>
      <c r="B40" s="415" t="inlineStr">
        <is>
          <t>T24CORE_STMT_ENTRY</t>
        </is>
      </c>
      <c r="C40" s="433" t="inlineStr">
        <is>
          <t>CYCLE_FORWARD</t>
        </is>
      </c>
      <c r="D40" s="433" t="inlineStr">
        <is>
          <t>1:1</t>
        </is>
      </c>
      <c r="E40" s="433" t="inlineStr">
        <is>
          <t>Posting Entry</t>
        </is>
      </c>
      <c r="F40" s="433" t="inlineStr">
        <is>
          <t>Cycle Forward</t>
        </is>
      </c>
      <c r="G40" s="558" t="inlineStr">
        <is>
          <t>PST_ENTR</t>
        </is>
      </c>
      <c r="H40" s="433" t="inlineStr">
        <is>
          <t>CYC_FWD</t>
        </is>
      </c>
      <c r="I40" s="433" t="inlineStr">
        <is>
          <t>DATE</t>
        </is>
      </c>
      <c r="J40" s="433" t="n"/>
      <c r="K40" s="433" t="inlineStr">
        <is>
          <t>Chu kỳ</t>
        </is>
      </c>
      <c r="M40" s="334">
        <f>"COMMENT ON COLUMN PG_SILVER."&amp;G40&amp;"."&amp;H40&amp;" IS '"&amp;K40&amp;"';"</f>
        <v/>
      </c>
    </row>
    <row r="41" ht="14.25" customHeight="1" s="335">
      <c r="A41" s="433" t="inlineStr">
        <is>
          <t>PG_BRONZE</t>
        </is>
      </c>
      <c r="B41" s="415" t="inlineStr">
        <is>
          <t>T24CORE_STMT_ENTRY</t>
        </is>
      </c>
      <c r="C41" s="433" t="inlineStr">
        <is>
          <t>DATE_TIME</t>
        </is>
      </c>
      <c r="D41" s="433" t="inlineStr">
        <is>
          <t>1:1</t>
        </is>
      </c>
      <c r="E41" s="433" t="inlineStr">
        <is>
          <t>Posting Entry</t>
        </is>
      </c>
      <c r="F41" s="433" t="inlineStr">
        <is>
          <t>Date Time</t>
        </is>
      </c>
      <c r="G41" s="558" t="inlineStr">
        <is>
          <t>PST_ENTR</t>
        </is>
      </c>
      <c r="H41" s="433" t="inlineStr">
        <is>
          <t>DT_TM</t>
        </is>
      </c>
      <c r="I41" s="433" t="inlineStr">
        <is>
          <t>DATE</t>
        </is>
      </c>
      <c r="J41" s="433" t="n"/>
      <c r="K41" s="433" t="inlineStr">
        <is>
          <t>Trường kỹ thuật, ghi nhận thời gian sửa đổi</t>
        </is>
      </c>
      <c r="M41" s="334">
        <f>"COMMENT ON COLUMN PG_SILVER."&amp;G41&amp;"."&amp;H41&amp;" IS '"&amp;K41&amp;"';"</f>
        <v/>
      </c>
    </row>
    <row r="42" ht="14.25" customHeight="1" s="335">
      <c r="A42" s="433" t="inlineStr">
        <is>
          <t>PG_BRONZE</t>
        </is>
      </c>
      <c r="B42" s="415" t="inlineStr">
        <is>
          <t>T24CORE_STMT_ENTRY</t>
        </is>
      </c>
      <c r="C42" s="433" t="inlineStr">
        <is>
          <t>DEPARTMENT_CODE</t>
        </is>
      </c>
      <c r="D42" s="433" t="inlineStr">
        <is>
          <t>1:1</t>
        </is>
      </c>
      <c r="E42" s="433" t="inlineStr">
        <is>
          <t>Posting Entry</t>
        </is>
      </c>
      <c r="F42" s="433" t="inlineStr">
        <is>
          <t>Department Code</t>
        </is>
      </c>
      <c r="G42" s="558" t="inlineStr">
        <is>
          <t>PST_ENTR</t>
        </is>
      </c>
      <c r="H42" s="433" t="inlineStr">
        <is>
          <t>DEPT_CODE</t>
        </is>
      </c>
      <c r="I42" s="442" t="inlineStr">
        <is>
          <t>VARCHAR2</t>
        </is>
      </c>
      <c r="J42" s="442" t="n">
        <v>20</v>
      </c>
      <c r="K42" s="433" t="inlineStr">
        <is>
          <t>Mã đơn vị hạch toán</t>
        </is>
      </c>
      <c r="M42" s="334">
        <f>"COMMENT ON COLUMN PG_SILVER."&amp;G42&amp;"."&amp;H42&amp;" IS '"&amp;K42&amp;"';"</f>
        <v/>
      </c>
    </row>
    <row r="43" ht="14.25" customHeight="1" s="335">
      <c r="A43" s="433" t="inlineStr">
        <is>
          <t>PG_BRONZE</t>
        </is>
      </c>
      <c r="B43" s="415" t="inlineStr">
        <is>
          <t>T24CORE_STMT_ENTRY</t>
        </is>
      </c>
      <c r="C43" s="433" t="inlineStr">
        <is>
          <t>DRAWN_ACCOUNT</t>
        </is>
      </c>
      <c r="D43" s="433" t="inlineStr">
        <is>
          <t>1:1</t>
        </is>
      </c>
      <c r="E43" s="433" t="inlineStr">
        <is>
          <t>Posting Entry</t>
        </is>
      </c>
      <c r="F43" s="433" t="inlineStr">
        <is>
          <t>Drawn Account</t>
        </is>
      </c>
      <c r="G43" s="558" t="inlineStr">
        <is>
          <t>PST_ENTR</t>
        </is>
      </c>
      <c r="H43" s="433" t="inlineStr">
        <is>
          <t>DRN_AC</t>
        </is>
      </c>
      <c r="I43" s="442" t="inlineStr">
        <is>
          <t>VARCHAR2</t>
        </is>
      </c>
      <c r="J43" s="442" t="n">
        <v>20</v>
      </c>
      <c r="K43" s="433" t="inlineStr">
        <is>
          <t>Tài khoản ghi nhận số tiền rút</t>
        </is>
      </c>
      <c r="M43" s="334">
        <f>"COMMENT ON COLUMN PG_SILVER."&amp;G43&amp;"."&amp;H43&amp;" IS '"&amp;K43&amp;"';"</f>
        <v/>
      </c>
    </row>
    <row r="44" ht="14.25" customHeight="1" s="335">
      <c r="A44" s="433" t="inlineStr">
        <is>
          <t>PG_BRONZE</t>
        </is>
      </c>
      <c r="B44" s="415" t="inlineStr">
        <is>
          <t>T24CORE_STMT_ENTRY</t>
        </is>
      </c>
      <c r="C44" s="433" t="inlineStr">
        <is>
          <t>INTERNAL_CATEGORY</t>
        </is>
      </c>
      <c r="D44" s="433" t="inlineStr">
        <is>
          <t>1:1</t>
        </is>
      </c>
      <c r="E44" s="433" t="inlineStr">
        <is>
          <t>Posting Entry</t>
        </is>
      </c>
      <c r="F44" s="433" t="inlineStr">
        <is>
          <t>Internal Category</t>
        </is>
      </c>
      <c r="G44" s="558" t="inlineStr">
        <is>
          <t>PST_ENTR</t>
        </is>
      </c>
      <c r="H44" s="433" t="inlineStr">
        <is>
          <t>INR_CGY</t>
        </is>
      </c>
      <c r="I44" s="442" t="inlineStr">
        <is>
          <t>VARCHAR2</t>
        </is>
      </c>
      <c r="J44" s="442" t="n">
        <v>20</v>
      </c>
      <c r="K44" s="433" t="inlineStr">
        <is>
          <t>Mã Category nội bộ</t>
        </is>
      </c>
      <c r="M44" s="334">
        <f>"COMMENT ON COLUMN PG_SILVER."&amp;G44&amp;"."&amp;H44&amp;" IS '"&amp;K44&amp;"';"</f>
        <v/>
      </c>
    </row>
    <row r="45" ht="14.25" customHeight="1" s="335">
      <c r="A45" s="433" t="inlineStr">
        <is>
          <t>PG_BRONZE</t>
        </is>
      </c>
      <c r="B45" s="415" t="inlineStr">
        <is>
          <t>T24CORE_STMT_ENTRY</t>
        </is>
      </c>
      <c r="C45" s="433" t="inlineStr">
        <is>
          <t>LOCAL_REF</t>
        </is>
      </c>
      <c r="D45" s="433" t="inlineStr">
        <is>
          <t>1:1</t>
        </is>
      </c>
      <c r="E45" s="433" t="inlineStr">
        <is>
          <t>Posting Entry</t>
        </is>
      </c>
      <c r="F45" s="433" t="inlineStr">
        <is>
          <t>Local Reference</t>
        </is>
      </c>
      <c r="G45" s="558" t="inlineStr">
        <is>
          <t>PST_ENTR</t>
        </is>
      </c>
      <c r="H45" s="433" t="inlineStr">
        <is>
          <t>LCL_REFR</t>
        </is>
      </c>
      <c r="I45" s="442" t="inlineStr">
        <is>
          <t>VARCHAR2</t>
        </is>
      </c>
      <c r="J45" s="442" t="n">
        <v>20</v>
      </c>
      <c r="K45" s="433" t="inlineStr">
        <is>
          <t>Trường multivalue - đa nghĩa của T24</t>
        </is>
      </c>
      <c r="M45" s="334">
        <f>"COMMENT ON COLUMN PG_SILVER."&amp;G45&amp;"."&amp;H45&amp;" IS '"&amp;K45&amp;"';"</f>
        <v/>
      </c>
    </row>
    <row r="46" ht="14.25" customHeight="1" s="335">
      <c r="A46" s="433" t="inlineStr">
        <is>
          <t>PG_BRONZE</t>
        </is>
      </c>
      <c r="B46" s="415" t="inlineStr">
        <is>
          <t>T24CORE_STMT_ENTRY</t>
        </is>
      </c>
      <c r="C46" s="433" t="inlineStr">
        <is>
          <t>ORIG_AMOUNT_LCY</t>
        </is>
      </c>
      <c r="D46" s="433" t="inlineStr">
        <is>
          <t>1:1</t>
        </is>
      </c>
      <c r="E46" s="433" t="inlineStr">
        <is>
          <t>Posting Entry</t>
        </is>
      </c>
      <c r="F46" s="433" t="inlineStr">
        <is>
          <t>Original Amount LCY</t>
        </is>
      </c>
      <c r="G46" s="558" t="inlineStr">
        <is>
          <t>PST_ENTR</t>
        </is>
      </c>
      <c r="H46" s="433" t="inlineStr">
        <is>
          <t>ORIG_AMT_LCY</t>
        </is>
      </c>
      <c r="I46" s="433" t="inlineStr">
        <is>
          <t>NUMBER</t>
        </is>
      </c>
      <c r="J46" s="433" t="n">
        <v>25.5</v>
      </c>
      <c r="K46" s="433" t="inlineStr">
        <is>
          <t>Giá trị hạch toán ban đầu quy đổi</t>
        </is>
      </c>
      <c r="M46" s="334">
        <f>"COMMENT ON COLUMN PG_SILVER."&amp;G46&amp;"."&amp;H46&amp;" IS '"&amp;K46&amp;"';"</f>
        <v/>
      </c>
    </row>
    <row r="47" ht="14.25" customHeight="1" s="335">
      <c r="A47" s="433" t="inlineStr">
        <is>
          <t>PG_BRONZE</t>
        </is>
      </c>
      <c r="B47" s="415" t="inlineStr">
        <is>
          <t>T24CORE_STMT_ENTRY</t>
        </is>
      </c>
      <c r="C47" s="433" t="inlineStr">
        <is>
          <t>ORIGINAL_ACCT</t>
        </is>
      </c>
      <c r="D47" s="433" t="inlineStr">
        <is>
          <t>1:1</t>
        </is>
      </c>
      <c r="E47" s="433" t="inlineStr">
        <is>
          <t>Posting Entry</t>
        </is>
      </c>
      <c r="F47" s="433" t="inlineStr">
        <is>
          <t>Original Account</t>
        </is>
      </c>
      <c r="G47" s="558" t="inlineStr">
        <is>
          <t>PST_ENTR</t>
        </is>
      </c>
      <c r="H47" s="433" t="inlineStr">
        <is>
          <t>ORIG_AC</t>
        </is>
      </c>
      <c r="I47" s="442" t="inlineStr">
        <is>
          <t>VARCHAR2</t>
        </is>
      </c>
      <c r="J47" s="442" t="n">
        <v>20</v>
      </c>
      <c r="K47" s="433" t="inlineStr">
        <is>
          <t>Số tài khoản hạch toán ban đầu</t>
        </is>
      </c>
      <c r="M47" s="334">
        <f>"COMMENT ON COLUMN PG_SILVER."&amp;G47&amp;"."&amp;H47&amp;" IS '"&amp;K47&amp;"';"</f>
        <v/>
      </c>
    </row>
    <row r="48" ht="14.25" customHeight="1" s="335">
      <c r="A48" s="433" t="inlineStr">
        <is>
          <t>PG_BRONZE</t>
        </is>
      </c>
      <c r="B48" s="415" t="inlineStr">
        <is>
          <t>T24CORE_STMT_ENTRY</t>
        </is>
      </c>
      <c r="C48" s="433" t="inlineStr">
        <is>
          <t>ORIGINAL_AMOUNT</t>
        </is>
      </c>
      <c r="D48" s="433" t="inlineStr">
        <is>
          <t>1:1</t>
        </is>
      </c>
      <c r="E48" s="433" t="inlineStr">
        <is>
          <t>Posting Entry</t>
        </is>
      </c>
      <c r="F48" s="433" t="inlineStr">
        <is>
          <t>Original Amount</t>
        </is>
      </c>
      <c r="G48" s="558" t="inlineStr">
        <is>
          <t>PST_ENTR</t>
        </is>
      </c>
      <c r="H48" s="433" t="inlineStr">
        <is>
          <t>ORIG_AMT</t>
        </is>
      </c>
      <c r="I48" s="433" t="inlineStr">
        <is>
          <t>NUMBER</t>
        </is>
      </c>
      <c r="J48" s="433" t="n">
        <v>25.5</v>
      </c>
      <c r="K48" s="433" t="inlineStr">
        <is>
          <t>Giá trị hạch toán ban đầu nguyên tệ</t>
        </is>
      </c>
      <c r="M48" s="334">
        <f>"COMMENT ON COLUMN PG_SILVER."&amp;G48&amp;"."&amp;H48&amp;" IS '"&amp;K48&amp;"';"</f>
        <v/>
      </c>
    </row>
    <row r="49" ht="41.25" customHeight="1" s="335">
      <c r="A49" s="433" t="inlineStr">
        <is>
          <t>PG_BRONZE</t>
        </is>
      </c>
      <c r="B49" s="415" t="inlineStr">
        <is>
          <t>T24CORE_STMT_ENTRY</t>
        </is>
      </c>
      <c r="C49" s="433" t="inlineStr">
        <is>
          <t>ORIGINAL_CCY</t>
        </is>
      </c>
      <c r="D49" s="433" t="inlineStr">
        <is>
          <t>1:1</t>
        </is>
      </c>
      <c r="E49" s="433" t="inlineStr">
        <is>
          <t>Posting Entry</t>
        </is>
      </c>
      <c r="F49" s="433" t="inlineStr">
        <is>
          <t>Original Currency</t>
        </is>
      </c>
      <c r="G49" s="558" t="inlineStr">
        <is>
          <t>PST_ENTR</t>
        </is>
      </c>
      <c r="H49" s="433" t="inlineStr">
        <is>
          <t>ORIG_CCY</t>
        </is>
      </c>
      <c r="I49" s="441" t="inlineStr">
        <is>
          <t>VARCHAR2</t>
        </is>
      </c>
      <c r="J49" s="441" t="n">
        <v>20</v>
      </c>
      <c r="K49" s="433" t="inlineStr">
        <is>
          <t>Loại tiền giao dịch ban đầu</t>
        </is>
      </c>
      <c r="M49" s="334">
        <f>"COMMENT ON COLUMN PG_SILVER."&amp;G49&amp;"."&amp;H49&amp;" IS '"&amp;K49&amp;"';"</f>
        <v/>
      </c>
      <c r="N49" s="414" t="inlineStr">
        <is>
          <t>Đổi kiểu dữ liệu thành `VARCHAR2(20)`.</t>
        </is>
      </c>
    </row>
    <row r="50" ht="14.25" customHeight="1" s="335">
      <c r="A50" s="433" t="inlineStr">
        <is>
          <t>PG_BRONZE</t>
        </is>
      </c>
      <c r="B50" s="415" t="inlineStr">
        <is>
          <t>T24CORE_STMT_ENTRY</t>
        </is>
      </c>
      <c r="C50" s="433" t="inlineStr">
        <is>
          <t>ORIGINAL_EXCH_RATE</t>
        </is>
      </c>
      <c r="D50" s="433" t="inlineStr">
        <is>
          <t>1:1</t>
        </is>
      </c>
      <c r="E50" s="433" t="inlineStr">
        <is>
          <t>Posting Entry</t>
        </is>
      </c>
      <c r="F50" s="433" t="inlineStr">
        <is>
          <t>Original Exchange Rate</t>
        </is>
      </c>
      <c r="G50" s="558" t="inlineStr">
        <is>
          <t>PST_ENTR</t>
        </is>
      </c>
      <c r="H50" s="433" t="inlineStr">
        <is>
          <t>ORIG_EXG_RATE</t>
        </is>
      </c>
      <c r="I50" s="433" t="inlineStr">
        <is>
          <t>NUMBER</t>
        </is>
      </c>
      <c r="J50" s="433" t="n">
        <v>25.7</v>
      </c>
      <c r="K50" s="433" t="inlineStr">
        <is>
          <t>Tỷ giá quy đổi cho loại tiền ban đầu</t>
        </is>
      </c>
      <c r="M50" s="334">
        <f>"COMMENT ON COLUMN PG_SILVER."&amp;G50&amp;"."&amp;H50&amp;" IS '"&amp;K50&amp;"';"</f>
        <v/>
      </c>
    </row>
    <row r="51" ht="14.25" customHeight="1" s="335">
      <c r="A51" s="433" t="inlineStr">
        <is>
          <t>PG_BRONZE</t>
        </is>
      </c>
      <c r="B51" s="415" t="inlineStr">
        <is>
          <t>T24CORE_STMT_ENTRY</t>
        </is>
      </c>
      <c r="C51" s="433" t="inlineStr">
        <is>
          <t>OUTSTANDING_BAL</t>
        </is>
      </c>
      <c r="D51" s="433" t="inlineStr">
        <is>
          <t>1:1</t>
        </is>
      </c>
      <c r="E51" s="433" t="inlineStr">
        <is>
          <t>Posting Entry</t>
        </is>
      </c>
      <c r="F51" s="433" t="inlineStr">
        <is>
          <t>Outstanding Balance</t>
        </is>
      </c>
      <c r="G51" s="558" t="inlineStr">
        <is>
          <t>PST_ENTR</t>
        </is>
      </c>
      <c r="H51" s="433" t="inlineStr">
        <is>
          <t>OTSND_BAL</t>
        </is>
      </c>
      <c r="I51" s="433" t="inlineStr">
        <is>
          <t>NUMBER</t>
        </is>
      </c>
      <c r="J51" s="433" t="n">
        <v>25.5</v>
      </c>
      <c r="K51" s="433" t="inlineStr">
        <is>
          <t>Dư nợ tín dụng của hợp đồng ( OUR_REFERENCE)</t>
        </is>
      </c>
      <c r="M51" s="334">
        <f>"COMMENT ON COLUMN PG_SILVER."&amp;G51&amp;"."&amp;H51&amp;" IS '"&amp;K51&amp;"';"</f>
        <v/>
      </c>
    </row>
    <row r="52" ht="14.25" customHeight="1" s="335">
      <c r="A52" s="433" t="inlineStr">
        <is>
          <t>PG_BRONZE</t>
        </is>
      </c>
      <c r="B52" s="415" t="inlineStr">
        <is>
          <t>T24CORE_STMT_ENTRY</t>
        </is>
      </c>
      <c r="C52" s="433" t="inlineStr">
        <is>
          <t>OVERRIDE</t>
        </is>
      </c>
      <c r="D52" s="433" t="inlineStr">
        <is>
          <t>1:1</t>
        </is>
      </c>
      <c r="E52" s="433" t="inlineStr">
        <is>
          <t>Posting Entry</t>
        </is>
      </c>
      <c r="F52" s="433" t="inlineStr">
        <is>
          <t>Override</t>
        </is>
      </c>
      <c r="G52" s="558" t="inlineStr">
        <is>
          <t>PST_ENTR</t>
        </is>
      </c>
      <c r="H52" s="433" t="inlineStr">
        <is>
          <t>OVRD</t>
        </is>
      </c>
      <c r="I52" s="442" t="inlineStr">
        <is>
          <t>VARCHAR2</t>
        </is>
      </c>
      <c r="J52" s="442" t="n">
        <v>20</v>
      </c>
      <c r="K52" s="433" t="inlineStr">
        <is>
          <t>Ghi đè</t>
        </is>
      </c>
      <c r="M52" s="334">
        <f>"COMMENT ON COLUMN PG_SILVER."&amp;G52&amp;"."&amp;H52&amp;" IS '"&amp;K52&amp;"';"</f>
        <v/>
      </c>
    </row>
    <row r="53" ht="14.25" customHeight="1" s="335">
      <c r="A53" s="433" t="inlineStr">
        <is>
          <t>PG_BRONZE</t>
        </is>
      </c>
      <c r="B53" s="415" t="inlineStr">
        <is>
          <t>T24CORE_STMT_ENTRY</t>
        </is>
      </c>
      <c r="C53" s="433" t="inlineStr">
        <is>
          <t>PROCESS_FORWARD</t>
        </is>
      </c>
      <c r="D53" s="433" t="inlineStr">
        <is>
          <t>1:1</t>
        </is>
      </c>
      <c r="E53" s="433" t="inlineStr">
        <is>
          <t>Posting Entry</t>
        </is>
      </c>
      <c r="F53" s="433" t="inlineStr">
        <is>
          <t>Process Forward</t>
        </is>
      </c>
      <c r="G53" s="558" t="inlineStr">
        <is>
          <t>PST_ENTR</t>
        </is>
      </c>
      <c r="H53" s="433" t="inlineStr">
        <is>
          <t>PCS_FWD</t>
        </is>
      </c>
      <c r="I53" s="442" t="inlineStr">
        <is>
          <t>VARCHAR2</t>
        </is>
      </c>
      <c r="J53" s="442" t="n">
        <v>20</v>
      </c>
      <c r="K53" s="433" t="inlineStr">
        <is>
          <t>Tiến trình</t>
        </is>
      </c>
      <c r="M53" s="334">
        <f>"COMMENT ON COLUMN PG_SILVER."&amp;G53&amp;"."&amp;H53&amp;" IS '"&amp;K53&amp;"';"</f>
        <v/>
      </c>
    </row>
    <row r="54" ht="14.25" customHeight="1" s="335">
      <c r="A54" s="433" t="inlineStr">
        <is>
          <t>PG_BRONZE</t>
        </is>
      </c>
      <c r="B54" s="415" t="inlineStr">
        <is>
          <t>T24CORE_STMT_ENTRY</t>
        </is>
      </c>
      <c r="C54" s="433" t="inlineStr">
        <is>
          <t>RECORD_STATUS</t>
        </is>
      </c>
      <c r="D54" s="433" t="inlineStr">
        <is>
          <t>1:1</t>
        </is>
      </c>
      <c r="E54" s="433" t="inlineStr">
        <is>
          <t>Posting Entry</t>
        </is>
      </c>
      <c r="F54" s="433" t="inlineStr">
        <is>
          <t>Record Status</t>
        </is>
      </c>
      <c r="G54" s="558" t="inlineStr">
        <is>
          <t>PST_ENTR</t>
        </is>
      </c>
      <c r="H54" s="433" t="inlineStr">
        <is>
          <t>RCRD_ST</t>
        </is>
      </c>
      <c r="I54" s="442" t="inlineStr">
        <is>
          <t>VARCHAR2</t>
        </is>
      </c>
      <c r="J54" s="442" t="n">
        <v>20</v>
      </c>
      <c r="K54" s="433" t="inlineStr">
        <is>
          <t>Trạng Thái bản ghi</t>
        </is>
      </c>
      <c r="M54" s="334">
        <f>"COMMENT ON COLUMN PG_SILVER."&amp;G54&amp;"."&amp;H54&amp;" IS '"&amp;K54&amp;"';"</f>
        <v/>
      </c>
    </row>
    <row r="55" ht="14.25" customHeight="1" s="335">
      <c r="A55" s="433" t="inlineStr">
        <is>
          <t>PG_BRONZE</t>
        </is>
      </c>
      <c r="B55" s="415" t="inlineStr">
        <is>
          <t>T24CORE_STMT_ENTRY</t>
        </is>
      </c>
      <c r="C55" s="433" t="inlineStr">
        <is>
          <t>REPAYMENT_AMT</t>
        </is>
      </c>
      <c r="D55" s="433" t="inlineStr">
        <is>
          <t>1:1</t>
        </is>
      </c>
      <c r="E55" s="433" t="inlineStr">
        <is>
          <t>Posting Entry</t>
        </is>
      </c>
      <c r="F55" s="433" t="inlineStr">
        <is>
          <t>Repayment Amount</t>
        </is>
      </c>
      <c r="G55" s="558" t="inlineStr">
        <is>
          <t>PST_ENTR</t>
        </is>
      </c>
      <c r="H55" s="433" t="inlineStr">
        <is>
          <t>REPYMT_AMT</t>
        </is>
      </c>
      <c r="I55" s="433" t="inlineStr">
        <is>
          <t>NUMBER</t>
        </is>
      </c>
      <c r="J55" s="433" t="n">
        <v>25.5</v>
      </c>
      <c r="K55" s="433" t="inlineStr">
        <is>
          <t>Số tiền thu nợ</t>
        </is>
      </c>
      <c r="M55" s="334">
        <f>"COMMENT ON COLUMN PG_SILVER."&amp;G55&amp;"."&amp;H55&amp;" IS '"&amp;K55&amp;"';"</f>
        <v/>
      </c>
    </row>
    <row r="56" ht="14.25" customHeight="1" s="335">
      <c r="A56" s="433" t="inlineStr">
        <is>
          <t>PG_BRONZE</t>
        </is>
      </c>
      <c r="B56" s="415" t="inlineStr">
        <is>
          <t>T24CORE_STMT_ENTRY</t>
        </is>
      </c>
      <c r="C56" s="433" t="inlineStr">
        <is>
          <t>REPAYMENT_DATE</t>
        </is>
      </c>
      <c r="D56" s="433" t="inlineStr">
        <is>
          <t>1:1</t>
        </is>
      </c>
      <c r="E56" s="433" t="inlineStr">
        <is>
          <t>Posting Entry</t>
        </is>
      </c>
      <c r="F56" s="433" t="inlineStr">
        <is>
          <t>Repayment Date</t>
        </is>
      </c>
      <c r="G56" s="558" t="inlineStr">
        <is>
          <t>PST_ENTR</t>
        </is>
      </c>
      <c r="H56" s="433" t="inlineStr">
        <is>
          <t>REPYMT_DT</t>
        </is>
      </c>
      <c r="I56" s="433" t="inlineStr">
        <is>
          <t>DATE</t>
        </is>
      </c>
      <c r="J56" s="433" t="n"/>
      <c r="K56" s="433" t="inlineStr">
        <is>
          <t>Ngày thu</t>
        </is>
      </c>
      <c r="M56" s="334">
        <f>"COMMENT ON COLUMN PG_SILVER."&amp;G56&amp;"."&amp;H56&amp;" IS '"&amp;K56&amp;"';"</f>
        <v/>
      </c>
    </row>
    <row r="57" ht="14.25" customHeight="1" s="335">
      <c r="A57" s="433" t="inlineStr">
        <is>
          <t>PG_BRONZE</t>
        </is>
      </c>
      <c r="B57" s="415" t="inlineStr">
        <is>
          <t>T24CORE_STMT_ENTRY</t>
        </is>
      </c>
      <c r="C57" s="433" t="inlineStr">
        <is>
          <t>REPAYMENT_TYPE</t>
        </is>
      </c>
      <c r="D57" s="433" t="inlineStr">
        <is>
          <t>1:1</t>
        </is>
      </c>
      <c r="E57" s="433" t="inlineStr">
        <is>
          <t>Posting Entry</t>
        </is>
      </c>
      <c r="F57" s="433" t="inlineStr">
        <is>
          <t>Repayment Type</t>
        </is>
      </c>
      <c r="G57" s="558" t="inlineStr">
        <is>
          <t>PST_ENTR</t>
        </is>
      </c>
      <c r="H57" s="433" t="inlineStr">
        <is>
          <t>REPYMT_TP</t>
        </is>
      </c>
      <c r="I57" s="442" t="inlineStr">
        <is>
          <t>VARCHAR2</t>
        </is>
      </c>
      <c r="J57" s="442" t="n">
        <v>20</v>
      </c>
      <c r="K57" s="433" t="inlineStr">
        <is>
          <t>Loại thu nợ</t>
        </is>
      </c>
      <c r="M57" s="334">
        <f>"COMMENT ON COLUMN PG_SILVER."&amp;G57&amp;"."&amp;H57&amp;" IS '"&amp;K57&amp;"';"</f>
        <v/>
      </c>
    </row>
    <row r="58" ht="14.25" customHeight="1" s="335">
      <c r="A58" s="433" t="inlineStr">
        <is>
          <t>PG_BRONZE</t>
        </is>
      </c>
      <c r="B58" s="415" t="inlineStr">
        <is>
          <t>T24CORE_STMT_ENTRY</t>
        </is>
      </c>
      <c r="C58" s="433" t="inlineStr">
        <is>
          <t>SUSPENSE_CATEGORY</t>
        </is>
      </c>
      <c r="D58" s="433" t="inlineStr">
        <is>
          <t>1:1</t>
        </is>
      </c>
      <c r="E58" s="433" t="inlineStr">
        <is>
          <t>Posting Entry</t>
        </is>
      </c>
      <c r="F58" s="433" t="inlineStr">
        <is>
          <t>Suspense Category</t>
        </is>
      </c>
      <c r="G58" s="558" t="inlineStr">
        <is>
          <t>PST_ENTR</t>
        </is>
      </c>
      <c r="H58" s="433" t="inlineStr">
        <is>
          <t>SUSP_CGY</t>
        </is>
      </c>
      <c r="I58" s="442" t="inlineStr">
        <is>
          <t>VARCHAR2</t>
        </is>
      </c>
      <c r="J58" s="442" t="n">
        <v>20</v>
      </c>
      <c r="K58" s="433" t="inlineStr">
        <is>
          <t>Mã Category phân loại bút toán bị treo</t>
        </is>
      </c>
      <c r="M58" s="334">
        <f>"COMMENT ON COLUMN PG_SILVER."&amp;G58&amp;"."&amp;H58&amp;" IS '"&amp;K58&amp;"';"</f>
        <v/>
      </c>
    </row>
    <row r="59" ht="14.25" customHeight="1" s="335">
      <c r="A59" s="433" t="inlineStr">
        <is>
          <t>PG_BRONZE</t>
        </is>
      </c>
      <c r="B59" s="415" t="inlineStr">
        <is>
          <t>T24CORE_STMT_ENTRY</t>
        </is>
      </c>
      <c r="C59" s="433" t="inlineStr">
        <is>
          <t>SUSPNSE_VALUE_DATE</t>
        </is>
      </c>
      <c r="D59" s="433" t="inlineStr">
        <is>
          <t>1:1</t>
        </is>
      </c>
      <c r="E59" s="433" t="inlineStr">
        <is>
          <t>Posting Entry</t>
        </is>
      </c>
      <c r="F59" s="433" t="inlineStr">
        <is>
          <t>Suspense Value Date</t>
        </is>
      </c>
      <c r="G59" s="558" t="inlineStr">
        <is>
          <t>PST_ENTR</t>
        </is>
      </c>
      <c r="H59" s="433" t="inlineStr">
        <is>
          <t>SUSP_VAL_DT</t>
        </is>
      </c>
      <c r="I59" s="433" t="inlineStr">
        <is>
          <t>DATE</t>
        </is>
      </c>
      <c r="J59" s="433" t="n"/>
      <c r="K59" s="433" t="inlineStr">
        <is>
          <t>Ngày bút toán treo</t>
        </is>
      </c>
      <c r="M59" s="334">
        <f>"COMMENT ON COLUMN PG_SILVER."&amp;G59&amp;"."&amp;H59&amp;" IS '"&amp;K59&amp;"';"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34" min="1" max="1"/>
    <col width="34" customWidth="1" style="334" min="2" max="2"/>
    <col width="26" customWidth="1" style="334" min="3" max="3"/>
    <col width="44" customWidth="1" style="334" min="4" max="4"/>
    <col width="24" customWidth="1" style="334" min="5" max="5"/>
    <col width="26" customWidth="1" style="334" min="6" max="6"/>
    <col width="22" customWidth="1" style="334" min="7" max="7"/>
    <col width="26" customWidth="1" style="334" min="8" max="8"/>
    <col width="16" customWidth="1" style="334" min="9" max="9"/>
    <col width="12" customWidth="1" style="334" min="10" max="10"/>
    <col width="42" customWidth="1" style="334" min="11" max="11"/>
    <col width="18" customWidth="1" style="334" min="12" max="12"/>
    <col width="54" customWidth="1" style="334" min="13" max="14"/>
  </cols>
  <sheetData>
    <row r="1" ht="15" customHeight="1" s="335">
      <c r="A1" s="479" t="inlineStr">
        <is>
          <t>TYPE : SNAPSHOT (Silver Temp 2 - Business Credit Statement)</t>
        </is>
      </c>
    </row>
    <row r="2" ht="15" customHeight="1" s="335">
      <c r="A2" s="480" t="inlineStr">
        <is>
          <t>No</t>
        </is>
      </c>
      <c r="B2" s="480" t="inlineStr">
        <is>
          <t>System</t>
        </is>
      </c>
      <c r="C2" s="480" t="inlineStr">
        <is>
          <t>TABLE</t>
        </is>
      </c>
      <c r="D2" s="480" t="inlineStr">
        <is>
          <t>Short table</t>
        </is>
      </c>
      <c r="E2" s="480" t="inlineStr">
        <is>
          <t>Main Table</t>
        </is>
      </c>
      <c r="F2" s="480" t="inlineStr">
        <is>
          <t>Type join</t>
        </is>
      </c>
      <c r="G2" s="480" t="inlineStr">
        <is>
          <t>Condition JOIN</t>
        </is>
      </c>
      <c r="H2" s="480" t="inlineStr">
        <is>
          <t>Condition where</t>
        </is>
      </c>
    </row>
    <row r="3" ht="15" customHeight="1" s="335">
      <c r="A3" s="481" t="n">
        <v>1</v>
      </c>
      <c r="B3" s="370" t="inlineStr">
        <is>
          <t>PG_BRONZE</t>
        </is>
      </c>
      <c r="C3" s="370" t="inlineStr">
        <is>
          <t>T24CORE_LD_LOANS_AND_DEPOSITS</t>
        </is>
      </c>
      <c r="D3" s="368" t="inlineStr">
        <is>
          <t>ld</t>
        </is>
      </c>
      <c r="E3" s="481" t="inlineStr">
        <is>
          <t>main</t>
        </is>
      </c>
      <c r="F3" s="481" t="n"/>
      <c r="G3" s="372" t="n"/>
      <c r="H3" s="372" t="inlineStr">
        <is>
          <t>WHERE NVL(ld.RECORD_STATUS, '_') &lt;&gt; 'REVE' AND ld.ETL_DATE = ${ETL_DATE}</t>
        </is>
      </c>
    </row>
    <row r="4" ht="15" customHeight="1" s="335">
      <c r="A4" s="481" t="n">
        <v>2</v>
      </c>
      <c r="B4" s="370" t="inlineStr">
        <is>
          <t>PG_BRONZE</t>
        </is>
      </c>
      <c r="C4" s="370" t="inlineStr">
        <is>
          <t>T24CORE_CUSTOMER</t>
        </is>
      </c>
      <c r="D4" s="368" t="inlineStr">
        <is>
          <t>cus</t>
        </is>
      </c>
      <c r="E4" s="481" t="inlineStr">
        <is>
          <t>sub</t>
        </is>
      </c>
      <c r="F4" s="481" t="inlineStr">
        <is>
          <t>LEFT JOIN</t>
        </is>
      </c>
      <c r="G4" s="372" t="inlineStr">
        <is>
          <t>ld.CUSTOMER_ID = cus.RECID</t>
        </is>
      </c>
      <c r="H4" s="372" t="inlineStr">
        <is>
          <t>cus.ETL_DATE = ${ETL_DATE}</t>
        </is>
      </c>
    </row>
    <row r="5" ht="15" customHeight="1" s="335">
      <c r="A5" s="481" t="n">
        <v>3</v>
      </c>
      <c r="B5" s="370" t="inlineStr">
        <is>
          <t>PG_BRONZE</t>
        </is>
      </c>
      <c r="C5" s="370" t="inlineStr">
        <is>
          <t>T24CORE_DEPT_ACCT_OFFICER</t>
        </is>
      </c>
      <c r="D5" s="368" t="inlineStr">
        <is>
          <t>dao</t>
        </is>
      </c>
      <c r="E5" s="481" t="inlineStr">
        <is>
          <t>sub</t>
        </is>
      </c>
      <c r="F5" s="481" t="inlineStr">
        <is>
          <t>LEFT JOIN</t>
        </is>
      </c>
      <c r="G5" s="372" t="inlineStr">
        <is>
          <t>ld.MB_RM_BANCHEO = dao.RECID</t>
        </is>
      </c>
      <c r="H5" s="372" t="inlineStr">
        <is>
          <t>dao.ETL_DATE = ${ETL_DATE}</t>
        </is>
      </c>
    </row>
    <row r="7" ht="15" customHeight="1" s="335">
      <c r="A7" s="480" t="inlineStr">
        <is>
          <t>Nguồn</t>
        </is>
      </c>
      <c r="B7" s="480" t="inlineStr">
        <is>
          <t>Bảng nguồn</t>
        </is>
      </c>
      <c r="C7" s="480" t="inlineStr">
        <is>
          <t>Cột nguồn</t>
        </is>
      </c>
      <c r="D7" s="480" t="inlineStr">
        <is>
          <t>Transform</t>
        </is>
      </c>
      <c r="E7" s="480" t="inlineStr">
        <is>
          <t>Entity</t>
        </is>
      </c>
      <c r="F7" s="480" t="inlineStr">
        <is>
          <t>Attribute</t>
        </is>
      </c>
      <c r="G7" s="480" t="inlineStr">
        <is>
          <t>Bảng đích</t>
        </is>
      </c>
      <c r="H7" s="480" t="inlineStr">
        <is>
          <t>Cột đích</t>
        </is>
      </c>
      <c r="I7" s="480" t="inlineStr">
        <is>
          <t>Kiểu dữ liệu</t>
        </is>
      </c>
      <c r="J7" s="480" t="inlineStr">
        <is>
          <t>Độ dài</t>
        </is>
      </c>
      <c r="K7" s="480" t="inlineStr">
        <is>
          <t>Diễn giải</t>
        </is>
      </c>
      <c r="L7" s="480" t="inlineStr">
        <is>
          <t>Glossary</t>
        </is>
      </c>
      <c r="M7" s="480" t="inlineStr">
        <is>
          <t>DDL Comment</t>
        </is>
      </c>
      <c r="N7" s="480" t="inlineStr">
        <is>
          <t>Ghi chú kỹ thuật &amp; Business Rule</t>
        </is>
      </c>
    </row>
    <row r="8" ht="15" customHeight="1" s="335">
      <c r="A8" s="416" t="inlineStr">
        <is>
          <t>PG_BRONZE</t>
        </is>
      </c>
      <c r="B8" s="416" t="inlineStr">
        <is>
          <t>T24CORE_CUSTOMER</t>
        </is>
      </c>
      <c r="C8" s="416" t="inlineStr">
        <is>
          <t>INTERNET_BANKING_SERVICE</t>
        </is>
      </c>
      <c r="D8" s="416" t="inlineStr">
        <is>
          <t>TRIM(cus.INTERNET_BANKING_SERVICE)</t>
        </is>
      </c>
      <c r="E8" s="416" t="inlineStr">
        <is>
          <t>Sao Ke Tin Dung</t>
        </is>
      </c>
      <c r="F8" s="416" t="inlineStr">
        <is>
          <t>Internet Banking Service</t>
        </is>
      </c>
      <c r="G8" s="416" t="inlineStr">
        <is>
          <t>SAOKE_TINDUNG</t>
        </is>
      </c>
      <c r="H8" s="416" t="inlineStr">
        <is>
          <t>INTERNET_BANKING_SERVICE</t>
        </is>
      </c>
      <c r="I8" s="482" t="inlineStr">
        <is>
          <t>VARCHAR2</t>
        </is>
      </c>
      <c r="J8" s="482" t="n">
        <v>100</v>
      </c>
      <c r="K8" s="416" t="inlineStr">
        <is>
          <t>Dịch vụ Internet banking khách hàng giao tiếp</t>
        </is>
      </c>
      <c r="L8" s="416" t="n"/>
      <c r="M8" s="416">
        <f>"COMMENT ON COLUMN PG_SILVER."&amp;G8&amp;"."&amp;H8&amp;" IS '"&amp;K8&amp;"';"</f>
        <v/>
      </c>
      <c r="N8" s="416" t="inlineStr">
        <is>
          <t>LEFT JOIN PG_BRONZE.T24CORE_CUSTOMER cus ON ld.CUSTOMER_ID = cus.RECID</t>
        </is>
      </c>
    </row>
    <row r="9" ht="15" customHeight="1" s="335">
      <c r="A9" s="416" t="inlineStr">
        <is>
          <t>PG_BRONZE</t>
        </is>
      </c>
      <c r="B9" s="416" t="inlineStr">
        <is>
          <t>T24CORE_CUSTOMER</t>
        </is>
      </c>
      <c r="C9" s="416" t="inlineStr">
        <is>
          <t>KHOI</t>
        </is>
      </c>
      <c r="D9" s="416" t="inlineStr">
        <is>
          <t>TRIM(cus.KHOI)</t>
        </is>
      </c>
      <c r="E9" s="416" t="inlineStr">
        <is>
          <t>Sao Ke Tin Dung</t>
        </is>
      </c>
      <c r="F9" s="416" t="inlineStr">
        <is>
          <t>Khoi</t>
        </is>
      </c>
      <c r="G9" s="416" t="inlineStr">
        <is>
          <t>SAOKE_TINDUNG</t>
        </is>
      </c>
      <c r="H9" s="416" t="inlineStr">
        <is>
          <t>KHOI</t>
        </is>
      </c>
      <c r="I9" s="482" t="inlineStr">
        <is>
          <t>VARCHAR2</t>
        </is>
      </c>
      <c r="J9" s="482" t="n">
        <v>100</v>
      </c>
      <c r="K9" s="416" t="inlineStr">
        <is>
          <t>mã Khối quản lý khách hàng</t>
        </is>
      </c>
      <c r="L9" s="416" t="n"/>
      <c r="M9" s="416">
        <f>"COMMENT ON COLUMN PG_SILVER."&amp;G9&amp;"."&amp;H9&amp;" IS '"&amp;K9&amp;"';"</f>
        <v/>
      </c>
      <c r="N9" s="416" t="inlineStr">
        <is>
          <t>LEFT JOIN PG_BRONZE.T24CORE_CUSTOMER cus ON ld.CUSTOMER_ID = cus.RECID</t>
        </is>
      </c>
    </row>
    <row r="10" ht="15" customHeight="1" s="335">
      <c r="A10" s="416" t="inlineStr">
        <is>
          <t>PG_BRONZE</t>
        </is>
      </c>
      <c r="B10" s="416" t="inlineStr">
        <is>
          <t>T24CORE_CUSTOMER</t>
        </is>
      </c>
      <c r="C10" s="416" t="inlineStr">
        <is>
          <t>KYC_CHANNEL</t>
        </is>
      </c>
      <c r="D10" s="416" t="inlineStr">
        <is>
          <t>TRIM(cus.KYC_CHANNEL)</t>
        </is>
      </c>
      <c r="E10" s="416" t="inlineStr">
        <is>
          <t>Sao Ke Tin Dung</t>
        </is>
      </c>
      <c r="F10" s="416" t="inlineStr">
        <is>
          <t>Kyc Channel</t>
        </is>
      </c>
      <c r="G10" s="416" t="inlineStr">
        <is>
          <t>SAOKE_TINDUNG</t>
        </is>
      </c>
      <c r="H10" s="416" t="inlineStr">
        <is>
          <t>KYC_CHANNEL</t>
        </is>
      </c>
      <c r="I10" s="482" t="inlineStr">
        <is>
          <t>VARCHAR2</t>
        </is>
      </c>
      <c r="J10" s="482" t="n">
        <v>100</v>
      </c>
      <c r="K10" s="416" t="inlineStr">
        <is>
          <t>Kênh thực hiện KYC</t>
        </is>
      </c>
      <c r="L10" s="416" t="n"/>
      <c r="M10" s="416">
        <f>"COMMENT ON COLUMN PG_SILVER."&amp;G10&amp;"."&amp;H10&amp;" IS '"&amp;K10&amp;"';"</f>
        <v/>
      </c>
      <c r="N10" s="416" t="inlineStr">
        <is>
          <t>LEFT JOIN PG_BRONZE.T24CORE_CUSTOMER cus ON ld.CUSTOMER_ID = cus.RECID</t>
        </is>
      </c>
    </row>
    <row r="11" ht="15" customHeight="1" s="335">
      <c r="A11" s="416" t="inlineStr">
        <is>
          <t>PG_BRONZE</t>
        </is>
      </c>
      <c r="B11" s="416" t="inlineStr">
        <is>
          <t>T24CORE_CUSTOMER</t>
        </is>
      </c>
      <c r="C11" s="416" t="inlineStr">
        <is>
          <t>MA_BHXH</t>
        </is>
      </c>
      <c r="D11" s="416" t="inlineStr">
        <is>
          <t>TRIM(cus.MA_BHXH)</t>
        </is>
      </c>
      <c r="E11" s="416" t="inlineStr">
        <is>
          <t>Sao Ke Tin Dung</t>
        </is>
      </c>
      <c r="F11" s="416" t="inlineStr">
        <is>
          <t>Ma Bhxh</t>
        </is>
      </c>
      <c r="G11" s="416" t="inlineStr">
        <is>
          <t>SAOKE_TINDUNG</t>
        </is>
      </c>
      <c r="H11" s="416" t="inlineStr">
        <is>
          <t>MA_BHXH</t>
        </is>
      </c>
      <c r="I11" s="482" t="inlineStr">
        <is>
          <t>VARCHAR2</t>
        </is>
      </c>
      <c r="J11" s="482" t="n">
        <v>100</v>
      </c>
      <c r="K11" s="416" t="inlineStr">
        <is>
          <t>Mã bảo hiểm xã hội</t>
        </is>
      </c>
      <c r="L11" s="416" t="n"/>
      <c r="M11" s="416">
        <f>"COMMENT ON COLUMN PG_SILVER."&amp;G11&amp;"."&amp;H11&amp;" IS '"&amp;K11&amp;"';"</f>
        <v/>
      </c>
      <c r="N11" s="416" t="inlineStr">
        <is>
          <t>LEFT JOIN PG_BRONZE.T24CORE_CUSTOMER cus ON ld.CUSTOMER_ID = cus.RECID</t>
        </is>
      </c>
    </row>
    <row r="12" ht="15" customHeight="1" s="335">
      <c r="A12" s="416" t="inlineStr">
        <is>
          <t>PG_BRONZE</t>
        </is>
      </c>
      <c r="B12" s="416" t="inlineStr">
        <is>
          <t>T24CORE_CUSTOMER</t>
        </is>
      </c>
      <c r="C12" s="416" t="inlineStr">
        <is>
          <t>MAU_HD</t>
        </is>
      </c>
      <c r="D12" s="416" t="inlineStr">
        <is>
          <t>TRIM(cus.MAU_HD)</t>
        </is>
      </c>
      <c r="E12" s="416" t="inlineStr">
        <is>
          <t>Sao Ke Tin Dung</t>
        </is>
      </c>
      <c r="F12" s="416" t="inlineStr">
        <is>
          <t>Mau Hd</t>
        </is>
      </c>
      <c r="G12" s="416" t="inlineStr">
        <is>
          <t>SAOKE_TINDUNG</t>
        </is>
      </c>
      <c r="H12" s="416" t="inlineStr">
        <is>
          <t>MAU_HD</t>
        </is>
      </c>
      <c r="I12" s="482" t="inlineStr">
        <is>
          <t>VARCHAR2</t>
        </is>
      </c>
      <c r="J12" s="482" t="n">
        <v>100</v>
      </c>
      <c r="K12" s="416" t="inlineStr">
        <is>
          <t>Mã biểu mẫu hợp đồng chuẩn áp dụng cho khách hàng</t>
        </is>
      </c>
      <c r="L12" s="416" t="n"/>
      <c r="M12" s="416">
        <f>"COMMENT ON COLUMN PG_SILVER."&amp;G12&amp;"."&amp;H12&amp;" IS '"&amp;K12&amp;"';"</f>
        <v/>
      </c>
      <c r="N12" s="416" t="inlineStr">
        <is>
          <t>LEFT JOIN PG_BRONZE.T24CORE_CUSTOMER cus ON ld.CUSTOMER_ID = cus.RECID</t>
        </is>
      </c>
    </row>
    <row r="13" ht="15" customHeight="1" s="335">
      <c r="A13" s="416" t="inlineStr">
        <is>
          <t>PG_BRONZE</t>
        </is>
      </c>
      <c r="B13" s="416" t="inlineStr">
        <is>
          <t>T24CORE_CUSTOMER</t>
        </is>
      </c>
      <c r="C13" s="416" t="inlineStr">
        <is>
          <t>MB_CR_STT</t>
        </is>
      </c>
      <c r="D13" s="416" t="inlineStr">
        <is>
          <t>TRIM(cus.MB_CR_STT)</t>
        </is>
      </c>
      <c r="E13" s="416" t="inlineStr">
        <is>
          <t>Sao Ke Tin Dung</t>
        </is>
      </c>
      <c r="F13" s="416" t="inlineStr">
        <is>
          <t>Mb Cr Stt</t>
        </is>
      </c>
      <c r="G13" s="416" t="inlineStr">
        <is>
          <t>SAOKE_TINDUNG</t>
        </is>
      </c>
      <c r="H13" s="416" t="inlineStr">
        <is>
          <t>MB_CR_STT</t>
        </is>
      </c>
      <c r="I13" s="482" t="inlineStr">
        <is>
          <t>VARCHAR2</t>
        </is>
      </c>
      <c r="J13" s="482" t="n">
        <v>100</v>
      </c>
      <c r="K13" s="416" t="inlineStr">
        <is>
          <t>Trạng thái quan hệ tín dụng của khách hàng tại ngân hàng</t>
        </is>
      </c>
      <c r="L13" s="416" t="n"/>
      <c r="M13" s="416">
        <f>"COMMENT ON COLUMN PG_SILVER."&amp;G13&amp;"."&amp;H13&amp;" IS '"&amp;K13&amp;"';"</f>
        <v/>
      </c>
      <c r="N13" s="416" t="inlineStr">
        <is>
          <t>LEFT JOIN PG_BRONZE.T24CORE_CUSTOMER cus ON ld.CUSTOMER_ID = cus.RECID</t>
        </is>
      </c>
    </row>
    <row r="14" ht="15" customHeight="1" s="335">
      <c r="A14" s="416" t="inlineStr">
        <is>
          <t>PG_BRONZE</t>
        </is>
      </c>
      <c r="B14" s="416" t="inlineStr">
        <is>
          <t>T24CORE_CUSTOMER</t>
        </is>
      </c>
      <c r="C14" s="416" t="inlineStr">
        <is>
          <t>MB_INDUSTRY</t>
        </is>
      </c>
      <c r="D14" s="416" t="inlineStr">
        <is>
          <t>TRIM(cus.MB_INDUSTRY)</t>
        </is>
      </c>
      <c r="E14" s="416" t="inlineStr">
        <is>
          <t>Sao Ke Tin Dung</t>
        </is>
      </c>
      <c r="F14" s="416" t="inlineStr">
        <is>
          <t>Mb Industry</t>
        </is>
      </c>
      <c r="G14" s="416" t="inlineStr">
        <is>
          <t>SAOKE_TINDUNG</t>
        </is>
      </c>
      <c r="H14" s="416" t="inlineStr">
        <is>
          <t>MB_INDUSTRY</t>
        </is>
      </c>
      <c r="I14" s="482" t="inlineStr">
        <is>
          <t>VARCHAR2</t>
        </is>
      </c>
      <c r="J14" s="482" t="n">
        <v>100</v>
      </c>
      <c r="K14" s="416" t="inlineStr">
        <is>
          <t>Ngành nghề kinh tế</t>
        </is>
      </c>
      <c r="L14" s="416" t="n"/>
      <c r="M14" s="416">
        <f>"COMMENT ON COLUMN PG_SILVER."&amp;G14&amp;"."&amp;H14&amp;" IS '"&amp;K14&amp;"';"</f>
        <v/>
      </c>
      <c r="N14" s="416" t="inlineStr">
        <is>
          <t>LEFT JOIN PG_BRONZE.T24CORE_CUSTOMER cus ON ld.CUSTOMER_ID = cus.RECID</t>
        </is>
      </c>
    </row>
    <row r="15" ht="15" customHeight="1" s="335">
      <c r="A15" s="416" t="inlineStr">
        <is>
          <t>PG_BRONZE</t>
        </is>
      </c>
      <c r="B15" s="416" t="inlineStr">
        <is>
          <t>T24CORE_CUSTOMER</t>
        </is>
      </c>
      <c r="C15" s="416" t="inlineStr">
        <is>
          <t>MB_RM_BANCHEO</t>
        </is>
      </c>
      <c r="D15" s="416" t="inlineStr">
        <is>
          <t>TRIM(cus.MB_RM_BANCHEO)</t>
        </is>
      </c>
      <c r="E15" s="416" t="inlineStr">
        <is>
          <t>Sao Ke Tin Dung</t>
        </is>
      </c>
      <c r="F15" s="416" t="inlineStr">
        <is>
          <t>Mb Rm Bancheo</t>
        </is>
      </c>
      <c r="G15" s="416" t="inlineStr">
        <is>
          <t>SAOKE_TINDUNG</t>
        </is>
      </c>
      <c r="H15" s="416" t="inlineStr">
        <is>
          <t>MB_RM_BANCHEO</t>
        </is>
      </c>
      <c r="I15" s="482" t="inlineStr">
        <is>
          <t>VARCHAR2</t>
        </is>
      </c>
      <c r="J15" s="482" t="n">
        <v>100</v>
      </c>
      <c r="K15" s="416" t="inlineStr">
        <is>
          <t>Mã nhân sự bán chéo sản phẩm</t>
        </is>
      </c>
      <c r="L15" s="416" t="n"/>
      <c r="M15" s="416">
        <f>"COMMENT ON COLUMN PG_SILVER."&amp;G15&amp;"."&amp;H15&amp;" IS '"&amp;K15&amp;"';"</f>
        <v/>
      </c>
      <c r="N15" s="416" t="inlineStr">
        <is>
          <t>LEFT JOIN PG_BRONZE.T24CORE_CUSTOMER cus ON ld.CUSTOMER_ID = cus.RECID</t>
        </is>
      </c>
    </row>
    <row r="16" ht="15" customHeight="1" s="335">
      <c r="A16" s="416" t="inlineStr">
        <is>
          <t>PG_BRONZE</t>
        </is>
      </c>
      <c r="B16" s="416" t="inlineStr">
        <is>
          <t>T24CORE_CUSTOMER</t>
        </is>
      </c>
      <c r="C16" s="416" t="inlineStr">
        <is>
          <t>MOBILE_BANKING_SERVICE</t>
        </is>
      </c>
      <c r="D16" s="416" t="inlineStr">
        <is>
          <t>TRIM(cus.MOBILE_BANKING_SERVICE)</t>
        </is>
      </c>
      <c r="E16" s="416" t="inlineStr">
        <is>
          <t>Sao Ke Tin Dung</t>
        </is>
      </c>
      <c r="F16" s="416" t="inlineStr">
        <is>
          <t>Mobile Banking Service</t>
        </is>
      </c>
      <c r="G16" s="416" t="inlineStr">
        <is>
          <t>SAOKE_TINDUNG</t>
        </is>
      </c>
      <c r="H16" s="416" t="inlineStr">
        <is>
          <t>MOBILE_BANKING_SERVICE</t>
        </is>
      </c>
      <c r="I16" s="482" t="inlineStr">
        <is>
          <t>VARCHAR2</t>
        </is>
      </c>
      <c r="J16" s="482" t="n">
        <v>100</v>
      </c>
      <c r="K16" s="416" t="inlineStr">
        <is>
          <t>Dịch vụ sử dụng sản phẩm mobile banking</t>
        </is>
      </c>
      <c r="L16" s="416" t="n"/>
      <c r="M16" s="416">
        <f>"COMMENT ON COLUMN PG_SILVER."&amp;G16&amp;"."&amp;H16&amp;" IS '"&amp;K16&amp;"';"</f>
        <v/>
      </c>
      <c r="N16" s="416" t="inlineStr">
        <is>
          <t>LEFT JOIN PG_BRONZE.T24CORE_CUSTOMER cus ON ld.CUSTOMER_ID = cus.RECID</t>
        </is>
      </c>
    </row>
    <row r="17" ht="15" customHeight="1" s="335">
      <c r="A17" s="416" t="inlineStr">
        <is>
          <t>PG_BRONZE</t>
        </is>
      </c>
      <c r="B17" s="416" t="inlineStr">
        <is>
          <t>T24CORE_CUSTOMER</t>
        </is>
      </c>
      <c r="C17" s="416" t="inlineStr">
        <is>
          <t>MOBILE_NUMBER</t>
        </is>
      </c>
      <c r="D17" s="416" t="inlineStr">
        <is>
          <t>TRIM(cus.MOBILE_NUMBER)</t>
        </is>
      </c>
      <c r="E17" s="416" t="inlineStr">
        <is>
          <t>Sao Ke Tin Dung</t>
        </is>
      </c>
      <c r="F17" s="416" t="inlineStr">
        <is>
          <t>Mobile Number</t>
        </is>
      </c>
      <c r="G17" s="416" t="inlineStr">
        <is>
          <t>SAOKE_TINDUNG</t>
        </is>
      </c>
      <c r="H17" s="416" t="inlineStr">
        <is>
          <t>MOBILE_NUMBER</t>
        </is>
      </c>
      <c r="I17" s="482" t="inlineStr">
        <is>
          <t>VARCHAR2</t>
        </is>
      </c>
      <c r="J17" s="482" t="n">
        <v>100</v>
      </c>
      <c r="K17" s="416" t="inlineStr">
        <is>
          <t>Số điện thoại di động</t>
        </is>
      </c>
      <c r="L17" s="416" t="n"/>
      <c r="M17" s="416">
        <f>"COMMENT ON COLUMN PG_SILVER."&amp;G17&amp;"."&amp;H17&amp;" IS '"&amp;K17&amp;"';"</f>
        <v/>
      </c>
      <c r="N17" s="416" t="inlineStr">
        <is>
          <t>LEFT JOIN PG_BRONZE.T24CORE_CUSTOMER cus ON ld.CUSTOMER_ID = cus.RECID</t>
        </is>
      </c>
    </row>
    <row r="18" ht="15" customHeight="1" s="335">
      <c r="A18" s="416" t="inlineStr">
        <is>
          <t>PG_BRONZE</t>
        </is>
      </c>
      <c r="B18" s="416" t="inlineStr">
        <is>
          <t>T24CORE_CUSTOMER</t>
        </is>
      </c>
      <c r="C18" s="416" t="inlineStr">
        <is>
          <t>NAT_ID_EXP_DATE</t>
        </is>
      </c>
      <c r="D18" s="416" t="inlineStr">
        <is>
          <t>TO_DATE(CAST(cus.NAT_ID_EXP_DATE AS VARCHAR(20)), 'YYYYMMDD')</t>
        </is>
      </c>
      <c r="E18" s="416" t="inlineStr">
        <is>
          <t>Sao Ke Tin Dung</t>
        </is>
      </c>
      <c r="F18" s="416" t="inlineStr">
        <is>
          <t>Nat Id Exp Date</t>
        </is>
      </c>
      <c r="G18" s="416" t="inlineStr">
        <is>
          <t>SAOKE_TINDUNG</t>
        </is>
      </c>
      <c r="H18" s="416" t="inlineStr">
        <is>
          <t>NAT_ID_EXP_DATE</t>
        </is>
      </c>
      <c r="I18" s="482" t="inlineStr">
        <is>
          <t>DATE</t>
        </is>
      </c>
      <c r="J18" s="482" t="n"/>
      <c r="K18" s="416" t="inlineStr">
        <is>
          <t>Ngày hêt hạn CC</t>
        </is>
      </c>
      <c r="L18" s="416" t="n"/>
      <c r="M18" s="416">
        <f>"COMMENT ON COLUMN PG_SILVER."&amp;G18&amp;"."&amp;H18&amp;" IS '"&amp;K18&amp;"';"</f>
        <v/>
      </c>
      <c r="N18" s="416" t="inlineStr">
        <is>
          <t>LEFT JOIN PG_BRONZE.T24CORE_CUSTOMER cus ON ld.CUSTOMER_ID = cus.RECID</t>
        </is>
      </c>
    </row>
    <row r="19" ht="15" customHeight="1" s="335">
      <c r="A19" s="416" t="inlineStr">
        <is>
          <t>PG_BRONZE</t>
        </is>
      </c>
      <c r="B19" s="416" t="inlineStr">
        <is>
          <t>T24CORE_CUSTOMER</t>
        </is>
      </c>
      <c r="C19" s="416" t="inlineStr">
        <is>
          <t>NAT_ID_ISS_DATE</t>
        </is>
      </c>
      <c r="D19" s="416" t="inlineStr">
        <is>
          <t>TO_DATE(CAST(cus.NAT_ID_ISS_DATE AS VARCHAR(20)), 'YYYYMMDD')</t>
        </is>
      </c>
      <c r="E19" s="416" t="inlineStr">
        <is>
          <t>Sao Ke Tin Dung</t>
        </is>
      </c>
      <c r="F19" s="416" t="inlineStr">
        <is>
          <t>Nat Id Iss Date</t>
        </is>
      </c>
      <c r="G19" s="416" t="inlineStr">
        <is>
          <t>SAOKE_TINDUNG</t>
        </is>
      </c>
      <c r="H19" s="416" t="inlineStr">
        <is>
          <t>NAT_ID_ISS_DATE</t>
        </is>
      </c>
      <c r="I19" s="482" t="inlineStr">
        <is>
          <t>DATE</t>
        </is>
      </c>
      <c r="J19" s="482" t="n"/>
      <c r="K19" s="416" t="inlineStr">
        <is>
          <t>Ngày cấp Căn cước</t>
        </is>
      </c>
      <c r="L19" s="416" t="n"/>
      <c r="M19" s="416">
        <f>"COMMENT ON COLUMN PG_SILVER."&amp;G19&amp;"."&amp;H19&amp;" IS '"&amp;K19&amp;"';"</f>
        <v/>
      </c>
      <c r="N19" s="416" t="inlineStr">
        <is>
          <t>LEFT JOIN PG_BRONZE.T24CORE_CUSTOMER cus ON ld.CUSTOMER_ID = cus.RECID</t>
        </is>
      </c>
    </row>
    <row r="20" ht="15" customHeight="1" s="335">
      <c r="A20" s="416" t="inlineStr">
        <is>
          <t>PG_BRONZE</t>
        </is>
      </c>
      <c r="B20" s="416" t="inlineStr">
        <is>
          <t>T24CORE_CUSTOMER</t>
        </is>
      </c>
      <c r="C20" s="416" t="inlineStr">
        <is>
          <t>NAT_ID_ISS_PLC</t>
        </is>
      </c>
      <c r="D20" s="416" t="inlineStr">
        <is>
          <t>TRIM(cus.NAT_ID_ISS_PLC)</t>
        </is>
      </c>
      <c r="E20" s="416" t="inlineStr">
        <is>
          <t>Sao Ke Tin Dung</t>
        </is>
      </c>
      <c r="F20" s="416" t="inlineStr">
        <is>
          <t>Nat Id Iss Plc</t>
        </is>
      </c>
      <c r="G20" s="416" t="inlineStr">
        <is>
          <t>SAOKE_TINDUNG</t>
        </is>
      </c>
      <c r="H20" s="416" t="inlineStr">
        <is>
          <t>NAT_ID_ISS_PLC</t>
        </is>
      </c>
      <c r="I20" s="482" t="inlineStr">
        <is>
          <t>VARCHAR2</t>
        </is>
      </c>
      <c r="J20" s="482" t="n">
        <v>100</v>
      </c>
      <c r="K20" s="416" t="inlineStr">
        <is>
          <t>Nơi cấp Căn cước</t>
        </is>
      </c>
      <c r="L20" s="416" t="n"/>
      <c r="M20" s="416">
        <f>"COMMENT ON COLUMN PG_SILVER."&amp;G20&amp;"."&amp;H20&amp;" IS '"&amp;K20&amp;"';"</f>
        <v/>
      </c>
      <c r="N20" s="416" t="inlineStr">
        <is>
          <t>LEFT JOIN PG_BRONZE.T24CORE_CUSTOMER cus ON ld.CUSTOMER_ID = cus.RECID</t>
        </is>
      </c>
    </row>
    <row r="21" ht="15" customHeight="1" s="335">
      <c r="A21" s="416" t="inlineStr">
        <is>
          <t>PG_BRONZE</t>
        </is>
      </c>
      <c r="B21" s="416" t="inlineStr">
        <is>
          <t>T24CORE_CUSTOMER</t>
        </is>
      </c>
      <c r="C21" s="416" t="inlineStr">
        <is>
          <t>NAT_ID_TYPE</t>
        </is>
      </c>
      <c r="D21" s="416" t="inlineStr">
        <is>
          <t>TRIM(cus.NAT_ID_TYPE)</t>
        </is>
      </c>
      <c r="E21" s="416" t="inlineStr">
        <is>
          <t>Sao Ke Tin Dung</t>
        </is>
      </c>
      <c r="F21" s="416" t="inlineStr">
        <is>
          <t>Nat Id Type</t>
        </is>
      </c>
      <c r="G21" s="416" t="inlineStr">
        <is>
          <t>SAOKE_TINDUNG</t>
        </is>
      </c>
      <c r="H21" s="416" t="inlineStr">
        <is>
          <t>NAT_ID_TYPE</t>
        </is>
      </c>
      <c r="I21" s="482" t="inlineStr">
        <is>
          <t>VARCHAR2</t>
        </is>
      </c>
      <c r="J21" s="482" t="n">
        <v>100</v>
      </c>
      <c r="K21" s="416" t="inlineStr">
        <is>
          <t>Loại căn cước</t>
        </is>
      </c>
      <c r="L21" s="416" t="n"/>
      <c r="M21" s="416">
        <f>"COMMENT ON COLUMN PG_SILVER."&amp;G21&amp;"."&amp;H21&amp;" IS '"&amp;K21&amp;"';"</f>
        <v/>
      </c>
      <c r="N21" s="416" t="inlineStr">
        <is>
          <t>LEFT JOIN PG_BRONZE.T24CORE_CUSTOMER cus ON ld.CUSTOMER_ID = cus.RECID</t>
        </is>
      </c>
    </row>
    <row r="22" ht="15" customHeight="1" s="335">
      <c r="A22" s="416" t="inlineStr">
        <is>
          <t>PG_BRONZE</t>
        </is>
      </c>
      <c r="B22" s="416" t="inlineStr">
        <is>
          <t>T24CORE_CUSTOMER</t>
        </is>
      </c>
      <c r="C22" s="416" t="inlineStr">
        <is>
          <t>NATIONAL_ID</t>
        </is>
      </c>
      <c r="D22" s="416" t="inlineStr">
        <is>
          <t>TRIM(cus.NATIONAL_ID)</t>
        </is>
      </c>
      <c r="E22" s="416" t="inlineStr">
        <is>
          <t>Sao Ke Tin Dung</t>
        </is>
      </c>
      <c r="F22" s="416" t="inlineStr">
        <is>
          <t>National Id</t>
        </is>
      </c>
      <c r="G22" s="416" t="inlineStr">
        <is>
          <t>SAOKE_TINDUNG</t>
        </is>
      </c>
      <c r="H22" s="416" t="inlineStr">
        <is>
          <t>NATIONAL_ID</t>
        </is>
      </c>
      <c r="I22" s="482" t="inlineStr">
        <is>
          <t>VARCHAR2</t>
        </is>
      </c>
      <c r="J22" s="482" t="n">
        <v>100</v>
      </c>
      <c r="K22" s="416" t="inlineStr">
        <is>
          <t>Số giấy tờ định danh quốc gia (CCCD/CMND)</t>
        </is>
      </c>
      <c r="L22" s="416" t="n"/>
      <c r="M22" s="416">
        <f>"COMMENT ON COLUMN PG_SILVER."&amp;G22&amp;"."&amp;H22&amp;" IS '"&amp;K22&amp;"';"</f>
        <v/>
      </c>
      <c r="N22" s="416" t="inlineStr">
        <is>
          <t>LEFT JOIN PG_BRONZE.T24CORE_CUSTOMER cus ON ld.CUSTOMER_ID = cus.RECID</t>
        </is>
      </c>
    </row>
    <row r="23" ht="15" customHeight="1" s="335">
      <c r="A23" s="416" t="inlineStr">
        <is>
          <t>PG_BRONZE</t>
        </is>
      </c>
      <c r="B23" s="416" t="inlineStr">
        <is>
          <t>T24CORE_CUSTOMER</t>
        </is>
      </c>
      <c r="C23" s="416" t="inlineStr">
        <is>
          <t>NATIONALITY</t>
        </is>
      </c>
      <c r="D23" s="416" t="inlineStr">
        <is>
          <t>TRIM(cus.NATIONALITY)</t>
        </is>
      </c>
      <c r="E23" s="416" t="inlineStr">
        <is>
          <t>Sao Ke Tin Dung</t>
        </is>
      </c>
      <c r="F23" s="416" t="inlineStr">
        <is>
          <t>Nationality</t>
        </is>
      </c>
      <c r="G23" s="416" t="inlineStr">
        <is>
          <t>SAOKE_TINDUNG</t>
        </is>
      </c>
      <c r="H23" s="416" t="inlineStr">
        <is>
          <t>NATIONALITY</t>
        </is>
      </c>
      <c r="I23" s="482" t="inlineStr">
        <is>
          <t>VARCHAR2</t>
        </is>
      </c>
      <c r="J23" s="482" t="n">
        <v>100</v>
      </c>
      <c r="K23" s="416" t="inlineStr">
        <is>
          <t>Quốc tịch</t>
        </is>
      </c>
      <c r="L23" s="416" t="n"/>
      <c r="M23" s="416">
        <f>"COMMENT ON COLUMN PG_SILVER."&amp;G23&amp;"."&amp;H23&amp;" IS '"&amp;K23&amp;"';"</f>
        <v/>
      </c>
      <c r="N23" s="416" t="inlineStr">
        <is>
          <t>LEFT JOIN PG_BRONZE.T24CORE_CUSTOMER cus ON ld.CUSTOMER_ID = cus.RECID</t>
        </is>
      </c>
    </row>
    <row r="24" ht="15" customHeight="1" s="335">
      <c r="A24" s="416" t="inlineStr">
        <is>
          <t>PG_BRONZE</t>
        </is>
      </c>
      <c r="B24" s="416" t="inlineStr">
        <is>
          <t>T24CORE_CUSTOMER</t>
        </is>
      </c>
      <c r="C24" s="416" t="inlineStr">
        <is>
          <t>NET_MONTHLY_IN</t>
        </is>
      </c>
      <c r="D24" s="416" t="inlineStr">
        <is>
          <t>COALESCE(CAST(cus.NET_MONTHLY_IN AS DECIMAL(25,5)), 0)</t>
        </is>
      </c>
      <c r="E24" s="416" t="inlineStr">
        <is>
          <t>Sao Ke Tin Dung</t>
        </is>
      </c>
      <c r="F24" s="416" t="inlineStr">
        <is>
          <t>Net Monthly In</t>
        </is>
      </c>
      <c r="G24" s="416" t="inlineStr">
        <is>
          <t>SAOKE_TINDUNG</t>
        </is>
      </c>
      <c r="H24" s="416" t="inlineStr">
        <is>
          <t>NET_MONTHLY_IN</t>
        </is>
      </c>
      <c r="I24" s="482" t="inlineStr">
        <is>
          <t>NUMBER</t>
        </is>
      </c>
      <c r="J24" s="482" t="n">
        <v>25.5</v>
      </c>
      <c r="K24" s="416" t="inlineStr">
        <is>
          <t>Thu nhập theo tháng</t>
        </is>
      </c>
      <c r="L24" s="416" t="n"/>
      <c r="M24" s="416">
        <f>"COMMENT ON COLUMN PG_SILVER."&amp;G24&amp;"."&amp;H24&amp;" IS '"&amp;K24&amp;"';"</f>
        <v/>
      </c>
      <c r="N24" s="416" t="inlineStr">
        <is>
          <t>LEFT JOIN PG_BRONZE.T24CORE_CUSTOMER cus ON ld.CUSTOMER_ID = cus.RECID</t>
        </is>
      </c>
    </row>
    <row r="25" ht="15" customHeight="1" s="335">
      <c r="A25" s="416" t="inlineStr">
        <is>
          <t>PG_BRONZE</t>
        </is>
      </c>
      <c r="B25" s="416" t="inlineStr">
        <is>
          <t>T24CORE_CUSTOMER</t>
        </is>
      </c>
      <c r="C25" s="416" t="inlineStr">
        <is>
          <t>NO_LIEN_DOI</t>
        </is>
      </c>
      <c r="D25" s="416" t="inlineStr">
        <is>
          <t>TRIM(cus.NO_LIEN_DOI)</t>
        </is>
      </c>
      <c r="E25" s="416" t="inlineStr">
        <is>
          <t>Sao Ke Tin Dung</t>
        </is>
      </c>
      <c r="F25" s="416" t="inlineStr">
        <is>
          <t>No Lien Doi</t>
        </is>
      </c>
      <c r="G25" s="416" t="inlineStr">
        <is>
          <t>SAOKE_TINDUNG</t>
        </is>
      </c>
      <c r="H25" s="416" t="inlineStr">
        <is>
          <t>NO_LIEN_DOI</t>
        </is>
      </c>
      <c r="I25" s="482" t="inlineStr">
        <is>
          <t>VARCHAR2</t>
        </is>
      </c>
      <c r="J25" s="482" t="n">
        <v>100</v>
      </c>
      <c r="K25" s="416" t="inlineStr">
        <is>
          <t>Nợ liên đới</t>
        </is>
      </c>
      <c r="L25" s="416" t="n"/>
      <c r="M25" s="416">
        <f>"COMMENT ON COLUMN PG_SILVER."&amp;G25&amp;"."&amp;H25&amp;" IS '"&amp;K25&amp;"';"</f>
        <v/>
      </c>
      <c r="N25" s="416" t="inlineStr">
        <is>
          <t>LEFT JOIN PG_BRONZE.T24CORE_CUSTOMER cus ON ld.CUSTOMER_ID = cus.RECID</t>
        </is>
      </c>
    </row>
    <row r="26" ht="15" customHeight="1" s="335">
      <c r="A26" s="416" t="inlineStr">
        <is>
          <t>PG_BRONZE</t>
        </is>
      </c>
      <c r="B26" s="416" t="inlineStr">
        <is>
          <t>T24CORE_CUSTOMER</t>
        </is>
      </c>
      <c r="C26" s="416" t="inlineStr">
        <is>
          <t>OCCUPATION</t>
        </is>
      </c>
      <c r="D26" s="416" t="inlineStr">
        <is>
          <t>TRIM(cus.OCCUPATION)</t>
        </is>
      </c>
      <c r="E26" s="416" t="inlineStr">
        <is>
          <t>Sao Ke Tin Dung</t>
        </is>
      </c>
      <c r="F26" s="416" t="inlineStr">
        <is>
          <t>Occupation</t>
        </is>
      </c>
      <c r="G26" s="416" t="inlineStr">
        <is>
          <t>SAOKE_TINDUNG</t>
        </is>
      </c>
      <c r="H26" s="416" t="inlineStr">
        <is>
          <t>OCCUPATION</t>
        </is>
      </c>
      <c r="I26" s="482" t="inlineStr">
        <is>
          <t>VARCHAR2</t>
        </is>
      </c>
      <c r="J26" s="482" t="n">
        <v>100</v>
      </c>
      <c r="K26" s="416" t="inlineStr">
        <is>
          <t>Nghề nghiệp của khách hàng</t>
        </is>
      </c>
      <c r="L26" s="416" t="n"/>
      <c r="M26" s="416">
        <f>"COMMENT ON COLUMN PG_SILVER."&amp;G26&amp;"."&amp;H26&amp;" IS '"&amp;K26&amp;"';"</f>
        <v/>
      </c>
      <c r="N26" s="416" t="inlineStr">
        <is>
          <t>LEFT JOIN PG_BRONZE.T24CORE_CUSTOMER cus ON ld.CUSTOMER_ID = cus.RECID</t>
        </is>
      </c>
    </row>
    <row r="27" ht="15" customHeight="1" s="335">
      <c r="A27" s="416" t="inlineStr">
        <is>
          <t>PG_BRONZE</t>
        </is>
      </c>
      <c r="B27" s="416" t="inlineStr">
        <is>
          <t>T24CORE_CUSTOMER</t>
        </is>
      </c>
      <c r="C27" s="416" t="inlineStr">
        <is>
          <t>OPEN_COMPANY</t>
        </is>
      </c>
      <c r="D27" s="416" t="inlineStr">
        <is>
          <t>TRIM(cus.OPEN_COMPANY)</t>
        </is>
      </c>
      <c r="E27" s="416" t="inlineStr">
        <is>
          <t>Sao Ke Tin Dung</t>
        </is>
      </c>
      <c r="F27" s="416" t="inlineStr">
        <is>
          <t>Open Company</t>
        </is>
      </c>
      <c r="G27" s="416" t="inlineStr">
        <is>
          <t>SAOKE_TINDUNG</t>
        </is>
      </c>
      <c r="H27" s="416" t="inlineStr">
        <is>
          <t>OPEN_COMPANY</t>
        </is>
      </c>
      <c r="I27" s="482" t="inlineStr">
        <is>
          <t>VARCHAR2</t>
        </is>
      </c>
      <c r="J27" s="482" t="n">
        <v>100</v>
      </c>
      <c r="K27" s="416" t="inlineStr">
        <is>
          <t>Chi nhánh mở</t>
        </is>
      </c>
      <c r="L27" s="416" t="n"/>
      <c r="M27" s="416">
        <f>"COMMENT ON COLUMN PG_SILVER."&amp;G27&amp;"."&amp;H27&amp;" IS '"&amp;K27&amp;"';"</f>
        <v/>
      </c>
      <c r="N27" s="416" t="inlineStr">
        <is>
          <t>LEFT JOIN PG_BRONZE.T24CORE_CUSTOMER cus ON ld.CUSTOMER_ID = cus.RECID</t>
        </is>
      </c>
    </row>
    <row r="28" ht="15" customHeight="1" s="335">
      <c r="A28" s="416" t="inlineStr">
        <is>
          <t>PG_BRONZE</t>
        </is>
      </c>
      <c r="B28" s="416" t="inlineStr">
        <is>
          <t>T24CORE_CUSTOMER</t>
        </is>
      </c>
      <c r="C28" s="416" t="inlineStr">
        <is>
          <t>PHONE_CONT_PER</t>
        </is>
      </c>
      <c r="D28" s="416" t="inlineStr">
        <is>
          <t>TRIM(cus.PHONE_CONT_PER)</t>
        </is>
      </c>
      <c r="E28" s="416" t="inlineStr">
        <is>
          <t>Sao Ke Tin Dung</t>
        </is>
      </c>
      <c r="F28" s="416" t="inlineStr">
        <is>
          <t>Phone Cont Per</t>
        </is>
      </c>
      <c r="G28" s="416" t="inlineStr">
        <is>
          <t>SAOKE_TINDUNG</t>
        </is>
      </c>
      <c r="H28" s="416" t="inlineStr">
        <is>
          <t>PHONE_CONT_PER</t>
        </is>
      </c>
      <c r="I28" s="482" t="inlineStr">
        <is>
          <t>VARCHAR2</t>
        </is>
      </c>
      <c r="J28" s="482" t="n">
        <v>100</v>
      </c>
      <c r="K28" s="416" t="inlineStr">
        <is>
          <t>Số điện thoại của người liên hệ chính - KH tổ chức</t>
        </is>
      </c>
      <c r="L28" s="416" t="n"/>
      <c r="M28" s="416">
        <f>"COMMENT ON COLUMN PG_SILVER."&amp;G28&amp;"."&amp;H28&amp;" IS '"&amp;K28&amp;"';"</f>
        <v/>
      </c>
      <c r="N28" s="416" t="inlineStr">
        <is>
          <t>LEFT JOIN PG_BRONZE.T24CORE_CUSTOMER cus ON ld.CUSTOMER_ID = cus.RECID</t>
        </is>
      </c>
    </row>
    <row r="29" ht="15" customHeight="1" s="335">
      <c r="A29" s="416" t="inlineStr">
        <is>
          <t>PG_BRONZE</t>
        </is>
      </c>
      <c r="B29" s="416" t="inlineStr">
        <is>
          <t>T24CORE_CUSTOMER</t>
        </is>
      </c>
      <c r="C29" s="416" t="inlineStr">
        <is>
          <t>RECID</t>
        </is>
      </c>
      <c r="D29" s="416" t="inlineStr">
        <is>
          <t>TRIM(cus.RECID)</t>
        </is>
      </c>
      <c r="E29" s="416" t="inlineStr">
        <is>
          <t>Sao Ke Tin Dung</t>
        </is>
      </c>
      <c r="F29" s="416" t="inlineStr">
        <is>
          <t>Cus Recid</t>
        </is>
      </c>
      <c r="G29" s="416" t="inlineStr">
        <is>
          <t>SAOKE_TINDUNG</t>
        </is>
      </c>
      <c r="H29" s="416" t="inlineStr">
        <is>
          <t>CUS_RECID</t>
        </is>
      </c>
      <c r="I29" s="482" t="inlineStr">
        <is>
          <t>VARCHAR2</t>
        </is>
      </c>
      <c r="J29" s="482" t="n">
        <v>100</v>
      </c>
      <c r="K29" s="416" t="inlineStr">
        <is>
          <t>Mã CIF</t>
        </is>
      </c>
      <c r="L29" s="416" t="n"/>
      <c r="M29" s="416">
        <f>"COMMENT ON COLUMN PG_SILVER."&amp;G29&amp;"."&amp;H29&amp;" IS '"&amp;K29&amp;"';"</f>
        <v/>
      </c>
      <c r="N29" s="416" t="inlineStr">
        <is>
          <t>LEFT JOIN PG_BRONZE.T24CORE_CUSTOMER cus ON ld.CUSTOMER_ID = cus.RECID</t>
        </is>
      </c>
    </row>
    <row r="30" ht="15" customHeight="1" s="335">
      <c r="A30" s="416" t="inlineStr">
        <is>
          <t>PG_BRONZE</t>
        </is>
      </c>
      <c r="B30" s="416" t="inlineStr">
        <is>
          <t>T24CORE_CUSTOMER</t>
        </is>
      </c>
      <c r="C30" s="416" t="inlineStr">
        <is>
          <t>REFERRED_BY</t>
        </is>
      </c>
      <c r="D30" s="416" t="inlineStr">
        <is>
          <t>TRIM(cus.REFERRED_BY)</t>
        </is>
      </c>
      <c r="E30" s="416" t="inlineStr">
        <is>
          <t>Sao Ke Tin Dung</t>
        </is>
      </c>
      <c r="F30" s="416" t="inlineStr">
        <is>
          <t>Referred By</t>
        </is>
      </c>
      <c r="G30" s="416" t="inlineStr">
        <is>
          <t>SAOKE_TINDUNG</t>
        </is>
      </c>
      <c r="H30" s="416" t="inlineStr">
        <is>
          <t>REFERRED_BY</t>
        </is>
      </c>
      <c r="I30" s="482" t="inlineStr">
        <is>
          <t>VARCHAR2</t>
        </is>
      </c>
      <c r="J30" s="482" t="n">
        <v>100</v>
      </c>
      <c r="K30" s="416" t="inlineStr">
        <is>
          <t>Mã người tham chiếu/giới thiệu</t>
        </is>
      </c>
      <c r="L30" s="416" t="n"/>
      <c r="M30" s="416">
        <f>"COMMENT ON COLUMN PG_SILVER."&amp;G30&amp;"."&amp;H30&amp;" IS '"&amp;K30&amp;"';"</f>
        <v/>
      </c>
      <c r="N30" s="416" t="inlineStr">
        <is>
          <t>LEFT JOIN PG_BRONZE.T24CORE_CUSTOMER cus ON ld.CUSTOMER_ID = cus.RECID</t>
        </is>
      </c>
    </row>
    <row r="31" ht="15" customHeight="1" s="335">
      <c r="A31" s="416" t="inlineStr">
        <is>
          <t>PG_BRONZE</t>
        </is>
      </c>
      <c r="B31" s="416" t="inlineStr">
        <is>
          <t>T24CORE_CUSTOMER</t>
        </is>
      </c>
      <c r="C31" s="416" t="inlineStr">
        <is>
          <t>RESID_PROVINCE</t>
        </is>
      </c>
      <c r="D31" s="416" t="inlineStr">
        <is>
          <t>TRIM(cus.RESID_PROVINCE)</t>
        </is>
      </c>
      <c r="E31" s="416" t="inlineStr">
        <is>
          <t>Sao Ke Tin Dung</t>
        </is>
      </c>
      <c r="F31" s="416" t="inlineStr">
        <is>
          <t>Resid Province</t>
        </is>
      </c>
      <c r="G31" s="416" t="inlineStr">
        <is>
          <t>SAOKE_TINDUNG</t>
        </is>
      </c>
      <c r="H31" s="416" t="inlineStr">
        <is>
          <t>RESID_PROVINCE</t>
        </is>
      </c>
      <c r="I31" s="482" t="inlineStr">
        <is>
          <t>VARCHAR2</t>
        </is>
      </c>
      <c r="J31" s="482" t="n">
        <v>100</v>
      </c>
      <c r="K31" s="416" t="inlineStr">
        <is>
          <t>Tỉnh/thành phố nơi cư trú</t>
        </is>
      </c>
      <c r="L31" s="416" t="n"/>
      <c r="M31" s="416">
        <f>"COMMENT ON COLUMN PG_SILVER."&amp;G31&amp;"."&amp;H31&amp;" IS '"&amp;K31&amp;"';"</f>
        <v/>
      </c>
      <c r="N31" s="416" t="inlineStr">
        <is>
          <t>LEFT JOIN PG_BRONZE.T24CORE_CUSTOMER cus ON ld.CUSTOMER_ID = cus.RECID</t>
        </is>
      </c>
    </row>
    <row r="32" ht="15" customHeight="1" s="335">
      <c r="A32" s="416" t="inlineStr">
        <is>
          <t>PG_BRONZE</t>
        </is>
      </c>
      <c r="B32" s="416" t="inlineStr">
        <is>
          <t>T24CORE_CUSTOMER</t>
        </is>
      </c>
      <c r="C32" s="416" t="inlineStr">
        <is>
          <t>RESIDENCE</t>
        </is>
      </c>
      <c r="D32" s="416" t="inlineStr">
        <is>
          <t>TRIM(cus.RESIDENCE)</t>
        </is>
      </c>
      <c r="E32" s="416" t="inlineStr">
        <is>
          <t>Sao Ke Tin Dung</t>
        </is>
      </c>
      <c r="F32" s="416" t="inlineStr">
        <is>
          <t>Residence</t>
        </is>
      </c>
      <c r="G32" s="416" t="inlineStr">
        <is>
          <t>SAOKE_TINDUNG</t>
        </is>
      </c>
      <c r="H32" s="416" t="inlineStr">
        <is>
          <t>RESIDENCE</t>
        </is>
      </c>
      <c r="I32" s="482" t="inlineStr">
        <is>
          <t>VARCHAR2</t>
        </is>
      </c>
      <c r="J32" s="482" t="n">
        <v>100</v>
      </c>
      <c r="K32" s="416" t="inlineStr">
        <is>
          <t>Quốc gia cư trú</t>
        </is>
      </c>
      <c r="L32" s="416" t="n"/>
      <c r="M32" s="416">
        <f>"COMMENT ON COLUMN PG_SILVER."&amp;G32&amp;"."&amp;H32&amp;" IS '"&amp;K32&amp;"';"</f>
        <v/>
      </c>
      <c r="N32" s="416" t="inlineStr">
        <is>
          <t>LEFT JOIN PG_BRONZE.T24CORE_CUSTOMER cus ON ld.CUSTOMER_ID = cus.RECID</t>
        </is>
      </c>
    </row>
    <row r="33" ht="15" customHeight="1" s="335">
      <c r="A33" s="416" t="inlineStr">
        <is>
          <t>PG_BRONZE</t>
        </is>
      </c>
      <c r="B33" s="416" t="inlineStr">
        <is>
          <t>T24CORE_CUSTOMER</t>
        </is>
      </c>
      <c r="C33" s="416" t="inlineStr">
        <is>
          <t>SECOND_OFFICER</t>
        </is>
      </c>
      <c r="D33" s="416" t="inlineStr">
        <is>
          <t>TRIM(cus.SECOND_OFFICER)</t>
        </is>
      </c>
      <c r="E33" s="416" t="inlineStr">
        <is>
          <t>Sao Ke Tin Dung</t>
        </is>
      </c>
      <c r="F33" s="416" t="inlineStr">
        <is>
          <t>Second Officer</t>
        </is>
      </c>
      <c r="G33" s="416" t="inlineStr">
        <is>
          <t>SAOKE_TINDUNG</t>
        </is>
      </c>
      <c r="H33" s="416" t="inlineStr">
        <is>
          <t>SECOND_OFFICER</t>
        </is>
      </c>
      <c r="I33" s="482" t="inlineStr">
        <is>
          <t>VARCHAR2</t>
        </is>
      </c>
      <c r="J33" s="482" t="n">
        <v>100</v>
      </c>
      <c r="K33" s="416" t="inlineStr">
        <is>
          <t>Mã nhân viên hạch toán thứ 2</t>
        </is>
      </c>
      <c r="L33" s="416" t="n"/>
      <c r="M33" s="416">
        <f>"COMMENT ON COLUMN PG_SILVER."&amp;G33&amp;"."&amp;H33&amp;" IS '"&amp;K33&amp;"';"</f>
        <v/>
      </c>
      <c r="N33" s="416" t="inlineStr">
        <is>
          <t>LEFT JOIN PG_BRONZE.T24CORE_CUSTOMER cus ON ld.CUSTOMER_ID = cus.RECID</t>
        </is>
      </c>
    </row>
    <row r="34" ht="15" customHeight="1" s="335">
      <c r="A34" s="416" t="inlineStr">
        <is>
          <t>PG_BRONZE</t>
        </is>
      </c>
      <c r="B34" s="416" t="inlineStr">
        <is>
          <t>T24CORE_CUSTOMER</t>
        </is>
      </c>
      <c r="C34" s="416" t="inlineStr">
        <is>
          <t>SECTOR</t>
        </is>
      </c>
      <c r="D34" s="416" t="inlineStr">
        <is>
          <t>TRIM(cus.SECTOR)</t>
        </is>
      </c>
      <c r="E34" s="416" t="inlineStr">
        <is>
          <t>Sao Ke Tin Dung</t>
        </is>
      </c>
      <c r="F34" s="416" t="inlineStr">
        <is>
          <t>Sector</t>
        </is>
      </c>
      <c r="G34" s="416" t="inlineStr">
        <is>
          <t>SAOKE_TINDUNG</t>
        </is>
      </c>
      <c r="H34" s="416" t="inlineStr">
        <is>
          <t>SECTOR</t>
        </is>
      </c>
      <c r="I34" s="482" t="inlineStr">
        <is>
          <t>VARCHAR2</t>
        </is>
      </c>
      <c r="J34" s="482" t="n">
        <v>100</v>
      </c>
      <c r="K34" s="416" t="inlineStr">
        <is>
          <t>Mã phân loại hình khách hàng</t>
        </is>
      </c>
      <c r="L34" s="416" t="n"/>
      <c r="M34" s="416">
        <f>"COMMENT ON COLUMN PG_SILVER."&amp;G34&amp;"."&amp;H34&amp;" IS '"&amp;K34&amp;"';"</f>
        <v/>
      </c>
      <c r="N34" s="416" t="inlineStr">
        <is>
          <t>LEFT JOIN PG_BRONZE.T24CORE_CUSTOMER cus ON ld.CUSTOMER_ID = cus.RECID</t>
        </is>
      </c>
    </row>
    <row r="35" ht="15" customHeight="1" s="335">
      <c r="A35" s="416" t="inlineStr">
        <is>
          <t>PG_BRONZE</t>
        </is>
      </c>
      <c r="B35" s="416" t="inlineStr">
        <is>
          <t>T24CORE_CUSTOMER</t>
        </is>
      </c>
      <c r="C35" s="416" t="inlineStr">
        <is>
          <t>SHORT_NAME</t>
        </is>
      </c>
      <c r="D35" s="416" t="inlineStr">
        <is>
          <t>TRIM(cus.SHORT_NAME)</t>
        </is>
      </c>
      <c r="E35" s="416" t="inlineStr">
        <is>
          <t>Sao Ke Tin Dung</t>
        </is>
      </c>
      <c r="F35" s="416" t="inlineStr">
        <is>
          <t>Short Name</t>
        </is>
      </c>
      <c r="G35" s="416" t="inlineStr">
        <is>
          <t>SAOKE_TINDUNG</t>
        </is>
      </c>
      <c r="H35" s="416" t="inlineStr">
        <is>
          <t>SHORT_NAME</t>
        </is>
      </c>
      <c r="I35" s="482" t="inlineStr">
        <is>
          <t>VARCHAR2</t>
        </is>
      </c>
      <c r="J35" s="482" t="n">
        <v>255</v>
      </c>
      <c r="K35" s="416" t="inlineStr">
        <is>
          <t>Tên viết tắt khách hàng</t>
        </is>
      </c>
      <c r="L35" s="416" t="n"/>
      <c r="M35" s="416">
        <f>"COMMENT ON COLUMN PG_SILVER."&amp;G35&amp;"."&amp;H35&amp;" IS '"&amp;K35&amp;"';"</f>
        <v/>
      </c>
      <c r="N35" s="416" t="inlineStr">
        <is>
          <t>LEFT JOIN PG_BRONZE.T24CORE_CUSTOMER cus ON ld.CUSTOMER_ID = cus.RECID</t>
        </is>
      </c>
    </row>
    <row r="36" ht="15" customHeight="1" s="335">
      <c r="A36" s="416" t="inlineStr">
        <is>
          <t>PG_BRONZE</t>
        </is>
      </c>
      <c r="B36" s="416" t="inlineStr">
        <is>
          <t>T24CORE_CUSTOMER</t>
        </is>
      </c>
      <c r="C36" s="416" t="inlineStr">
        <is>
          <t>STREET</t>
        </is>
      </c>
      <c r="D36" s="416" t="inlineStr">
        <is>
          <t>TRIM(cus.STREET)</t>
        </is>
      </c>
      <c r="E36" s="416" t="inlineStr">
        <is>
          <t>Sao Ke Tin Dung</t>
        </is>
      </c>
      <c r="F36" s="416" t="inlineStr">
        <is>
          <t>Street</t>
        </is>
      </c>
      <c r="G36" s="416" t="inlineStr">
        <is>
          <t>SAOKE_TINDUNG</t>
        </is>
      </c>
      <c r="H36" s="416" t="inlineStr">
        <is>
          <t>STREET</t>
        </is>
      </c>
      <c r="I36" s="482" t="inlineStr">
        <is>
          <t>VARCHAR2</t>
        </is>
      </c>
      <c r="J36" s="482" t="n">
        <v>255</v>
      </c>
      <c r="K36" s="416" t="inlineStr">
        <is>
          <t>Tên đường theo địa chỉ</t>
        </is>
      </c>
      <c r="L36" s="416" t="n"/>
      <c r="M36" s="416">
        <f>"COMMENT ON COLUMN PG_SILVER."&amp;G36&amp;"."&amp;H36&amp;" IS '"&amp;K36&amp;"';"</f>
        <v/>
      </c>
      <c r="N36" s="416" t="inlineStr">
        <is>
          <t>LEFT JOIN PG_BRONZE.T24CORE_CUSTOMER cus ON ld.CUSTOMER_ID = cus.RECID</t>
        </is>
      </c>
    </row>
    <row r="37" ht="15" customHeight="1" s="335">
      <c r="A37" s="416" t="inlineStr">
        <is>
          <t>PG_BRONZE</t>
        </is>
      </c>
      <c r="B37" s="416" t="inlineStr">
        <is>
          <t>T24CORE_CUSTOMER</t>
        </is>
      </c>
      <c r="C37" s="416" t="inlineStr">
        <is>
          <t>TARGET</t>
        </is>
      </c>
      <c r="D37" s="416" t="inlineStr">
        <is>
          <t>TRIM(cus.TARGET)</t>
        </is>
      </c>
      <c r="E37" s="416" t="inlineStr">
        <is>
          <t>Sao Ke Tin Dung</t>
        </is>
      </c>
      <c r="F37" s="416" t="inlineStr">
        <is>
          <t>Target</t>
        </is>
      </c>
      <c r="G37" s="416" t="inlineStr">
        <is>
          <t>SAOKE_TINDUNG</t>
        </is>
      </c>
      <c r="H37" s="416" t="inlineStr">
        <is>
          <t>TARGET</t>
        </is>
      </c>
      <c r="I37" s="482" t="inlineStr">
        <is>
          <t>VARCHAR2</t>
        </is>
      </c>
      <c r="J37" s="482" t="n">
        <v>100</v>
      </c>
      <c r="K37" s="416" t="inlineStr">
        <is>
          <t>Mã phân khúc đối tượng khách hàng mục tiêu (Target Code)</t>
        </is>
      </c>
      <c r="L37" s="416" t="n"/>
      <c r="M37" s="416">
        <f>"COMMENT ON COLUMN PG_SILVER."&amp;G37&amp;"."&amp;H37&amp;" IS '"&amp;K37&amp;"';"</f>
        <v/>
      </c>
      <c r="N37" s="416" t="inlineStr">
        <is>
          <t>LEFT JOIN PG_BRONZE.T24CORE_CUSTOMER cus ON ld.CUSTOMER_ID = cus.RECID</t>
        </is>
      </c>
    </row>
    <row r="38" ht="15" customHeight="1" s="335">
      <c r="A38" s="416" t="inlineStr">
        <is>
          <t>PG_BRONZE</t>
        </is>
      </c>
      <c r="B38" s="416" t="inlineStr">
        <is>
          <t>T24CORE_CUSTOMER</t>
        </is>
      </c>
      <c r="C38" s="416" t="inlineStr">
        <is>
          <t>TAX_SERIAL</t>
        </is>
      </c>
      <c r="D38" s="416" t="inlineStr">
        <is>
          <t>TRIM(cus.TAX_SERIAL)</t>
        </is>
      </c>
      <c r="E38" s="416" t="inlineStr">
        <is>
          <t>Sao Ke Tin Dung</t>
        </is>
      </c>
      <c r="F38" s="416" t="inlineStr">
        <is>
          <t>Tax Serial</t>
        </is>
      </c>
      <c r="G38" s="416" t="inlineStr">
        <is>
          <t>SAOKE_TINDUNG</t>
        </is>
      </c>
      <c r="H38" s="416" t="inlineStr">
        <is>
          <t>TAX_SERIAL</t>
        </is>
      </c>
      <c r="I38" s="482" t="inlineStr">
        <is>
          <t>VARCHAR2</t>
        </is>
      </c>
      <c r="J38" s="482" t="n">
        <v>100</v>
      </c>
      <c r="K38" s="416" t="inlineStr">
        <is>
          <t>Mã số thuế</t>
        </is>
      </c>
      <c r="L38" s="416" t="n"/>
      <c r="M38" s="416">
        <f>"COMMENT ON COLUMN PG_SILVER."&amp;G38&amp;"."&amp;H38&amp;" IS '"&amp;K38&amp;"';"</f>
        <v/>
      </c>
      <c r="N38" s="416" t="inlineStr">
        <is>
          <t>LEFT JOIN PG_BRONZE.T24CORE_CUSTOMER cus ON ld.CUSTOMER_ID = cus.RECID</t>
        </is>
      </c>
    </row>
    <row r="39" ht="15" customHeight="1" s="335">
      <c r="A39" s="416" t="inlineStr">
        <is>
          <t>PG_BRONZE</t>
        </is>
      </c>
      <c r="B39" s="416" t="inlineStr">
        <is>
          <t>T24CORE_CUSTOMER</t>
        </is>
      </c>
      <c r="C39" s="416" t="inlineStr">
        <is>
          <t>TXN_DATE</t>
        </is>
      </c>
      <c r="D39" s="416" t="inlineStr">
        <is>
          <t>TO_DATE(CAST(cus.TXN_DATE AS VARCHAR(20)), 'YYYYMMDD')</t>
        </is>
      </c>
      <c r="E39" s="416" t="inlineStr">
        <is>
          <t>Sao Ke Tin Dung</t>
        </is>
      </c>
      <c r="F39" s="416" t="inlineStr">
        <is>
          <t>Txn Date</t>
        </is>
      </c>
      <c r="G39" s="416" t="inlineStr">
        <is>
          <t>SAOKE_TINDUNG</t>
        </is>
      </c>
      <c r="H39" s="416" t="inlineStr">
        <is>
          <t>TXN_DATE</t>
        </is>
      </c>
      <c r="I39" s="482" t="inlineStr">
        <is>
          <t>DATE</t>
        </is>
      </c>
      <c r="J39" s="482" t="n"/>
      <c r="K39" s="416" t="inlineStr">
        <is>
          <t>Ngày giao dịch / ngày cập nhật dữ liệu khách hàng</t>
        </is>
      </c>
      <c r="L39" s="416" t="n"/>
      <c r="M39" s="416">
        <f>"COMMENT ON COLUMN PG_SILVER."&amp;G39&amp;"."&amp;H39&amp;" IS '"&amp;K39&amp;"';"</f>
        <v/>
      </c>
      <c r="N39" s="416" t="inlineStr">
        <is>
          <t>LEFT JOIN PG_BRONZE.T24CORE_CUSTOMER cus ON ld.CUSTOMER_ID = cus.RECID</t>
        </is>
      </c>
    </row>
    <row r="40" ht="15" customHeight="1" s="335">
      <c r="A40" s="416" t="inlineStr">
        <is>
          <t>PG_BRONZE</t>
        </is>
      </c>
      <c r="B40" s="416" t="inlineStr">
        <is>
          <t>T24CORE_CUSTOMER</t>
        </is>
      </c>
      <c r="C40" s="416" t="inlineStr">
        <is>
          <t>VAT_INV_DATE</t>
        </is>
      </c>
      <c r="D40" s="416" t="inlineStr">
        <is>
          <t>TO_DATE(CAST(cus.VAT_INV_DATE AS VARCHAR(20)), 'YYYYMMDD')</t>
        </is>
      </c>
      <c r="E40" s="416" t="inlineStr">
        <is>
          <t>Sao Ke Tin Dung</t>
        </is>
      </c>
      <c r="F40" s="416" t="inlineStr">
        <is>
          <t>Vat Inv Date</t>
        </is>
      </c>
      <c r="G40" s="416" t="inlineStr">
        <is>
          <t>SAOKE_TINDUNG</t>
        </is>
      </c>
      <c r="H40" s="416" t="inlineStr">
        <is>
          <t>VAT_INV_DATE</t>
        </is>
      </c>
      <c r="I40" s="482" t="inlineStr">
        <is>
          <t>DATE</t>
        </is>
      </c>
      <c r="J40" s="482" t="n"/>
      <c r="K40" s="416" t="inlineStr">
        <is>
          <t>Ngày phát hành hóa đơn</t>
        </is>
      </c>
      <c r="L40" s="416" t="n"/>
      <c r="M40" s="416">
        <f>"COMMENT ON COLUMN PG_SILVER."&amp;G40&amp;"."&amp;H40&amp;" IS '"&amp;K40&amp;"';"</f>
        <v/>
      </c>
      <c r="N40" s="416" t="inlineStr">
        <is>
          <t>LEFT JOIN PG_BRONZE.T24CORE_CUSTOMER cus ON ld.CUSTOMER_ID = cus.RECID</t>
        </is>
      </c>
    </row>
    <row r="41" ht="15" customHeight="1" s="335">
      <c r="A41" s="416" t="inlineStr">
        <is>
          <t>PG_BRONZE</t>
        </is>
      </c>
      <c r="B41" s="416" t="inlineStr">
        <is>
          <t>T24CORE_CUSTOMER</t>
        </is>
      </c>
      <c r="C41" s="416" t="inlineStr">
        <is>
          <t>VAT_INV_SERIAL</t>
        </is>
      </c>
      <c r="D41" s="416" t="inlineStr">
        <is>
          <t>TRIM(cus.VAT_INV_SERIAL)</t>
        </is>
      </c>
      <c r="E41" s="416" t="inlineStr">
        <is>
          <t>Sao Ke Tin Dung</t>
        </is>
      </c>
      <c r="F41" s="416" t="inlineStr">
        <is>
          <t>Vat Inv Serial</t>
        </is>
      </c>
      <c r="G41" s="416" t="inlineStr">
        <is>
          <t>SAOKE_TINDUNG</t>
        </is>
      </c>
      <c r="H41" s="416" t="inlineStr">
        <is>
          <t>VAT_INV_SERIAL</t>
        </is>
      </c>
      <c r="I41" s="482" t="inlineStr">
        <is>
          <t>VARCHAR2</t>
        </is>
      </c>
      <c r="J41" s="482" t="n">
        <v>100</v>
      </c>
      <c r="K41" s="416" t="inlineStr">
        <is>
          <t>Số seri hóa đơn</t>
        </is>
      </c>
      <c r="L41" s="416" t="n"/>
      <c r="M41" s="416">
        <f>"COMMENT ON COLUMN PG_SILVER."&amp;G41&amp;"."&amp;H41&amp;" IS '"&amp;K41&amp;"';"</f>
        <v/>
      </c>
      <c r="N41" s="416" t="inlineStr">
        <is>
          <t>LEFT JOIN PG_BRONZE.T24CORE_CUSTOMER cus ON ld.CUSTOMER_ID = cus.RECID</t>
        </is>
      </c>
    </row>
    <row r="42" ht="15" customHeight="1" s="335">
      <c r="A42" s="416" t="inlineStr">
        <is>
          <t>PG_BRONZE</t>
        </is>
      </c>
      <c r="B42" s="416" t="inlineStr">
        <is>
          <t>T24CORE_CUSTOMER</t>
        </is>
      </c>
      <c r="C42" s="416" t="inlineStr">
        <is>
          <t>VIP_CUSTOMER</t>
        </is>
      </c>
      <c r="D42" s="416" t="inlineStr">
        <is>
          <t>TRIM(cus.VIP_CUSTOMER)</t>
        </is>
      </c>
      <c r="E42" s="416" t="inlineStr">
        <is>
          <t>Sao Ke Tin Dung</t>
        </is>
      </c>
      <c r="F42" s="416" t="inlineStr">
        <is>
          <t>Vip Customer</t>
        </is>
      </c>
      <c r="G42" s="416" t="inlineStr">
        <is>
          <t>SAOKE_TINDUNG</t>
        </is>
      </c>
      <c r="H42" s="416" t="inlineStr">
        <is>
          <t>VIP_CUSTOMER</t>
        </is>
      </c>
      <c r="I42" s="482" t="inlineStr">
        <is>
          <t>VARCHAR2</t>
        </is>
      </c>
      <c r="J42" s="482" t="n">
        <v>100</v>
      </c>
      <c r="K42" s="416" t="inlineStr">
        <is>
          <t>Đánh dấu khách hàng ưu tiên</t>
        </is>
      </c>
      <c r="L42" s="416" t="n"/>
      <c r="M42" s="416">
        <f>"COMMENT ON COLUMN PG_SILVER."&amp;G42&amp;"."&amp;H42&amp;" IS '"&amp;K42&amp;"';"</f>
        <v/>
      </c>
      <c r="N42" s="416" t="inlineStr">
        <is>
          <t>LEFT JOIN PG_BRONZE.T24CORE_CUSTOMER cus ON ld.CUSTOMER_ID = cus.RECID</t>
        </is>
      </c>
    </row>
    <row r="43" ht="15" customHeight="1" s="335">
      <c r="A43" s="416" t="inlineStr">
        <is>
          <t>PG_BRONZE</t>
        </is>
      </c>
      <c r="B43" s="416" t="inlineStr">
        <is>
          <t>T24CORE_CUSTOMER</t>
        </is>
      </c>
      <c r="C43" s="416" t="inlineStr">
        <is>
          <t>VN_FULL_NAME</t>
        </is>
      </c>
      <c r="D43" s="416" t="inlineStr">
        <is>
          <t>TRIM(cus.VN_FULL_NAME)</t>
        </is>
      </c>
      <c r="E43" s="416" t="inlineStr">
        <is>
          <t>Sao Ke Tin Dung</t>
        </is>
      </c>
      <c r="F43" s="416" t="inlineStr">
        <is>
          <t>Vn Full Name</t>
        </is>
      </c>
      <c r="G43" s="416" t="inlineStr">
        <is>
          <t>SAOKE_TINDUNG</t>
        </is>
      </c>
      <c r="H43" s="416" t="inlineStr">
        <is>
          <t>VN_FULL_NAME</t>
        </is>
      </c>
      <c r="I43" s="482" t="inlineStr">
        <is>
          <t>VARCHAR2</t>
        </is>
      </c>
      <c r="J43" s="482" t="n">
        <v>255</v>
      </c>
      <c r="K43" s="416" t="inlineStr">
        <is>
          <t>Tên khách hàng đầy đủ</t>
        </is>
      </c>
      <c r="L43" s="416" t="n"/>
      <c r="M43" s="416">
        <f>"COMMENT ON COLUMN PG_SILVER."&amp;G43&amp;"."&amp;H43&amp;" IS '"&amp;K43&amp;"';"</f>
        <v/>
      </c>
      <c r="N43" s="416" t="inlineStr">
        <is>
          <t>LEFT JOIN PG_BRONZE.T24CORE_CUSTOMER cus ON ld.CUSTOMER_ID = cus.RECID</t>
        </is>
      </c>
    </row>
    <row r="44" ht="15" customHeight="1" s="335">
      <c r="A44" s="416" t="inlineStr">
        <is>
          <t>PG_BRONZE</t>
        </is>
      </c>
      <c r="B44" s="416" t="inlineStr">
        <is>
          <t>T24CORE_CUSTOMER</t>
        </is>
      </c>
      <c r="C44" s="416" t="inlineStr">
        <is>
          <t>VN_GENDER</t>
        </is>
      </c>
      <c r="D44" s="416" t="inlineStr">
        <is>
          <t>TRIM(cus.VN_GENDER)</t>
        </is>
      </c>
      <c r="E44" s="416" t="inlineStr">
        <is>
          <t>Sao Ke Tin Dung</t>
        </is>
      </c>
      <c r="F44" s="416" t="inlineStr">
        <is>
          <t>Vn Gender</t>
        </is>
      </c>
      <c r="G44" s="416" t="inlineStr">
        <is>
          <t>SAOKE_TINDUNG</t>
        </is>
      </c>
      <c r="H44" s="416" t="inlineStr">
        <is>
          <t>VN_GENDER</t>
        </is>
      </c>
      <c r="I44" s="482" t="inlineStr">
        <is>
          <t>VARCHAR2</t>
        </is>
      </c>
      <c r="J44" s="482" t="n">
        <v>100</v>
      </c>
      <c r="K44" s="416" t="inlineStr">
        <is>
          <t>Giới tính</t>
        </is>
      </c>
      <c r="L44" s="416" t="n"/>
      <c r="M44" s="416">
        <f>"COMMENT ON COLUMN PG_SILVER."&amp;G44&amp;"."&amp;H44&amp;" IS '"&amp;K44&amp;"';"</f>
        <v/>
      </c>
      <c r="N44" s="416" t="inlineStr">
        <is>
          <t>LEFT JOIN PG_BRONZE.T24CORE_CUSTOMER cus ON ld.CUSTOMER_ID = cus.RECID</t>
        </is>
      </c>
    </row>
    <row r="45" ht="15" customHeight="1" s="335">
      <c r="A45" s="416" t="inlineStr">
        <is>
          <t>PG_BRONZE</t>
        </is>
      </c>
      <c r="B45" s="416" t="inlineStr">
        <is>
          <t>T24CORE_CUSTOMER</t>
        </is>
      </c>
      <c r="C45" s="416" t="inlineStr">
        <is>
          <t>VN_STREET</t>
        </is>
      </c>
      <c r="D45" s="416" t="inlineStr">
        <is>
          <t>TRIM(cus.VN_STREET)</t>
        </is>
      </c>
      <c r="E45" s="416" t="inlineStr">
        <is>
          <t>Sao Ke Tin Dung</t>
        </is>
      </c>
      <c r="F45" s="416" t="inlineStr">
        <is>
          <t>Vn Street</t>
        </is>
      </c>
      <c r="G45" s="416" t="inlineStr">
        <is>
          <t>SAOKE_TINDUNG</t>
        </is>
      </c>
      <c r="H45" s="416" t="inlineStr">
        <is>
          <t>VN_STREET</t>
        </is>
      </c>
      <c r="I45" s="482" t="inlineStr">
        <is>
          <t>VARCHAR2</t>
        </is>
      </c>
      <c r="J45" s="482" t="n">
        <v>255</v>
      </c>
      <c r="K45" s="416" t="inlineStr">
        <is>
          <t>Tên đường theo địa chỉ</t>
        </is>
      </c>
      <c r="L45" s="416" t="n"/>
      <c r="M45" s="416">
        <f>"COMMENT ON COLUMN PG_SILVER."&amp;G45&amp;"."&amp;H45&amp;" IS '"&amp;K45&amp;"';"</f>
        <v/>
      </c>
      <c r="N45" s="416" t="inlineStr">
        <is>
          <t>LEFT JOIN PG_BRONZE.T24CORE_CUSTOMER cus ON ld.CUSTOMER_ID = cus.RECID</t>
        </is>
      </c>
    </row>
    <row r="46" ht="15" customHeight="1" s="335">
      <c r="A46" s="416" t="inlineStr">
        <is>
          <t>PG_BRONZE</t>
        </is>
      </c>
      <c r="B46" s="416" t="inlineStr">
        <is>
          <t>T24CORE_CUSTOMER</t>
        </is>
      </c>
      <c r="C46" s="416" t="inlineStr">
        <is>
          <t>VN_TOWN</t>
        </is>
      </c>
      <c r="D46" s="416" t="inlineStr">
        <is>
          <t>TRIM(cus.VN_TOWN)</t>
        </is>
      </c>
      <c r="E46" s="416" t="inlineStr">
        <is>
          <t>Sao Ke Tin Dung</t>
        </is>
      </c>
      <c r="F46" s="416" t="inlineStr">
        <is>
          <t>Vn Town</t>
        </is>
      </c>
      <c r="G46" s="416" t="inlineStr">
        <is>
          <t>SAOKE_TINDUNG</t>
        </is>
      </c>
      <c r="H46" s="416" t="inlineStr">
        <is>
          <t>VN_TOWN</t>
        </is>
      </c>
      <c r="I46" s="482" t="inlineStr">
        <is>
          <t>VARCHAR2</t>
        </is>
      </c>
      <c r="J46" s="482" t="n">
        <v>255</v>
      </c>
      <c r="K46" s="416" t="inlineStr">
        <is>
          <t>Tên thành phố theo địa chỉ</t>
        </is>
      </c>
      <c r="L46" s="416" t="n"/>
      <c r="M46" s="416">
        <f>"COMMENT ON COLUMN PG_SILVER."&amp;G46&amp;"."&amp;H46&amp;" IS '"&amp;K46&amp;"';"</f>
        <v/>
      </c>
      <c r="N46" s="416" t="inlineStr">
        <is>
          <t>LEFT JOIN PG_BRONZE.T24CORE_CUSTOMER cus ON ld.CUSTOMER_ID = cus.RECID</t>
        </is>
      </c>
    </row>
    <row r="47" ht="15" customHeight="1" s="335">
      <c r="A47" s="416" t="inlineStr">
        <is>
          <t>PG_BRONZE</t>
        </is>
      </c>
      <c r="B47" s="416" t="inlineStr">
        <is>
          <t>T24CORE_DEPT_ACCT_OFFICER</t>
        </is>
      </c>
      <c r="C47" s="416" t="inlineStr">
        <is>
          <t>NAME</t>
        </is>
      </c>
      <c r="D47" s="416" t="inlineStr">
        <is>
          <t>TRIM(dao.NAME)</t>
        </is>
      </c>
      <c r="E47" s="416" t="inlineStr">
        <is>
          <t>Sao Ke Tin Dung</t>
        </is>
      </c>
      <c r="F47" s="416" t="inlineStr">
        <is>
          <t>Name</t>
        </is>
      </c>
      <c r="G47" s="416" t="inlineStr">
        <is>
          <t>SAOKE_TINDUNG</t>
        </is>
      </c>
      <c r="H47" s="416" t="inlineStr">
        <is>
          <t>NAME</t>
        </is>
      </c>
      <c r="I47" s="482" t="inlineStr">
        <is>
          <t>VARCHAR2</t>
        </is>
      </c>
      <c r="J47" s="482" t="n">
        <v>255</v>
      </c>
      <c r="K47" s="416" t="inlineStr">
        <is>
          <t>Tên nhân viên hạch toán</t>
        </is>
      </c>
      <c r="L47" s="416" t="n"/>
      <c r="M47" s="416">
        <f>"COMMENT ON COLUMN PG_SILVER."&amp;G47&amp;"."&amp;H47&amp;" IS '"&amp;K47&amp;"';"</f>
        <v/>
      </c>
      <c r="N47" s="416" t="inlineStr">
        <is>
          <t>LEFT JOIN PG_BRONZE.T24CORE_DEPT_ACCT_OFFICER dao ON ld.MB_RM_BANCHEO = dao.RECID</t>
        </is>
      </c>
    </row>
    <row r="48" ht="15" customHeight="1" s="335">
      <c r="A48" s="416" t="inlineStr">
        <is>
          <t>PG_BRONZE</t>
        </is>
      </c>
      <c r="B48" s="416" t="inlineStr">
        <is>
          <t>T24CORE_DEPT_ACCT_OFFICER</t>
        </is>
      </c>
      <c r="C48" s="416" t="inlineStr">
        <is>
          <t>RECID</t>
        </is>
      </c>
      <c r="D48" s="416" t="inlineStr">
        <is>
          <t>TRIM(dao.RECID)</t>
        </is>
      </c>
      <c r="E48" s="416" t="inlineStr">
        <is>
          <t>Sao Ke Tin Dung</t>
        </is>
      </c>
      <c r="F48" s="416" t="inlineStr">
        <is>
          <t>Dao Recid</t>
        </is>
      </c>
      <c r="G48" s="416" t="inlineStr">
        <is>
          <t>SAOKE_TINDUNG</t>
        </is>
      </c>
      <c r="H48" s="416" t="inlineStr">
        <is>
          <t>DAO_RECID</t>
        </is>
      </c>
      <c r="I48" s="482" t="inlineStr">
        <is>
          <t>VARCHAR2</t>
        </is>
      </c>
      <c r="J48" s="482" t="n">
        <v>100</v>
      </c>
      <c r="K48" s="416" t="inlineStr">
        <is>
          <t>Mã nhân viên hạch toán thứ 2</t>
        </is>
      </c>
      <c r="L48" s="416" t="n"/>
      <c r="M48" s="416">
        <f>"COMMENT ON COLUMN PG_SILVER."&amp;G48&amp;"."&amp;H48&amp;" IS '"&amp;K48&amp;"';"</f>
        <v/>
      </c>
      <c r="N48" s="416" t="inlineStr">
        <is>
          <t>LEFT JOIN PG_BRONZE.T24CORE_DEPT_ACCT_OFFICER dao ON ld.MB_RM_BANCHEO = dao.RECID</t>
        </is>
      </c>
    </row>
    <row r="49" ht="15" customHeight="1" s="335">
      <c r="A49" s="416" t="inlineStr">
        <is>
          <t>PG_BRONZE</t>
        </is>
      </c>
      <c r="B49" s="416" t="inlineStr">
        <is>
          <t>T24CORE_LD_LOANS_AND_DEPOSITS</t>
        </is>
      </c>
      <c r="C49" s="416" t="inlineStr">
        <is>
          <t>ACC_FCC</t>
        </is>
      </c>
      <c r="D49" s="416" t="inlineStr">
        <is>
          <t>TRIM(ld.ACC_FCC)</t>
        </is>
      </c>
      <c r="E49" s="416" t="inlineStr">
        <is>
          <t>Sao Ke Tin Dung</t>
        </is>
      </c>
      <c r="F49" s="416" t="inlineStr">
        <is>
          <t>Acc Fcc</t>
        </is>
      </c>
      <c r="G49" s="416" t="inlineStr">
        <is>
          <t>SAOKE_TINDUNG</t>
        </is>
      </c>
      <c r="H49" s="416" t="inlineStr">
        <is>
          <t>ACC_FCC</t>
        </is>
      </c>
      <c r="I49" s="482" t="inlineStr">
        <is>
          <t>VARCHAR2</t>
        </is>
      </c>
      <c r="J49" s="482" t="n">
        <v>100</v>
      </c>
      <c r="K49" s="416" t="inlineStr">
        <is>
          <t>Mã hợp đồng FlexCube</t>
        </is>
      </c>
      <c r="L49" s="416" t="n"/>
      <c r="M49" s="416">
        <f>"COMMENT ON COLUMN PG_SILVER."&amp;G49&amp;"."&amp;H49&amp;" IS '"&amp;K49&amp;"';"</f>
        <v/>
      </c>
      <c r="N49" s="416" t="inlineStr">
        <is>
          <t>FROM PG_BRONZE.T24CORE_LD_LOANS_AND_DEPOSITS ld WHERE NVL(ld.RECORD_STATUS, '_') &lt;&gt; 'REVE'</t>
        </is>
      </c>
    </row>
    <row r="50" ht="15" customHeight="1" s="335">
      <c r="A50" s="416" t="inlineStr">
        <is>
          <t>PG_BRONZE</t>
        </is>
      </c>
      <c r="B50" s="416" t="inlineStr">
        <is>
          <t>T24CORE_LD_LOANS_AND_DEPOSITS</t>
        </is>
      </c>
      <c r="C50" s="416" t="inlineStr">
        <is>
          <t>AMOUNT</t>
        </is>
      </c>
      <c r="D50" s="416" t="inlineStr">
        <is>
          <t>COALESCE(CAST(ld.AMOUNT AS DECIMAL(25,5)), 0)</t>
        </is>
      </c>
      <c r="E50" s="416" t="inlineStr">
        <is>
          <t>Sao Ke Tin Dung</t>
        </is>
      </c>
      <c r="F50" s="416" t="inlineStr">
        <is>
          <t>Amount</t>
        </is>
      </c>
      <c r="G50" s="416" t="inlineStr">
        <is>
          <t>SAOKE_TINDUNG</t>
        </is>
      </c>
      <c r="H50" s="416" t="inlineStr">
        <is>
          <t>AMOUNT</t>
        </is>
      </c>
      <c r="I50" s="482" t="inlineStr">
        <is>
          <t>NUMBER</t>
        </is>
      </c>
      <c r="J50" s="482" t="n">
        <v>25.5</v>
      </c>
      <c r="K50" s="416" t="inlineStr">
        <is>
          <t>Dự nợ hợp đồng</t>
        </is>
      </c>
      <c r="L50" s="416" t="n"/>
      <c r="M50" s="416">
        <f>"COMMENT ON COLUMN PG_SILVER."&amp;G50&amp;"."&amp;H50&amp;" IS '"&amp;K50&amp;"';"</f>
        <v/>
      </c>
      <c r="N50" s="416" t="inlineStr">
        <is>
          <t>FROM PG_BRONZE.T24CORE_LD_LOANS_AND_DEPOSITS ld WHERE NVL(ld.RECORD_STATUS, '_') &lt;&gt; 'REVE'</t>
        </is>
      </c>
    </row>
    <row r="51" ht="15" customHeight="1" s="335">
      <c r="A51" s="416" t="inlineStr">
        <is>
          <t>PG_BRONZE</t>
        </is>
      </c>
      <c r="B51" s="416" t="inlineStr">
        <is>
          <t>T24CORE_LD_LOANS_AND_DEPOSITS</t>
        </is>
      </c>
      <c r="C51" s="416" t="inlineStr">
        <is>
          <t>APPROVE_AMOUNT</t>
        </is>
      </c>
      <c r="D51" s="416" t="inlineStr">
        <is>
          <t>COALESCE(CAST(ld.APPROVE_AMOUNT AS DECIMAL(25,5)), 0)</t>
        </is>
      </c>
      <c r="E51" s="416" t="inlineStr">
        <is>
          <t>Sao Ke Tin Dung</t>
        </is>
      </c>
      <c r="F51" s="416" t="inlineStr">
        <is>
          <t>Approve Amount</t>
        </is>
      </c>
      <c r="G51" s="416" t="inlineStr">
        <is>
          <t>SAOKE_TINDUNG</t>
        </is>
      </c>
      <c r="H51" s="416" t="inlineStr">
        <is>
          <t>APPROVE_AMOUNT</t>
        </is>
      </c>
      <c r="I51" s="482" t="inlineStr">
        <is>
          <t>NUMBER</t>
        </is>
      </c>
      <c r="J51" s="482" t="n">
        <v>25.5</v>
      </c>
      <c r="K51" s="416" t="inlineStr">
        <is>
          <t>Giá trị phê duyệt</t>
        </is>
      </c>
      <c r="L51" s="416" t="n"/>
      <c r="M51" s="416">
        <f>"COMMENT ON COLUMN PG_SILVER."&amp;G51&amp;"."&amp;H51&amp;" IS '"&amp;K51&amp;"';"</f>
        <v/>
      </c>
      <c r="N51" s="416" t="inlineStr">
        <is>
          <t>FROM PG_BRONZE.T24CORE_LD_LOANS_AND_DEPOSITS ld WHERE NVL(ld.RECORD_STATUS, '_') &lt;&gt; 'REVE'</t>
        </is>
      </c>
    </row>
    <row r="52" ht="15" customHeight="1" s="335">
      <c r="A52" s="416" t="inlineStr">
        <is>
          <t>PG_BRONZE</t>
        </is>
      </c>
      <c r="B52" s="416" t="inlineStr">
        <is>
          <t>T24CORE_LD_LOANS_AND_DEPOSITS</t>
        </is>
      </c>
      <c r="C52" s="416" t="inlineStr">
        <is>
          <t>AUTHORISER</t>
        </is>
      </c>
      <c r="D52" s="416" t="inlineStr">
        <is>
          <t>TRIM(ld.AUTHORISER)</t>
        </is>
      </c>
      <c r="E52" s="416" t="inlineStr">
        <is>
          <t>Sao Ke Tin Dung</t>
        </is>
      </c>
      <c r="F52" s="416" t="inlineStr">
        <is>
          <t>Authoriser</t>
        </is>
      </c>
      <c r="G52" s="416" t="inlineStr">
        <is>
          <t>SAOKE_TINDUNG</t>
        </is>
      </c>
      <c r="H52" s="416" t="inlineStr">
        <is>
          <t>AUTHORISER</t>
        </is>
      </c>
      <c r="I52" s="482" t="inlineStr">
        <is>
          <t>VARCHAR2</t>
        </is>
      </c>
      <c r="J52" s="482" t="n">
        <v>100</v>
      </c>
      <c r="K52" s="416" t="inlineStr">
        <is>
          <t>Mã người phê duyệt</t>
        </is>
      </c>
      <c r="L52" s="416" t="n"/>
      <c r="M52" s="416">
        <f>"COMMENT ON COLUMN PG_SILVER."&amp;G52&amp;"."&amp;H52&amp;" IS '"&amp;K52&amp;"';"</f>
        <v/>
      </c>
      <c r="N52" s="416" t="inlineStr">
        <is>
          <t>FROM PG_BRONZE.T24CORE_LD_LOANS_AND_DEPOSITS ld WHERE NVL(ld.RECORD_STATUS, '_') &lt;&gt; 'REVE'</t>
        </is>
      </c>
    </row>
    <row r="53" ht="15" customHeight="1" s="335">
      <c r="A53" s="416" t="inlineStr">
        <is>
          <t>PG_BRONZE</t>
        </is>
      </c>
      <c r="B53" s="416" t="inlineStr">
        <is>
          <t>T24CORE_LD_LOANS_AND_DEPOSITS</t>
        </is>
      </c>
      <c r="C53" s="416" t="inlineStr">
        <is>
          <t>CATEGORY</t>
        </is>
      </c>
      <c r="D53" s="416" t="inlineStr">
        <is>
          <t>TRIM(ld.CATEGORY)</t>
        </is>
      </c>
      <c r="E53" s="416" t="inlineStr">
        <is>
          <t>Sao Ke Tin Dung</t>
        </is>
      </c>
      <c r="F53" s="416" t="inlineStr">
        <is>
          <t>Category</t>
        </is>
      </c>
      <c r="G53" s="416" t="inlineStr">
        <is>
          <t>SAOKE_TINDUNG</t>
        </is>
      </c>
      <c r="H53" s="416" t="inlineStr">
        <is>
          <t>CATEGORY</t>
        </is>
      </c>
      <c r="I53" s="482" t="inlineStr">
        <is>
          <t>VARCHAR2</t>
        </is>
      </c>
      <c r="J53" s="482" t="n">
        <v>100</v>
      </c>
      <c r="K53" s="416" t="inlineStr">
        <is>
          <t>Mã phân loại sản phẩm</t>
        </is>
      </c>
      <c r="L53" s="416" t="n"/>
      <c r="M53" s="416">
        <f>"COMMENT ON COLUMN PG_SILVER."&amp;G53&amp;"."&amp;H53&amp;" IS '"&amp;K53&amp;"';"</f>
        <v/>
      </c>
      <c r="N53" s="416" t="inlineStr">
        <is>
          <t>FROM PG_BRONZE.T24CORE_LD_LOANS_AND_DEPOSITS ld WHERE NVL(ld.RECORD_STATUS, '_') &lt;&gt; 'REVE'</t>
        </is>
      </c>
    </row>
    <row r="54" ht="15" customHeight="1" s="335">
      <c r="A54" s="416" t="inlineStr">
        <is>
          <t>PG_BRONZE</t>
        </is>
      </c>
      <c r="B54" s="416" t="inlineStr">
        <is>
          <t>T24CORE_LD_LOANS_AND_DEPOSITS</t>
        </is>
      </c>
      <c r="C54" s="416" t="inlineStr">
        <is>
          <t>CO_CODE</t>
        </is>
      </c>
      <c r="D54" s="416" t="inlineStr">
        <is>
          <t>TRIM(ld.CO_CODE)</t>
        </is>
      </c>
      <c r="E54" s="416" t="inlineStr">
        <is>
          <t>Sao Ke Tin Dung</t>
        </is>
      </c>
      <c r="F54" s="416" t="inlineStr">
        <is>
          <t>Co Code</t>
        </is>
      </c>
      <c r="G54" s="416" t="inlineStr">
        <is>
          <t>SAOKE_TINDUNG</t>
        </is>
      </c>
      <c r="H54" s="416" t="inlineStr">
        <is>
          <t>CO_CODE</t>
        </is>
      </c>
      <c r="I54" s="482" t="inlineStr">
        <is>
          <t>VARCHAR2</t>
        </is>
      </c>
      <c r="J54" s="482" t="n">
        <v>100</v>
      </c>
      <c r="K54" s="416" t="inlineStr">
        <is>
          <t>Mã chi nhánh quản lý hiện tại</t>
        </is>
      </c>
      <c r="L54" s="416" t="n"/>
      <c r="M54" s="416">
        <f>"COMMENT ON COLUMN PG_SILVER."&amp;G54&amp;"."&amp;H54&amp;" IS '"&amp;K54&amp;"';"</f>
        <v/>
      </c>
      <c r="N54" s="416" t="inlineStr">
        <is>
          <t>FROM PG_BRONZE.T24CORE_LD_LOANS_AND_DEPOSITS ld WHERE NVL(ld.RECORD_STATUS, '_') &lt;&gt; 'REVE'</t>
        </is>
      </c>
    </row>
    <row r="55" ht="15" customHeight="1" s="335">
      <c r="A55" s="416" t="inlineStr">
        <is>
          <t>PG_BRONZE</t>
        </is>
      </c>
      <c r="B55" s="416" t="inlineStr">
        <is>
          <t>T24CORE_LD_LOANS_AND_DEPOSITS</t>
        </is>
      </c>
      <c r="C55" s="416" t="inlineStr">
        <is>
          <t>COMMIT_ACTION</t>
        </is>
      </c>
      <c r="D55" s="416" t="inlineStr">
        <is>
          <t>TRIM(ld.COMMIT_ACTION)</t>
        </is>
      </c>
      <c r="E55" s="416" t="inlineStr">
        <is>
          <t>Sao Ke Tin Dung</t>
        </is>
      </c>
      <c r="F55" s="416" t="inlineStr">
        <is>
          <t>Commit Action</t>
        </is>
      </c>
      <c r="G55" s="416" t="inlineStr">
        <is>
          <t>SAOKE_TINDUNG</t>
        </is>
      </c>
      <c r="H55" s="416" t="inlineStr">
        <is>
          <t>COMMIT_ACTION</t>
        </is>
      </c>
      <c r="I55" s="482" t="inlineStr">
        <is>
          <t>VARCHAR2</t>
        </is>
      </c>
      <c r="J55" s="482" t="n">
        <v>100</v>
      </c>
      <c r="K55" s="416" t="inlineStr">
        <is>
          <t>Trường COMMIT_ACTION của bảng nguồn T24CORE.LD_LOANS_AND_DEPOSITS</t>
        </is>
      </c>
      <c r="L55" s="416" t="n"/>
      <c r="M55" s="416">
        <f>"COMMENT ON COLUMN PG_SILVER."&amp;G55&amp;"."&amp;H55&amp;" IS '"&amp;K55&amp;"';"</f>
        <v/>
      </c>
      <c r="N55" s="416" t="inlineStr">
        <is>
          <t>FROM PG_BRONZE.T24CORE_LD_LOANS_AND_DEPOSITS ld WHERE NVL(ld.RECORD_STATUS, '_') &lt;&gt; 'REVE'</t>
        </is>
      </c>
    </row>
    <row r="56" ht="15" customHeight="1" s="335">
      <c r="A56" s="416" t="inlineStr">
        <is>
          <t>PG_BRONZE</t>
        </is>
      </c>
      <c r="B56" s="416" t="inlineStr">
        <is>
          <t>T24CORE_LD_LOANS_AND_DEPOSITS</t>
        </is>
      </c>
      <c r="C56" s="416" t="inlineStr">
        <is>
          <t>CRA_LD</t>
        </is>
      </c>
      <c r="D56" s="416" t="inlineStr">
        <is>
          <t>TRIM(ld.CRA_LD)</t>
        </is>
      </c>
      <c r="E56" s="416" t="inlineStr">
        <is>
          <t>Sao Ke Tin Dung</t>
        </is>
      </c>
      <c r="F56" s="416" t="inlineStr">
        <is>
          <t>Cra Ld</t>
        </is>
      </c>
      <c r="G56" s="416" t="inlineStr">
        <is>
          <t>SAOKE_TINDUNG</t>
        </is>
      </c>
      <c r="H56" s="416" t="inlineStr">
        <is>
          <t>CRA_LD</t>
        </is>
      </c>
      <c r="I56" s="482" t="inlineStr">
        <is>
          <t>VARCHAR2</t>
        </is>
      </c>
      <c r="J56" s="482" t="n">
        <v>100</v>
      </c>
      <c r="K56" s="416" t="inlineStr">
        <is>
          <t>Số hồ sơ giải ngân</t>
        </is>
      </c>
      <c r="L56" s="416" t="n"/>
      <c r="M56" s="416">
        <f>"COMMENT ON COLUMN PG_SILVER."&amp;G56&amp;"."&amp;H56&amp;" IS '"&amp;K56&amp;"';"</f>
        <v/>
      </c>
      <c r="N56" s="416" t="inlineStr">
        <is>
          <t>FROM PG_BRONZE.T24CORE_LD_LOANS_AND_DEPOSITS ld WHERE NVL(ld.RECORD_STATUS, '_') &lt;&gt; 'REVE'</t>
        </is>
      </c>
    </row>
    <row r="57" ht="15" customHeight="1" s="335">
      <c r="A57" s="416" t="inlineStr">
        <is>
          <t>PG_BRONZE</t>
        </is>
      </c>
      <c r="B57" s="416" t="inlineStr">
        <is>
          <t>T24CORE_LD_LOANS_AND_DEPOSITS</t>
        </is>
      </c>
      <c r="C57" s="416" t="inlineStr">
        <is>
          <t>CURR_NO</t>
        </is>
      </c>
      <c r="D57" s="416" t="inlineStr">
        <is>
          <t>COALESCE(CAST(ld.CURR_NO AS DECIMAL(10)), 0)</t>
        </is>
      </c>
      <c r="E57" s="416" t="inlineStr">
        <is>
          <t>Sao Ke Tin Dung</t>
        </is>
      </c>
      <c r="F57" s="416" t="inlineStr">
        <is>
          <t>Curr No</t>
        </is>
      </c>
      <c r="G57" s="416" t="inlineStr">
        <is>
          <t>SAOKE_TINDUNG</t>
        </is>
      </c>
      <c r="H57" s="416" t="inlineStr">
        <is>
          <t>CURR_NO</t>
        </is>
      </c>
      <c r="I57" s="482" t="inlineStr">
        <is>
          <t>NUMBER</t>
        </is>
      </c>
      <c r="J57" s="482" t="n">
        <v>10</v>
      </c>
      <c r="K57" s="416" t="inlineStr">
        <is>
          <t>Version bản ghi hiện tại</t>
        </is>
      </c>
      <c r="L57" s="416" t="n"/>
      <c r="M57" s="416">
        <f>"COMMENT ON COLUMN PG_SILVER."&amp;G57&amp;"."&amp;H57&amp;" IS '"&amp;K57&amp;"';"</f>
        <v/>
      </c>
      <c r="N57" s="416" t="inlineStr">
        <is>
          <t>FROM PG_BRONZE.T24CORE_LD_LOANS_AND_DEPOSITS ld WHERE NVL(ld.RECORD_STATUS, '_') &lt;&gt; 'REVE'</t>
        </is>
      </c>
    </row>
    <row r="58" ht="15" customHeight="1" s="335">
      <c r="A58" s="416" t="inlineStr">
        <is>
          <t>PG_BRONZE</t>
        </is>
      </c>
      <c r="B58" s="416" t="inlineStr">
        <is>
          <t>T24CORE_LD_LOANS_AND_DEPOSITS</t>
        </is>
      </c>
      <c r="C58" s="416" t="inlineStr">
        <is>
          <t>CURRENCY</t>
        </is>
      </c>
      <c r="D58" s="416" t="inlineStr">
        <is>
          <t>TRIM(ld.CURRENCY)</t>
        </is>
      </c>
      <c r="E58" s="416" t="inlineStr">
        <is>
          <t>Sao Ke Tin Dung</t>
        </is>
      </c>
      <c r="F58" s="416" t="inlineStr">
        <is>
          <t>Currency</t>
        </is>
      </c>
      <c r="G58" s="416" t="inlineStr">
        <is>
          <t>SAOKE_TINDUNG</t>
        </is>
      </c>
      <c r="H58" s="416" t="inlineStr">
        <is>
          <t>CURRENCY</t>
        </is>
      </c>
      <c r="I58" s="482" t="inlineStr">
        <is>
          <t>VARCHAR2</t>
        </is>
      </c>
      <c r="J58" s="482" t="n">
        <v>100</v>
      </c>
      <c r="K58" s="416" t="inlineStr">
        <is>
          <t>Loại tiền</t>
        </is>
      </c>
      <c r="L58" s="416" t="n"/>
      <c r="M58" s="416">
        <f>"COMMENT ON COLUMN PG_SILVER."&amp;G58&amp;"."&amp;H58&amp;" IS '"&amp;K58&amp;"';"</f>
        <v/>
      </c>
      <c r="N58" s="416" t="inlineStr">
        <is>
          <t>FROM PG_BRONZE.T24CORE_LD_LOANS_AND_DEPOSITS ld WHERE NVL(ld.RECORD_STATUS, '_') &lt;&gt; 'REVE'</t>
        </is>
      </c>
    </row>
    <row r="59" ht="15" customHeight="1" s="335">
      <c r="A59" s="416" t="inlineStr">
        <is>
          <t>PG_BRONZE</t>
        </is>
      </c>
      <c r="B59" s="416" t="inlineStr">
        <is>
          <t>T24CORE_LD_LOANS_AND_DEPOSITS</t>
        </is>
      </c>
      <c r="C59" s="416" t="inlineStr">
        <is>
          <t>CUSTOMER_ID</t>
        </is>
      </c>
      <c r="D59" s="416" t="inlineStr">
        <is>
          <t>TRIM(ld.CUSTOMER_ID)</t>
        </is>
      </c>
      <c r="E59" s="416" t="inlineStr">
        <is>
          <t>Sao Ke Tin Dung</t>
        </is>
      </c>
      <c r="F59" s="416" t="inlineStr">
        <is>
          <t>Customer Id</t>
        </is>
      </c>
      <c r="G59" s="416" t="inlineStr">
        <is>
          <t>SAOKE_TINDUNG</t>
        </is>
      </c>
      <c r="H59" s="416" t="inlineStr">
        <is>
          <t>CUSTOMER_ID</t>
        </is>
      </c>
      <c r="I59" s="482" t="inlineStr">
        <is>
          <t>VARCHAR2</t>
        </is>
      </c>
      <c r="J59" s="482" t="n">
        <v>100</v>
      </c>
      <c r="K59" s="416" t="inlineStr">
        <is>
          <t>Mã khách hàng</t>
        </is>
      </c>
      <c r="L59" s="416" t="n"/>
      <c r="M59" s="416">
        <f>"COMMENT ON COLUMN PG_SILVER."&amp;G59&amp;"."&amp;H59&amp;" IS '"&amp;K59&amp;"';"</f>
        <v/>
      </c>
      <c r="N59" s="416" t="inlineStr">
        <is>
          <t>FROM PG_BRONZE.T24CORE_LD_LOANS_AND_DEPOSITS ld WHERE NVL(ld.RECORD_STATUS, '_') &lt;&gt; 'REVE'</t>
        </is>
      </c>
    </row>
    <row r="60" ht="15" customHeight="1" s="335">
      <c r="A60" s="416" t="inlineStr">
        <is>
          <t>PG_BRONZE</t>
        </is>
      </c>
      <c r="B60" s="416" t="inlineStr">
        <is>
          <t>T24CORE_LD_LOANS_AND_DEPOSITS</t>
        </is>
      </c>
      <c r="C60" s="416" t="inlineStr">
        <is>
          <t>DATE_TIME</t>
        </is>
      </c>
      <c r="D60" s="416" t="inlineStr">
        <is>
          <t>TO_DATE(CAST(ld.DATE_TIME AS VARCHAR(20)), 'YYYYMMDD')</t>
        </is>
      </c>
      <c r="E60" s="416" t="inlineStr">
        <is>
          <t>Sao Ke Tin Dung</t>
        </is>
      </c>
      <c r="F60" s="416" t="inlineStr">
        <is>
          <t>Date Time</t>
        </is>
      </c>
      <c r="G60" s="416" t="inlineStr">
        <is>
          <t>SAOKE_TINDUNG</t>
        </is>
      </c>
      <c r="H60" s="416" t="inlineStr">
        <is>
          <t>DATE_TIME</t>
        </is>
      </c>
      <c r="I60" s="482" t="inlineStr">
        <is>
          <t>DATE</t>
        </is>
      </c>
      <c r="J60" s="482" t="n"/>
      <c r="K60" s="416" t="inlineStr">
        <is>
          <t>Ngày nhập liệu Core</t>
        </is>
      </c>
      <c r="L60" s="416" t="n"/>
      <c r="M60" s="416">
        <f>"COMMENT ON COLUMN PG_SILVER."&amp;G60&amp;"."&amp;H60&amp;" IS '"&amp;K60&amp;"';"</f>
        <v/>
      </c>
      <c r="N60" s="416" t="inlineStr">
        <is>
          <t>FROM PG_BRONZE.T24CORE_LD_LOANS_AND_DEPOSITS ld WHERE NVL(ld.RECORD_STATUS, '_') &lt;&gt; 'REVE'</t>
        </is>
      </c>
    </row>
    <row r="61" ht="15" customHeight="1" s="335">
      <c r="A61" s="416" t="inlineStr">
        <is>
          <t>PG_BRONZE</t>
        </is>
      </c>
      <c r="B61" s="416" t="inlineStr">
        <is>
          <t>T24CORE_LD_LOANS_AND_DEPOSITS</t>
        </is>
      </c>
      <c r="C61" s="416" t="inlineStr">
        <is>
          <t>DRAWDOWN_NET_AMT</t>
        </is>
      </c>
      <c r="D61" s="416" t="inlineStr">
        <is>
          <t>COALESCE(CAST(ld.DRAWDOWN_NET_AMT AS DECIMAL(25,5)), 0)</t>
        </is>
      </c>
      <c r="E61" s="416" t="inlineStr">
        <is>
          <t>Sao Ke Tin Dung</t>
        </is>
      </c>
      <c r="F61" s="416" t="inlineStr">
        <is>
          <t>Drawdown Net Amt</t>
        </is>
      </c>
      <c r="G61" s="416" t="inlineStr">
        <is>
          <t>SAOKE_TINDUNG</t>
        </is>
      </c>
      <c r="H61" s="416" t="inlineStr">
        <is>
          <t>DRAWDOWN_NET_AMT</t>
        </is>
      </c>
      <c r="I61" s="482" t="inlineStr">
        <is>
          <t>NUMBER</t>
        </is>
      </c>
      <c r="J61" s="482" t="n">
        <v>25.5</v>
      </c>
      <c r="K61" s="416" t="inlineStr">
        <is>
          <t>Số tiền thực tế giải ngân</t>
        </is>
      </c>
      <c r="L61" s="416" t="n"/>
      <c r="M61" s="416">
        <f>"COMMENT ON COLUMN PG_SILVER."&amp;G61&amp;"."&amp;H61&amp;" IS '"&amp;K61&amp;"';"</f>
        <v/>
      </c>
      <c r="N61" s="416" t="inlineStr">
        <is>
          <t>FROM PG_BRONZE.T24CORE_LD_LOANS_AND_DEPOSITS ld WHERE NVL(ld.RECORD_STATUS, '_') &lt;&gt; 'REVE'</t>
        </is>
      </c>
    </row>
    <row r="62" ht="15" customHeight="1" s="335">
      <c r="A62" s="416" t="inlineStr">
        <is>
          <t>PG_BRONZE</t>
        </is>
      </c>
      <c r="B62" s="416" t="inlineStr">
        <is>
          <t>T24CORE_LD_LOANS_AND_DEPOSITS</t>
        </is>
      </c>
      <c r="C62" s="416" t="inlineStr">
        <is>
          <t>EXCG_RATE</t>
        </is>
      </c>
      <c r="D62" s="416" t="inlineStr">
        <is>
          <t>COALESCE(CAST(ld.EXCG_RATE AS DECIMAL(13,7)), 0)</t>
        </is>
      </c>
      <c r="E62" s="416" t="inlineStr">
        <is>
          <t>Sao Ke Tin Dung</t>
        </is>
      </c>
      <c r="F62" s="416" t="inlineStr">
        <is>
          <t>Excg Rate</t>
        </is>
      </c>
      <c r="G62" s="416" t="inlineStr">
        <is>
          <t>SAOKE_TINDUNG</t>
        </is>
      </c>
      <c r="H62" s="416" t="inlineStr">
        <is>
          <t>EXCG_RATE</t>
        </is>
      </c>
      <c r="I62" s="482" t="inlineStr">
        <is>
          <t>NUMBER</t>
        </is>
      </c>
      <c r="J62" s="482" t="n">
        <v>13.7</v>
      </c>
      <c r="K62" s="416" t="inlineStr">
        <is>
          <t>Tỷ giá quy đổi</t>
        </is>
      </c>
      <c r="L62" s="416" t="n"/>
      <c r="M62" s="416">
        <f>"COMMENT ON COLUMN PG_SILVER."&amp;G62&amp;"."&amp;H62&amp;" IS '"&amp;K62&amp;"';"</f>
        <v/>
      </c>
      <c r="N62" s="416" t="inlineStr">
        <is>
          <t>FROM PG_BRONZE.T24CORE_LD_LOANS_AND_DEPOSITS ld WHERE NVL(ld.RECORD_STATUS, '_') &lt;&gt; 'REVE'</t>
        </is>
      </c>
    </row>
    <row r="63" ht="15" customHeight="1" s="335">
      <c r="A63" s="416" t="inlineStr">
        <is>
          <t>PG_BRONZE</t>
        </is>
      </c>
      <c r="B63" s="416" t="inlineStr">
        <is>
          <t>T24CORE_LD_LOANS_AND_DEPOSITS</t>
        </is>
      </c>
      <c r="C63" s="416" t="inlineStr">
        <is>
          <t>FCC_LIMIT</t>
        </is>
      </c>
      <c r="D63" s="416" t="inlineStr">
        <is>
          <t>TRIM(ld.FCC_LIMIT)</t>
        </is>
      </c>
      <c r="E63" s="416" t="inlineStr">
        <is>
          <t>Sao Ke Tin Dung</t>
        </is>
      </c>
      <c r="F63" s="416" t="inlineStr">
        <is>
          <t>Fcc Limit</t>
        </is>
      </c>
      <c r="G63" s="416" t="inlineStr">
        <is>
          <t>SAOKE_TINDUNG</t>
        </is>
      </c>
      <c r="H63" s="416" t="inlineStr">
        <is>
          <t>FCC_LIMIT</t>
        </is>
      </c>
      <c r="I63" s="482" t="inlineStr">
        <is>
          <t>VARCHAR2</t>
        </is>
      </c>
      <c r="J63" s="482" t="n">
        <v>100</v>
      </c>
      <c r="K63" s="416" t="inlineStr">
        <is>
          <t>Mã hạn mức trên Flexcube</t>
        </is>
      </c>
      <c r="L63" s="416" t="n"/>
      <c r="M63" s="416">
        <f>"COMMENT ON COLUMN PG_SILVER."&amp;G63&amp;"."&amp;H63&amp;" IS '"&amp;K63&amp;"';"</f>
        <v/>
      </c>
      <c r="N63" s="416" t="inlineStr">
        <is>
          <t>FROM PG_BRONZE.T24CORE_LD_LOANS_AND_DEPOSITS ld WHERE NVL(ld.RECORD_STATUS, '_') &lt;&gt; 'REVE'</t>
        </is>
      </c>
    </row>
    <row r="64" ht="15" customHeight="1" s="335">
      <c r="A64" s="416" t="inlineStr">
        <is>
          <t>PG_BRONZE</t>
        </is>
      </c>
      <c r="B64" s="416" t="inlineStr">
        <is>
          <t>T24CORE_LD_LOANS_AND_DEPOSITS</t>
        </is>
      </c>
      <c r="C64" s="416" t="inlineStr">
        <is>
          <t>FIN_MAT_DATE</t>
        </is>
      </c>
      <c r="D64" s="416" t="inlineStr">
        <is>
          <t>TO_DATE(CAST(ld.FIN_MAT_DATE AS VARCHAR(20)), 'YYYYMMDD')</t>
        </is>
      </c>
      <c r="E64" s="416" t="inlineStr">
        <is>
          <t>Sao Ke Tin Dung</t>
        </is>
      </c>
      <c r="F64" s="416" t="inlineStr">
        <is>
          <t>Fin Mat Date</t>
        </is>
      </c>
      <c r="G64" s="416" t="inlineStr">
        <is>
          <t>SAOKE_TINDUNG</t>
        </is>
      </c>
      <c r="H64" s="416" t="inlineStr">
        <is>
          <t>FIN_MAT_DATE</t>
        </is>
      </c>
      <c r="I64" s="482" t="inlineStr">
        <is>
          <t>DATE</t>
        </is>
      </c>
      <c r="J64" s="482" t="n"/>
      <c r="K64" s="416" t="inlineStr">
        <is>
          <t>Ngày đáo hạn hợp đồng</t>
        </is>
      </c>
      <c r="L64" s="416" t="n"/>
      <c r="M64" s="416">
        <f>"COMMENT ON COLUMN PG_SILVER."&amp;G64&amp;"."&amp;H64&amp;" IS '"&amp;K64&amp;"';"</f>
        <v/>
      </c>
      <c r="N64" s="416" t="inlineStr">
        <is>
          <t>FROM PG_BRONZE.T24CORE_LD_LOANS_AND_DEPOSITS ld WHERE NVL(ld.RECORD_STATUS, '_') &lt;&gt; 'REVE'</t>
        </is>
      </c>
    </row>
    <row r="65" ht="15" customHeight="1" s="335">
      <c r="A65" s="416" t="inlineStr">
        <is>
          <t>PG_BRONZE</t>
        </is>
      </c>
      <c r="B65" s="416" t="inlineStr">
        <is>
          <t>T24CORE_LD_LOANS_AND_DEPOSITS</t>
        </is>
      </c>
      <c r="C65" s="416" t="inlineStr">
        <is>
          <t>ID</t>
        </is>
      </c>
      <c r="D65" s="416" t="inlineStr">
        <is>
          <t>TRIM(ld.ID)</t>
        </is>
      </c>
      <c r="E65" s="416" t="inlineStr">
        <is>
          <t>Sao Ke Tin Dung</t>
        </is>
      </c>
      <c r="F65" s="416" t="inlineStr">
        <is>
          <t>Id</t>
        </is>
      </c>
      <c r="G65" s="416" t="inlineStr">
        <is>
          <t>SAOKE_TINDUNG</t>
        </is>
      </c>
      <c r="H65" s="416" t="inlineStr">
        <is>
          <t>ID</t>
        </is>
      </c>
      <c r="I65" s="482" t="inlineStr">
        <is>
          <t>VARCHAR2</t>
        </is>
      </c>
      <c r="J65" s="482" t="n">
        <v>100</v>
      </c>
      <c r="K65" s="416" t="inlineStr">
        <is>
          <t>Thay = trường RECID</t>
        </is>
      </c>
      <c r="L65" s="416" t="n"/>
      <c r="M65" s="416">
        <f>"COMMENT ON COLUMN PG_SILVER."&amp;G65&amp;"."&amp;H65&amp;" IS '"&amp;K65&amp;"';"</f>
        <v/>
      </c>
      <c r="N65" s="416" t="inlineStr">
        <is>
          <t>FROM PG_BRONZE.T24CORE_LD_LOANS_AND_DEPOSITS ld WHERE NVL(ld.RECORD_STATUS, '_') &lt;&gt; 'REVE'</t>
        </is>
      </c>
    </row>
    <row r="66" ht="15" customHeight="1" s="335">
      <c r="A66" s="416" t="inlineStr">
        <is>
          <t>PG_BRONZE</t>
        </is>
      </c>
      <c r="B66" s="416" t="inlineStr">
        <is>
          <t>T24CORE_LD_LOANS_AND_DEPOSITS</t>
        </is>
      </c>
      <c r="C66" s="416" t="inlineStr">
        <is>
          <t>INPUTTER</t>
        </is>
      </c>
      <c r="D66" s="416" t="inlineStr">
        <is>
          <t>TRIM(ld.INPUTTER)</t>
        </is>
      </c>
      <c r="E66" s="416" t="inlineStr">
        <is>
          <t>Sao Ke Tin Dung</t>
        </is>
      </c>
      <c r="F66" s="416" t="inlineStr">
        <is>
          <t>Inputter</t>
        </is>
      </c>
      <c r="G66" s="416" t="inlineStr">
        <is>
          <t>SAOKE_TINDUNG</t>
        </is>
      </c>
      <c r="H66" s="416" t="inlineStr">
        <is>
          <t>INPUTTER</t>
        </is>
      </c>
      <c r="I66" s="482" t="inlineStr">
        <is>
          <t>VARCHAR2</t>
        </is>
      </c>
      <c r="J66" s="482" t="n">
        <v>100</v>
      </c>
      <c r="K66" s="416" t="inlineStr">
        <is>
          <t>ID người nhập liệu</t>
        </is>
      </c>
      <c r="L66" s="416" t="n"/>
      <c r="M66" s="416">
        <f>"COMMENT ON COLUMN PG_SILVER."&amp;G66&amp;"."&amp;H66&amp;" IS '"&amp;K66&amp;"';"</f>
        <v/>
      </c>
      <c r="N66" s="416" t="inlineStr">
        <is>
          <t>FROM PG_BRONZE.T24CORE_LD_LOANS_AND_DEPOSITS ld WHERE NVL(ld.RECORD_STATUS, '_') &lt;&gt; 'REVE'</t>
        </is>
      </c>
    </row>
    <row r="67" ht="15" customHeight="1" s="335">
      <c r="A67" s="416" t="inlineStr">
        <is>
          <t>PG_BRONZE</t>
        </is>
      </c>
      <c r="B67" s="416" t="inlineStr">
        <is>
          <t>T24CORE_LD_LOANS_AND_DEPOSITS</t>
        </is>
      </c>
      <c r="C67" s="416" t="inlineStr">
        <is>
          <t>INT_LIQ_ACCT</t>
        </is>
      </c>
      <c r="D67" s="416" t="inlineStr">
        <is>
          <t>TRIM(ld.INT_LIQ_ACCT)</t>
        </is>
      </c>
      <c r="E67" s="416" t="inlineStr">
        <is>
          <t>Sao Ke Tin Dung</t>
        </is>
      </c>
      <c r="F67" s="416" t="inlineStr">
        <is>
          <t>Int Liq Acct</t>
        </is>
      </c>
      <c r="G67" s="416" t="inlineStr">
        <is>
          <t>SAOKE_TINDUNG</t>
        </is>
      </c>
      <c r="H67" s="416" t="inlineStr">
        <is>
          <t>INT_LIQ_ACCT</t>
        </is>
      </c>
      <c r="I67" s="482" t="inlineStr">
        <is>
          <t>VARCHAR2</t>
        </is>
      </c>
      <c r="J67" s="482" t="n">
        <v>100</v>
      </c>
      <c r="K67" s="416" t="inlineStr">
        <is>
          <t>Tài khoản thanh toán lãi</t>
        </is>
      </c>
      <c r="L67" s="416" t="n"/>
      <c r="M67" s="416">
        <f>"COMMENT ON COLUMN PG_SILVER."&amp;G67&amp;"."&amp;H67&amp;" IS '"&amp;K67&amp;"';"</f>
        <v/>
      </c>
      <c r="N67" s="416" t="inlineStr">
        <is>
          <t>FROM PG_BRONZE.T24CORE_LD_LOANS_AND_DEPOSITS ld WHERE NVL(ld.RECORD_STATUS, '_') &lt;&gt; 'REVE'</t>
        </is>
      </c>
    </row>
    <row r="68" ht="15" customHeight="1" s="335">
      <c r="A68" s="416" t="inlineStr">
        <is>
          <t>PG_BRONZE</t>
        </is>
      </c>
      <c r="B68" s="416" t="inlineStr">
        <is>
          <t>T24CORE_LD_LOANS_AND_DEPOSITS</t>
        </is>
      </c>
      <c r="C68" s="416" t="inlineStr">
        <is>
          <t>INT_RATE_TYPE</t>
        </is>
      </c>
      <c r="D68" s="416" t="inlineStr">
        <is>
          <t>TRIM(ld.INT_RATE_TYPE)</t>
        </is>
      </c>
      <c r="E68" s="416" t="inlineStr">
        <is>
          <t>Sao Ke Tin Dung</t>
        </is>
      </c>
      <c r="F68" s="416" t="inlineStr">
        <is>
          <t>Int Rate Type</t>
        </is>
      </c>
      <c r="G68" s="416" t="inlineStr">
        <is>
          <t>SAOKE_TINDUNG</t>
        </is>
      </c>
      <c r="H68" s="416" t="inlineStr">
        <is>
          <t>INT_RATE_TYPE</t>
        </is>
      </c>
      <c r="I68" s="482" t="inlineStr">
        <is>
          <t>VARCHAR2</t>
        </is>
      </c>
      <c r="J68" s="482" t="n">
        <v>20</v>
      </c>
      <c r="K68" s="416" t="inlineStr">
        <is>
          <t>Loại lãi suất : Fix , float</t>
        </is>
      </c>
      <c r="L68" s="416" t="n"/>
      <c r="M68" s="416">
        <f>"COMMENT ON COLUMN PG_SILVER."&amp;G68&amp;"."&amp;H68&amp;" IS '"&amp;K68&amp;"';"</f>
        <v/>
      </c>
      <c r="N68" s="416" t="inlineStr">
        <is>
          <t>FROM PG_BRONZE.T24CORE_LD_LOANS_AND_DEPOSITS ld WHERE NVL(ld.RECORD_STATUS, '_') &lt;&gt; 'REVE'</t>
        </is>
      </c>
    </row>
    <row r="69" ht="15" customHeight="1" s="335">
      <c r="A69" s="416" t="inlineStr">
        <is>
          <t>PG_BRONZE</t>
        </is>
      </c>
      <c r="B69" s="416" t="inlineStr">
        <is>
          <t>T24CORE_LD_LOANS_AND_DEPOSITS</t>
        </is>
      </c>
      <c r="C69" s="416" t="inlineStr">
        <is>
          <t>INT_VALUE_DATE</t>
        </is>
      </c>
      <c r="D69" s="416" t="inlineStr">
        <is>
          <t>TO_DATE(CAST(ld.INT_VALUE_DATE AS VARCHAR(20)), 'YYYYMMDD')</t>
        </is>
      </c>
      <c r="E69" s="416" t="inlineStr">
        <is>
          <t>Sao Ke Tin Dung</t>
        </is>
      </c>
      <c r="F69" s="416" t="inlineStr">
        <is>
          <t>Int Value Date</t>
        </is>
      </c>
      <c r="G69" s="416" t="inlineStr">
        <is>
          <t>SAOKE_TINDUNG</t>
        </is>
      </c>
      <c r="H69" s="416" t="inlineStr">
        <is>
          <t>INT_VALUE_DATE</t>
        </is>
      </c>
      <c r="I69" s="482" t="inlineStr">
        <is>
          <t>DATE</t>
        </is>
      </c>
      <c r="J69" s="482" t="n"/>
      <c r="K69" s="416" t="inlineStr">
        <is>
          <t>Ngày hiệu lực lãi suất</t>
        </is>
      </c>
      <c r="L69" s="416" t="n"/>
      <c r="M69" s="416">
        <f>"COMMENT ON COLUMN PG_SILVER."&amp;G69&amp;"."&amp;H69&amp;" IS '"&amp;K69&amp;"';"</f>
        <v/>
      </c>
      <c r="N69" s="416" t="inlineStr">
        <is>
          <t>FROM PG_BRONZE.T24CORE_LD_LOANS_AND_DEPOSITS ld WHERE NVL(ld.RECORD_STATUS, '_') &lt;&gt; 'REVE'</t>
        </is>
      </c>
    </row>
    <row r="70" ht="15" customHeight="1" s="335">
      <c r="A70" s="416" t="inlineStr">
        <is>
          <t>PG_BRONZE</t>
        </is>
      </c>
      <c r="B70" s="416" t="inlineStr">
        <is>
          <t>T24CORE_LD_LOANS_AND_DEPOSITS</t>
        </is>
      </c>
      <c r="C70" s="416" t="inlineStr">
        <is>
          <t>INTEREST_RATE</t>
        </is>
      </c>
      <c r="D70" s="416" t="inlineStr">
        <is>
          <t>COALESCE(CAST(ld.INTEREST_RATE AS DECIMAL(13,7)), 0)</t>
        </is>
      </c>
      <c r="E70" s="416" t="inlineStr">
        <is>
          <t>Sao Ke Tin Dung</t>
        </is>
      </c>
      <c r="F70" s="416" t="inlineStr">
        <is>
          <t>Interest Rate</t>
        </is>
      </c>
      <c r="G70" s="416" t="inlineStr">
        <is>
          <t>SAOKE_TINDUNG</t>
        </is>
      </c>
      <c r="H70" s="416" t="inlineStr">
        <is>
          <t>INTEREST_RATE</t>
        </is>
      </c>
      <c r="I70" s="482" t="inlineStr">
        <is>
          <t>NUMBER</t>
        </is>
      </c>
      <c r="J70" s="482" t="n">
        <v>13.7</v>
      </c>
      <c r="K70" s="416" t="inlineStr">
        <is>
          <t>Giá trị lãi suất</t>
        </is>
      </c>
      <c r="L70" s="416" t="n"/>
      <c r="M70" s="416">
        <f>"COMMENT ON COLUMN PG_SILVER."&amp;G70&amp;"."&amp;H70&amp;" IS '"&amp;K70&amp;"';"</f>
        <v/>
      </c>
      <c r="N70" s="416" t="inlineStr">
        <is>
          <t>FROM PG_BRONZE.T24CORE_LD_LOANS_AND_DEPOSITS ld WHERE NVL(ld.RECORD_STATUS, '_') &lt;&gt; 'REVE'</t>
        </is>
      </c>
    </row>
    <row r="71" ht="15" customHeight="1" s="335">
      <c r="A71" s="416" t="inlineStr">
        <is>
          <t>PG_BRONZE</t>
        </is>
      </c>
      <c r="B71" s="416" t="inlineStr">
        <is>
          <t>T24CORE_LD_LOANS_AND_DEPOSITS</t>
        </is>
      </c>
      <c r="C71" s="416" t="inlineStr">
        <is>
          <t>INTEREST_SPREAD</t>
        </is>
      </c>
      <c r="D71" s="416" t="inlineStr">
        <is>
          <t>COALESCE(CAST(ld.INTEREST_SPREAD AS DECIMAL(13,7)), 0)</t>
        </is>
      </c>
      <c r="E71" s="416" t="inlineStr">
        <is>
          <t>Sao Ke Tin Dung</t>
        </is>
      </c>
      <c r="F71" s="416" t="inlineStr">
        <is>
          <t>Interest Spread</t>
        </is>
      </c>
      <c r="G71" s="416" t="inlineStr">
        <is>
          <t>SAOKE_TINDUNG</t>
        </is>
      </c>
      <c r="H71" s="416" t="inlineStr">
        <is>
          <t>INTEREST_SPREAD</t>
        </is>
      </c>
      <c r="I71" s="482" t="inlineStr">
        <is>
          <t>NUMBER</t>
        </is>
      </c>
      <c r="J71" s="482" t="n">
        <v>13.7</v>
      </c>
      <c r="K71" s="416" t="inlineStr">
        <is>
          <t>Biên độ lãi suất</t>
        </is>
      </c>
      <c r="L71" s="416" t="n"/>
      <c r="M71" s="416">
        <f>"COMMENT ON COLUMN PG_SILVER."&amp;G71&amp;"."&amp;H71&amp;" IS '"&amp;K71&amp;"';"</f>
        <v/>
      </c>
      <c r="N71" s="416" t="inlineStr">
        <is>
          <t>FROM PG_BRONZE.T24CORE_LD_LOANS_AND_DEPOSITS ld WHERE NVL(ld.RECORD_STATUS, '_') &lt;&gt; 'REVE'</t>
        </is>
      </c>
    </row>
    <row r="72" ht="15" customHeight="1" s="335">
      <c r="A72" s="416" t="inlineStr">
        <is>
          <t>PG_BRONZE</t>
        </is>
      </c>
      <c r="B72" s="416" t="inlineStr">
        <is>
          <t>T24CORE_LD_LOANS_AND_DEPOSITS</t>
        </is>
      </c>
      <c r="C72" s="416" t="inlineStr">
        <is>
          <t>LIMIT_REFERENCE</t>
        </is>
      </c>
      <c r="D72" s="416" t="inlineStr">
        <is>
          <t>TRIM(ld.LIMIT_REFERENCE)</t>
        </is>
      </c>
      <c r="E72" s="416" t="inlineStr">
        <is>
          <t>Sao Ke Tin Dung</t>
        </is>
      </c>
      <c r="F72" s="416" t="inlineStr">
        <is>
          <t>Limit Reference</t>
        </is>
      </c>
      <c r="G72" s="416" t="inlineStr">
        <is>
          <t>SAOKE_TINDUNG</t>
        </is>
      </c>
      <c r="H72" s="416" t="inlineStr">
        <is>
          <t>LIMIT_REFERENCE</t>
        </is>
      </c>
      <c r="I72" s="482" t="inlineStr">
        <is>
          <t>VARCHAR2</t>
        </is>
      </c>
      <c r="J72" s="482" t="n">
        <v>100</v>
      </c>
      <c r="K72" s="416" t="inlineStr">
        <is>
          <t>Mã tham chiếu hạn mức</t>
        </is>
      </c>
      <c r="L72" s="416" t="n"/>
      <c r="M72" s="416">
        <f>"COMMENT ON COLUMN PG_SILVER."&amp;G72&amp;"."&amp;H72&amp;" IS '"&amp;K72&amp;"';"</f>
        <v/>
      </c>
      <c r="N72" s="416" t="inlineStr">
        <is>
          <t>FROM PG_BRONZE.T24CORE_LD_LOANS_AND_DEPOSITS ld WHERE NVL(ld.RECORD_STATUS, '_') &lt;&gt; 'REVE'</t>
        </is>
      </c>
    </row>
    <row r="73" ht="15" customHeight="1" s="335">
      <c r="A73" s="416" t="inlineStr">
        <is>
          <t>PG_BRONZE</t>
        </is>
      </c>
      <c r="B73" s="416" t="inlineStr">
        <is>
          <t>T24CORE_LD_LOANS_AND_DEPOSITS</t>
        </is>
      </c>
      <c r="C73" s="416" t="inlineStr">
        <is>
          <t>LOC_TERM</t>
        </is>
      </c>
      <c r="D73" s="416" t="inlineStr">
        <is>
          <t>TRIM(ld.LOC_TERM)</t>
        </is>
      </c>
      <c r="E73" s="416" t="inlineStr">
        <is>
          <t>Sao Ke Tin Dung</t>
        </is>
      </c>
      <c r="F73" s="416" t="inlineStr">
        <is>
          <t>Loc Term</t>
        </is>
      </c>
      <c r="G73" s="416" t="inlineStr">
        <is>
          <t>SAOKE_TINDUNG</t>
        </is>
      </c>
      <c r="H73" s="416" t="inlineStr">
        <is>
          <t>LOC_TERM</t>
        </is>
      </c>
      <c r="I73" s="482" t="inlineStr">
        <is>
          <t>VARCHAR2</t>
        </is>
      </c>
      <c r="J73" s="482" t="n">
        <v>100</v>
      </c>
      <c r="K73" s="416" t="inlineStr">
        <is>
          <t>Kỳ hạn</t>
        </is>
      </c>
      <c r="L73" s="416" t="n"/>
      <c r="M73" s="416">
        <f>"COMMENT ON COLUMN PG_SILVER."&amp;G73&amp;"."&amp;H73&amp;" IS '"&amp;K73&amp;"';"</f>
        <v/>
      </c>
      <c r="N73" s="416" t="inlineStr">
        <is>
          <t>FROM PG_BRONZE.T24CORE_LD_LOANS_AND_DEPOSITS ld WHERE NVL(ld.RECORD_STATUS, '_') &lt;&gt; 'REVE'</t>
        </is>
      </c>
    </row>
    <row r="74" ht="15" customHeight="1" s="335">
      <c r="A74" s="416" t="inlineStr">
        <is>
          <t>PG_BRONZE</t>
        </is>
      </c>
      <c r="B74" s="416" t="inlineStr">
        <is>
          <t>T24CORE_LD_LOANS_AND_DEPOSITS</t>
        </is>
      </c>
      <c r="C74" s="416" t="inlineStr">
        <is>
          <t>LOS_FAC_CODE</t>
        </is>
      </c>
      <c r="D74" s="416" t="inlineStr">
        <is>
          <t>TRIM(ld.LOS_FAC_CODE)</t>
        </is>
      </c>
      <c r="E74" s="416" t="inlineStr">
        <is>
          <t>Sao Ke Tin Dung</t>
        </is>
      </c>
      <c r="F74" s="416" t="inlineStr">
        <is>
          <t>Los Fac Code</t>
        </is>
      </c>
      <c r="G74" s="416" t="inlineStr">
        <is>
          <t>SAOKE_TINDUNG</t>
        </is>
      </c>
      <c r="H74" s="416" t="inlineStr">
        <is>
          <t>LOS_FAC_CODE</t>
        </is>
      </c>
      <c r="I74" s="482" t="inlineStr">
        <is>
          <t>VARCHAR2</t>
        </is>
      </c>
      <c r="J74" s="482" t="n">
        <v>100</v>
      </c>
      <c r="K74" s="416" t="inlineStr">
        <is>
          <t>Số hồ sơ</t>
        </is>
      </c>
      <c r="L74" s="416" t="n"/>
      <c r="M74" s="416">
        <f>"COMMENT ON COLUMN PG_SILVER."&amp;G74&amp;"."&amp;H74&amp;" IS '"&amp;K74&amp;"';"</f>
        <v/>
      </c>
      <c r="N74" s="416" t="inlineStr">
        <is>
          <t>FROM PG_BRONZE.T24CORE_LD_LOANS_AND_DEPOSITS ld WHERE NVL(ld.RECORD_STATUS, '_') &lt;&gt; 'REVE'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N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34" min="1" max="1"/>
    <col width="34" customWidth="1" style="334" min="2" max="2"/>
    <col width="26" customWidth="1" style="334" min="3" max="3"/>
    <col width="44" customWidth="1" style="334" min="4" max="4"/>
    <col width="24" customWidth="1" style="334" min="5" max="5"/>
    <col width="26" customWidth="1" style="334" min="6" max="6"/>
    <col width="22" customWidth="1" style="334" min="7" max="7"/>
    <col width="26" customWidth="1" style="334" min="8" max="8"/>
    <col width="16" customWidth="1" style="334" min="9" max="9"/>
    <col width="12" customWidth="1" style="334" min="10" max="10"/>
    <col width="42" customWidth="1" style="334" min="11" max="11"/>
    <col width="18" customWidth="1" style="334" min="12" max="12"/>
    <col width="54" customWidth="1" style="334" min="13" max="14"/>
  </cols>
  <sheetData>
    <row r="1" ht="15" customHeight="1" s="335">
      <c r="A1" s="479" t="inlineStr">
        <is>
          <t>TYPE : SNAPSHOT (Silver Temp 1 - Daily Customer &amp; Contract Info)</t>
        </is>
      </c>
    </row>
    <row r="2" ht="15" customHeight="1" s="335">
      <c r="A2" s="480" t="inlineStr">
        <is>
          <t>No</t>
        </is>
      </c>
      <c r="B2" s="480" t="inlineStr">
        <is>
          <t>System</t>
        </is>
      </c>
      <c r="C2" s="480" t="inlineStr">
        <is>
          <t>TABLE</t>
        </is>
      </c>
      <c r="D2" s="480" t="inlineStr">
        <is>
          <t>Short table</t>
        </is>
      </c>
      <c r="E2" s="480" t="inlineStr">
        <is>
          <t>Main Table</t>
        </is>
      </c>
      <c r="F2" s="480" t="inlineStr">
        <is>
          <t>Type join</t>
        </is>
      </c>
      <c r="G2" s="480" t="inlineStr">
        <is>
          <t>Condition JOIN</t>
        </is>
      </c>
      <c r="H2" s="480" t="inlineStr">
        <is>
          <t>Condition where</t>
        </is>
      </c>
    </row>
    <row r="3" ht="15" customHeight="1" s="335">
      <c r="A3" s="481" t="n">
        <v>1</v>
      </c>
      <c r="B3" s="370" t="inlineStr">
        <is>
          <t>PG_BRONZE</t>
        </is>
      </c>
      <c r="C3" s="370" t="inlineStr">
        <is>
          <t>SMY_STMT_DAILY</t>
        </is>
      </c>
      <c r="D3" s="368" t="inlineStr">
        <is>
          <t>stmt</t>
        </is>
      </c>
      <c r="E3" s="481" t="inlineStr">
        <is>
          <t>main</t>
        </is>
      </c>
      <c r="F3" s="481" t="n"/>
      <c r="G3" s="372" t="n"/>
      <c r="H3" s="372" t="inlineStr">
        <is>
          <t>WHERE stmt.BOOKING_DATE = ${ETL_DATE}</t>
        </is>
      </c>
    </row>
    <row r="4" ht="15" customHeight="1" s="335">
      <c r="A4" s="481" t="n">
        <v>2</v>
      </c>
      <c r="B4" s="370" t="inlineStr">
        <is>
          <t>PG_BRONZE</t>
        </is>
      </c>
      <c r="C4" s="370" t="inlineStr">
        <is>
          <t>FLEXBO_PGB_LDTB_CONTRACT_MASTER</t>
        </is>
      </c>
      <c r="D4" s="368" t="inlineStr">
        <is>
          <t>m</t>
        </is>
      </c>
      <c r="E4" s="481" t="inlineStr">
        <is>
          <t>sub</t>
        </is>
      </c>
      <c r="F4" s="481" t="inlineStr">
        <is>
          <t>LEFT JOIN</t>
        </is>
      </c>
      <c r="G4" s="372" t="inlineStr">
        <is>
          <t>stmt.OUR_REFERENCE = m.CONTRACT_REF_NO</t>
        </is>
      </c>
      <c r="H4" s="372" t="inlineStr">
        <is>
          <t>m.VERSION_NO = (SELECT MAX(m2.VERSION_NO) FROM PG_BRONZE.FLEXBO_PGB_LDTB_CONTRACT_MASTER m2 WHERE m2.CONTRACT_REF_NO = m.CONTRACT_REF_NO)</t>
        </is>
      </c>
    </row>
    <row r="5" ht="15" customHeight="1" s="335">
      <c r="A5" s="481" t="n">
        <v>3</v>
      </c>
      <c r="B5" s="370" t="inlineStr">
        <is>
          <t>PG_BRONZE</t>
        </is>
      </c>
      <c r="C5" s="370" t="inlineStr">
        <is>
          <t>FLEXBO_PGB_LOS_CONTRACT_FIELDS_TDATE</t>
        </is>
      </c>
      <c r="D5" s="368" t="inlineStr">
        <is>
          <t>td</t>
        </is>
      </c>
      <c r="E5" s="481" t="inlineStr">
        <is>
          <t>sub</t>
        </is>
      </c>
      <c r="F5" s="481" t="inlineStr">
        <is>
          <t>LEFT JOIN</t>
        </is>
      </c>
      <c r="G5" s="372" t="inlineStr">
        <is>
          <t>stmt.OUR_REFERENCE = td.CONTRACT_REF_NO</t>
        </is>
      </c>
      <c r="H5" s="372" t="inlineStr">
        <is>
          <t>td.MOV_DATE = ${ETL_DATE}</t>
        </is>
      </c>
    </row>
    <row r="6" ht="15" customHeight="1" s="335">
      <c r="A6" s="481" t="n">
        <v>4</v>
      </c>
      <c r="B6" s="370" t="inlineStr">
        <is>
          <t>PG_BRONZE</t>
        </is>
      </c>
      <c r="C6" s="370" t="inlineStr">
        <is>
          <t>FLEXBO_PGB_CONTRACT_UDF_MAP</t>
        </is>
      </c>
      <c r="D6" s="368" t="inlineStr">
        <is>
          <t>udf</t>
        </is>
      </c>
      <c r="E6" s="481" t="inlineStr">
        <is>
          <t>sub</t>
        </is>
      </c>
      <c r="F6" s="481" t="inlineStr">
        <is>
          <t>LEFT JOIN</t>
        </is>
      </c>
      <c r="G6" s="372" t="inlineStr">
        <is>
          <t>m.CONTRACT_REF_NO = udf.CONTRACT_REF_NO</t>
        </is>
      </c>
      <c r="H6" s="372" t="inlineStr">
        <is>
          <t>udf.ETL_DATE = ${ETL_DATE}</t>
        </is>
      </c>
    </row>
    <row r="7" ht="15" customHeight="1" s="335">
      <c r="A7" s="481" t="n">
        <v>5</v>
      </c>
      <c r="B7" s="370" t="inlineStr">
        <is>
          <t>PG_BRONZE</t>
        </is>
      </c>
      <c r="C7" s="370" t="inlineStr">
        <is>
          <t>FLEXBO_PGBLD_CONTRACT_UDFIELD_HIST</t>
        </is>
      </c>
      <c r="D7" s="368" t="inlineStr">
        <is>
          <t>udf_h</t>
        </is>
      </c>
      <c r="E7" s="481" t="inlineStr">
        <is>
          <t>sub</t>
        </is>
      </c>
      <c r="F7" s="481" t="inlineStr">
        <is>
          <t>LEFT JOIN</t>
        </is>
      </c>
      <c r="G7" s="372" t="inlineStr">
        <is>
          <t>m.CONTRACT_REF_NO = udf_h.CONTRACT_REF_NO</t>
        </is>
      </c>
      <c r="H7" s="372" t="inlineStr">
        <is>
          <t>udf_h.ETL_DATE = ${ETL_DATE}</t>
        </is>
      </c>
    </row>
    <row r="8" ht="15" customHeight="1" s="335">
      <c r="A8" s="481" t="n">
        <v>6</v>
      </c>
      <c r="B8" s="370" t="inlineStr">
        <is>
          <t>PG_BRONZE</t>
        </is>
      </c>
      <c r="C8" s="370" t="inlineStr">
        <is>
          <t>FLEXBO_PGBLD_RT_CONTRACT_UDFIELD_HIST</t>
        </is>
      </c>
      <c r="D8" s="368" t="inlineStr">
        <is>
          <t>rt_h</t>
        </is>
      </c>
      <c r="E8" s="481" t="inlineStr">
        <is>
          <t>sub</t>
        </is>
      </c>
      <c r="F8" s="481" t="inlineStr">
        <is>
          <t>LEFT JOIN</t>
        </is>
      </c>
      <c r="G8" s="372" t="inlineStr">
        <is>
          <t>m.CONTRACT_REF_NO = rt_h.CONTRACT_REF_NO</t>
        </is>
      </c>
      <c r="H8" s="372" t="inlineStr">
        <is>
          <t>rt_h.ETL_DATE = ${ETL_DATE}</t>
        </is>
      </c>
    </row>
    <row r="9" ht="15" customHeight="1" s="335">
      <c r="A9" s="481" t="n">
        <v>7</v>
      </c>
      <c r="B9" s="370" t="inlineStr">
        <is>
          <t>PG_BRONZE</t>
        </is>
      </c>
      <c r="C9" s="370" t="inlineStr">
        <is>
          <t>EBANKING_COL_UDF_VALUE</t>
        </is>
      </c>
      <c r="D9" s="368" t="inlineStr">
        <is>
          <t>col_udf</t>
        </is>
      </c>
      <c r="E9" s="481" t="inlineStr">
        <is>
          <t>sub</t>
        </is>
      </c>
      <c r="F9" s="481" t="inlineStr">
        <is>
          <t>LEFT JOIN</t>
        </is>
      </c>
      <c r="G9" s="372" t="inlineStr">
        <is>
          <t>m.CONTRACT_REF_NO = col_udf.COL_REF</t>
        </is>
      </c>
      <c r="H9" s="372" t="inlineStr">
        <is>
          <t>col_udf.UDF_ID = 'NHANNO_BATBUOC'</t>
        </is>
      </c>
    </row>
    <row r="10" ht="15" customHeight="1" s="335">
      <c r="A10" s="481" t="n">
        <v>8</v>
      </c>
      <c r="B10" s="370" t="inlineStr">
        <is>
          <t>PG_BRONZE</t>
        </is>
      </c>
      <c r="C10" s="370" t="inlineStr">
        <is>
          <t>LOS_APP_LOAN_DISBURSEMENT</t>
        </is>
      </c>
      <c r="D10" s="368" t="inlineStr">
        <is>
          <t>ld_los</t>
        </is>
      </c>
      <c r="E10" s="481" t="inlineStr">
        <is>
          <t>sub</t>
        </is>
      </c>
      <c r="F10" s="481" t="inlineStr">
        <is>
          <t>LEFT JOIN</t>
        </is>
      </c>
      <c r="G10" s="372" t="inlineStr">
        <is>
          <t>stmt.OUR_REFERENCE = ld_los.EXT_REF_NO_1</t>
        </is>
      </c>
      <c r="H10" s="372" t="inlineStr">
        <is>
          <t>ld_los.AMND_STATE = 'F' AND ld_los.STATUS IN ('A', 'U')</t>
        </is>
      </c>
    </row>
    <row r="11" ht="15" customHeight="1" s="335">
      <c r="A11" s="481" t="n">
        <v>9</v>
      </c>
      <c r="B11" s="370" t="inlineStr">
        <is>
          <t>PG_BRONZE</t>
        </is>
      </c>
      <c r="C11" s="370" t="inlineStr">
        <is>
          <t>LOS_APP_FACILITY</t>
        </is>
      </c>
      <c r="D11" s="368" t="inlineStr">
        <is>
          <t>fac</t>
        </is>
      </c>
      <c r="E11" s="481" t="inlineStr">
        <is>
          <t>sub</t>
        </is>
      </c>
      <c r="F11" s="481" t="inlineStr">
        <is>
          <t>LEFT JOIN</t>
        </is>
      </c>
      <c r="G11" s="372" t="inlineStr">
        <is>
          <t>ld_los.FACILITY_ID = fac.ID</t>
        </is>
      </c>
      <c r="H11" s="372" t="inlineStr">
        <is>
          <t>fac.ETL_DATE = ${ETL_DATE}</t>
        </is>
      </c>
    </row>
    <row r="12" ht="15" customHeight="1" s="335">
      <c r="A12" s="481" t="n">
        <v>10</v>
      </c>
      <c r="B12" s="370" t="inlineStr">
        <is>
          <t>PG_BRONZE</t>
        </is>
      </c>
      <c r="C12" s="370" t="inlineStr">
        <is>
          <t>LOS_APP_PRODUCT</t>
        </is>
      </c>
      <c r="D12" s="368" t="inlineStr">
        <is>
          <t>pd_los</t>
        </is>
      </c>
      <c r="E12" s="481" t="inlineStr">
        <is>
          <t>sub</t>
        </is>
      </c>
      <c r="F12" s="481" t="inlineStr">
        <is>
          <t>LEFT JOIN</t>
        </is>
      </c>
      <c r="G12" s="372" t="inlineStr">
        <is>
          <t>fac.PRODUCT_ID = pd_los.ID</t>
        </is>
      </c>
      <c r="H12" s="372" t="inlineStr">
        <is>
          <t>pd_los.ETL_DATE = ${ETL_DATE}</t>
        </is>
      </c>
    </row>
    <row r="14" ht="15" customHeight="1" s="335">
      <c r="A14" s="480" t="inlineStr">
        <is>
          <t>Nguồn</t>
        </is>
      </c>
      <c r="B14" s="480" t="inlineStr">
        <is>
          <t>Bảng nguồn</t>
        </is>
      </c>
      <c r="C14" s="480" t="inlineStr">
        <is>
          <t>Cột nguồn</t>
        </is>
      </c>
      <c r="D14" s="480" t="inlineStr">
        <is>
          <t>Transform</t>
        </is>
      </c>
      <c r="E14" s="480" t="inlineStr">
        <is>
          <t>Entity</t>
        </is>
      </c>
      <c r="F14" s="480" t="inlineStr">
        <is>
          <t>Attribute</t>
        </is>
      </c>
      <c r="G14" s="480" t="inlineStr">
        <is>
          <t>Bảng đích</t>
        </is>
      </c>
      <c r="H14" s="480" t="inlineStr">
        <is>
          <t>Cột đích</t>
        </is>
      </c>
      <c r="I14" s="480" t="inlineStr">
        <is>
          <t>Kiểu dữ liệu</t>
        </is>
      </c>
      <c r="J14" s="480" t="inlineStr">
        <is>
          <t>Độ dài</t>
        </is>
      </c>
      <c r="K14" s="480" t="inlineStr">
        <is>
          <t>Diễn giải</t>
        </is>
      </c>
      <c r="L14" s="480" t="inlineStr">
        <is>
          <t>Glossary</t>
        </is>
      </c>
      <c r="M14" s="480" t="inlineStr">
        <is>
          <t>DDL Comment</t>
        </is>
      </c>
      <c r="N14" s="480" t="inlineStr">
        <is>
          <t>Ghi chú kỹ thuật &amp; Business Rule</t>
        </is>
      </c>
    </row>
    <row r="15" ht="15" customHeight="1" s="335">
      <c r="A15" s="416" t="inlineStr">
        <is>
          <t>PG_BRONZE</t>
        </is>
      </c>
      <c r="B15" s="416" t="inlineStr">
        <is>
          <t>EBANKING_COL_UDF_VALUE</t>
        </is>
      </c>
      <c r="C15" s="416" t="inlineStr">
        <is>
          <t>COL_REF</t>
        </is>
      </c>
      <c r="D15" s="416" t="inlineStr">
        <is>
          <t>TRIM(col_udf.COL_REF)</t>
        </is>
      </c>
      <c r="E15" s="416" t="inlineStr">
        <is>
          <t>Customer Info Daily</t>
        </is>
      </c>
      <c r="F15" s="416" t="inlineStr">
        <is>
          <t>Col Ref</t>
        </is>
      </c>
      <c r="G15" s="416" t="inlineStr">
        <is>
          <t>CUST_INFO_DAILY</t>
        </is>
      </c>
      <c r="H15" s="416" t="inlineStr">
        <is>
          <t>COL_REF</t>
        </is>
      </c>
      <c r="I15" s="482" t="inlineStr">
        <is>
          <t>VARCHAR2</t>
        </is>
      </c>
      <c r="J15" s="482" t="n">
        <v>100</v>
      </c>
      <c r="K15" s="416" t="inlineStr">
        <is>
          <t>Cột Tham chiếu</t>
        </is>
      </c>
      <c r="L15" s="416" t="n"/>
      <c r="M15" s="416">
        <f>"COMMENT ON COLUMN PG_SILVER."&amp;G15&amp;"."&amp;H15&amp;" IS '"&amp;K15&amp;"';"</f>
        <v/>
      </c>
      <c r="N15" s="416" t="inlineStr">
        <is>
          <t>LEFT JOIN PG_BRONZE.EBANKING_COL_UDF_VALUE col_udf ON m.CONTRACT_REF_NO = col_udf.COL_REF AND col_udf.UDF_ID = 'NHANNO_BATBUOC'</t>
        </is>
      </c>
    </row>
    <row r="16" ht="15" customHeight="1" s="335">
      <c r="A16" s="416" t="inlineStr">
        <is>
          <t>PG_BRONZE</t>
        </is>
      </c>
      <c r="B16" s="416" t="inlineStr">
        <is>
          <t>EBANKING_COL_UDF_VALUE</t>
        </is>
      </c>
      <c r="C16" s="416" t="inlineStr">
        <is>
          <t>FUNCTION_CODE</t>
        </is>
      </c>
      <c r="D16" s="416" t="inlineStr">
        <is>
          <t>TRIM(col_udf.FUNCTION_CODE)</t>
        </is>
      </c>
      <c r="E16" s="416" t="inlineStr">
        <is>
          <t>Customer Info Daily</t>
        </is>
      </c>
      <c r="F16" s="416" t="inlineStr">
        <is>
          <t>Function Code</t>
        </is>
      </c>
      <c r="G16" s="416" t="inlineStr">
        <is>
          <t>CUST_INFO_DAILY</t>
        </is>
      </c>
      <c r="H16" s="416" t="inlineStr">
        <is>
          <t>FUNCTION_CODE</t>
        </is>
      </c>
      <c r="I16" s="482" t="inlineStr">
        <is>
          <t>VARCHAR2</t>
        </is>
      </c>
      <c r="J16" s="482" t="n">
        <v>100</v>
      </c>
      <c r="K16" s="416" t="inlineStr">
        <is>
          <t>Mã chức năng</t>
        </is>
      </c>
      <c r="L16" s="416" t="n"/>
      <c r="M16" s="416">
        <f>"COMMENT ON COLUMN PG_SILVER."&amp;G16&amp;"."&amp;H16&amp;" IS '"&amp;K16&amp;"';"</f>
        <v/>
      </c>
      <c r="N16" s="416" t="inlineStr">
        <is>
          <t>LEFT JOIN PG_BRONZE.EBANKING_COL_UDF_VALUE col_udf ON m.CONTRACT_REF_NO = col_udf.COL_REF AND col_udf.UDF_ID = 'NHANNO_BATBUOC'</t>
        </is>
      </c>
    </row>
    <row r="17" ht="15" customHeight="1" s="335">
      <c r="A17" s="416" t="inlineStr">
        <is>
          <t>PG_BRONZE</t>
        </is>
      </c>
      <c r="B17" s="416" t="inlineStr">
        <is>
          <t>EBANKING_COL_UDF_VALUE</t>
        </is>
      </c>
      <c r="C17" s="416" t="inlineStr">
        <is>
          <t>UDF_VALUE</t>
        </is>
      </c>
      <c r="D17" s="416" t="inlineStr">
        <is>
          <t>TRIM(col_udf.UDF_VALUE)</t>
        </is>
      </c>
      <c r="E17" s="416" t="inlineStr">
        <is>
          <t>Customer Info Daily</t>
        </is>
      </c>
      <c r="F17" s="416" t="inlineStr">
        <is>
          <t>Udf Value</t>
        </is>
      </c>
      <c r="G17" s="416" t="inlineStr">
        <is>
          <t>CUST_INFO_DAILY</t>
        </is>
      </c>
      <c r="H17" s="416" t="inlineStr">
        <is>
          <t>UDF_VALUE</t>
        </is>
      </c>
      <c r="I17" s="482" t="inlineStr">
        <is>
          <t>VARCHAR2</t>
        </is>
      </c>
      <c r="J17" s="482" t="n">
        <v>100</v>
      </c>
      <c r="K17" s="416" t="inlineStr">
        <is>
          <t>Giá trị UDF</t>
        </is>
      </c>
      <c r="L17" s="416" t="n"/>
      <c r="M17" s="416">
        <f>"COMMENT ON COLUMN PG_SILVER."&amp;G17&amp;"."&amp;H17&amp;" IS '"&amp;K17&amp;"';"</f>
        <v/>
      </c>
      <c r="N17" s="416" t="inlineStr">
        <is>
          <t>LEFT JOIN PG_BRONZE.EBANKING_COL_UDF_VALUE col_udf ON m.CONTRACT_REF_NO = col_udf.COL_REF AND col_udf.UDF_ID = 'NHANNO_BATBUOC'</t>
        </is>
      </c>
    </row>
    <row r="18" ht="15" customHeight="1" s="335">
      <c r="A18" s="416" t="inlineStr">
        <is>
          <t>PG_BRONZE</t>
        </is>
      </c>
      <c r="B18" s="416" t="inlineStr">
        <is>
          <t>FLEXBO_PGB_CONTRACT_UDF_MAP</t>
        </is>
      </c>
      <c r="C18" s="416" t="inlineStr">
        <is>
          <t>CONTRACT_REF_NO</t>
        </is>
      </c>
      <c r="D18" s="416" t="inlineStr">
        <is>
          <t>TRIM(udf.CONTRACT_REF_NO)</t>
        </is>
      </c>
      <c r="E18" s="416" t="inlineStr">
        <is>
          <t>Customer Info Daily</t>
        </is>
      </c>
      <c r="F18" s="416" t="inlineStr">
        <is>
          <t>Udf Map Contract Ref No</t>
        </is>
      </c>
      <c r="G18" s="416" t="inlineStr">
        <is>
          <t>CUST_INFO_DAILY</t>
        </is>
      </c>
      <c r="H18" s="416" t="inlineStr">
        <is>
          <t>UDF_MAP_CONTRACT_REF_NO</t>
        </is>
      </c>
      <c r="I18" s="482" t="inlineStr">
        <is>
          <t>VARCHAR2</t>
        </is>
      </c>
      <c r="J18" s="482" t="n">
        <v>100</v>
      </c>
      <c r="K18" s="416" t="inlineStr">
        <is>
          <t>Mã HĐ tham chiếu</t>
        </is>
      </c>
      <c r="L18" s="416" t="n"/>
      <c r="M18" s="416">
        <f>"COMMENT ON COLUMN PG_SILVER."&amp;G18&amp;"."&amp;H18&amp;" IS '"&amp;K18&amp;"';"</f>
        <v/>
      </c>
      <c r="N18" s="416" t="inlineStr">
        <is>
          <t>LEFT JOIN PG_BRONZE.FLEXBO_PGB_CONTRACT_UDF_MAP udf ON m.CONTRACT_REF_NO = udf.CONTRACT_REF_NO</t>
        </is>
      </c>
    </row>
    <row r="19" ht="15" customHeight="1" s="335">
      <c r="A19" s="416" t="inlineStr">
        <is>
          <t>PG_BRONZE</t>
        </is>
      </c>
      <c r="B19" s="416" t="inlineStr">
        <is>
          <t>FLEXBO_PGB_CONTRACT_UDF_MAP</t>
        </is>
      </c>
      <c r="C19" s="416" t="inlineStr">
        <is>
          <t>FIELD_NAME</t>
        </is>
      </c>
      <c r="D19" s="416" t="inlineStr">
        <is>
          <t>TRIM(udf.FIELD_NAME)</t>
        </is>
      </c>
      <c r="E19" s="416" t="inlineStr">
        <is>
          <t>Customer Info Daily</t>
        </is>
      </c>
      <c r="F19" s="416" t="inlineStr">
        <is>
          <t>Field Name</t>
        </is>
      </c>
      <c r="G19" s="416" t="inlineStr">
        <is>
          <t>CUST_INFO_DAILY</t>
        </is>
      </c>
      <c r="H19" s="416" t="inlineStr">
        <is>
          <t>FIELD_NAME</t>
        </is>
      </c>
      <c r="I19" s="482" t="inlineStr">
        <is>
          <t>VARCHAR2</t>
        </is>
      </c>
      <c r="J19" s="482" t="n">
        <v>255</v>
      </c>
      <c r="K19" s="416" t="inlineStr">
        <is>
          <t>Tên trường</t>
        </is>
      </c>
      <c r="L19" s="416" t="n"/>
      <c r="M19" s="416">
        <f>"COMMENT ON COLUMN PG_SILVER."&amp;G19&amp;"."&amp;H19&amp;" IS '"&amp;K19&amp;"';"</f>
        <v/>
      </c>
      <c r="N19" s="416" t="inlineStr">
        <is>
          <t>LEFT JOIN PG_BRONZE.FLEXBO_PGB_CONTRACT_UDF_MAP udf ON m.CONTRACT_REF_NO = udf.CONTRACT_REF_NO</t>
        </is>
      </c>
    </row>
    <row r="20" ht="15" customHeight="1" s="335">
      <c r="A20" s="416" t="inlineStr">
        <is>
          <t>PG_BRONZE</t>
        </is>
      </c>
      <c r="B20" s="416" t="inlineStr">
        <is>
          <t>FLEXBO_PGB_CONTRACT_UDF_MAP</t>
        </is>
      </c>
      <c r="C20" s="416" t="inlineStr">
        <is>
          <t>FIELD_VAL</t>
        </is>
      </c>
      <c r="D20" s="416" t="inlineStr">
        <is>
          <t>TRIM(udf.FIELD_VAL)</t>
        </is>
      </c>
      <c r="E20" s="416" t="inlineStr">
        <is>
          <t>Customer Info Daily</t>
        </is>
      </c>
      <c r="F20" s="416" t="inlineStr">
        <is>
          <t>Field Val</t>
        </is>
      </c>
      <c r="G20" s="416" t="inlineStr">
        <is>
          <t>CUST_INFO_DAILY</t>
        </is>
      </c>
      <c r="H20" s="416" t="inlineStr">
        <is>
          <t>FIELD_VAL</t>
        </is>
      </c>
      <c r="I20" s="482" t="inlineStr">
        <is>
          <t>VARCHAR2</t>
        </is>
      </c>
      <c r="J20" s="482" t="n">
        <v>100</v>
      </c>
      <c r="K20" s="416" t="inlineStr">
        <is>
          <t>Giá trị tương ứng với từng trường</t>
        </is>
      </c>
      <c r="L20" s="416" t="n"/>
      <c r="M20" s="416">
        <f>"COMMENT ON COLUMN PG_SILVER."&amp;G20&amp;"."&amp;H20&amp;" IS '"&amp;K20&amp;"';"</f>
        <v/>
      </c>
      <c r="N20" s="416" t="inlineStr">
        <is>
          <t>LEFT JOIN PG_BRONZE.FLEXBO_PGB_LDTB_CONTRACT_MASTER m ON stmt.OUR_REFERENCE = m.CONTRACT_REF_NO AND m.VERSION_NO = (SELECT MAX(m2.VERSION_NO) FROM PG_BRONZE.FLEXBO_PGB_LDTB_CONTRACT_MASTER m2 WHERE m2.CONTRACT_REF_NO = m.CONTRACT_REF_NO)</t>
        </is>
      </c>
    </row>
    <row r="21" ht="15" customHeight="1" s="335">
      <c r="A21" s="416" t="inlineStr">
        <is>
          <t>PG_BRONZE</t>
        </is>
      </c>
      <c r="B21" s="416" t="inlineStr">
        <is>
          <t>FLEXBO_PGB_LDTB_CONTRACT_MASTER</t>
        </is>
      </c>
      <c r="C21" s="416" t="inlineStr">
        <is>
          <t>BOOKING_DATE</t>
        </is>
      </c>
      <c r="D21" s="416" t="inlineStr">
        <is>
          <t>TO_DATE(CAST(m.BOOKING_DATE AS VARCHAR(20)), 'YYYYMMDD')</t>
        </is>
      </c>
      <c r="E21" s="416" t="inlineStr">
        <is>
          <t>Customer Info Daily</t>
        </is>
      </c>
      <c r="F21" s="416" t="inlineStr">
        <is>
          <t>Fcc Booking Date</t>
        </is>
      </c>
      <c r="G21" s="416" t="inlineStr">
        <is>
          <t>CUST_INFO_DAILY</t>
        </is>
      </c>
      <c r="H21" s="416" t="inlineStr">
        <is>
          <t>FCC_BOOKING_DATE</t>
        </is>
      </c>
      <c r="I21" s="482" t="inlineStr">
        <is>
          <t>DATE</t>
        </is>
      </c>
      <c r="J21" s="482" t="n"/>
      <c r="K21" s="416" t="inlineStr">
        <is>
          <t>Ngày ghi nhận</t>
        </is>
      </c>
      <c r="L21" s="416" t="n"/>
      <c r="M21" s="416">
        <f>"COMMENT ON COLUMN PG_SILVER."&amp;G21&amp;"."&amp;H21&amp;" IS '"&amp;K21&amp;"';"</f>
        <v/>
      </c>
      <c r="N21" s="416" t="inlineStr">
        <is>
          <t>LEFT JOIN PG_BRONZE.FLEXBO_PGB_LDTB_CONTRACT_MASTER m ON stmt.OUR_REFERENCE = m.CONTRACT_REF_NO AND m.VERSION_NO = (SELECT MAX(m2.VERSION_NO) FROM PG_BRONZE.FLEXBO_PGB_LDTB_CONTRACT_MASTER m2 WHERE m2.CONTRACT_REF_NO = m.CONTRACT_REF_NO)</t>
        </is>
      </c>
    </row>
    <row r="22" ht="15" customHeight="1" s="335">
      <c r="A22" s="416" t="inlineStr">
        <is>
          <t>PG_BRONZE</t>
        </is>
      </c>
      <c r="B22" s="416" t="inlineStr">
        <is>
          <t>FLEXBO_PGB_LDTB_CONTRACT_MASTER</t>
        </is>
      </c>
      <c r="C22" s="416" t="inlineStr">
        <is>
          <t>CONTRACT_REF_NO</t>
        </is>
      </c>
      <c r="D22" s="416" t="inlineStr">
        <is>
          <t>TRIM(m.CONTRACT_REF_NO)</t>
        </is>
      </c>
      <c r="E22" s="416" t="inlineStr">
        <is>
          <t>Customer Info Daily</t>
        </is>
      </c>
      <c r="F22" s="416" t="inlineStr">
        <is>
          <t>Fcc Contract Ref No</t>
        </is>
      </c>
      <c r="G22" s="416" t="inlineStr">
        <is>
          <t>CUST_INFO_DAILY</t>
        </is>
      </c>
      <c r="H22" s="416" t="inlineStr">
        <is>
          <t>FCC_CONTRACT_REF_NO</t>
        </is>
      </c>
      <c r="I22" s="482" t="inlineStr">
        <is>
          <t>VARCHAR2</t>
        </is>
      </c>
      <c r="J22" s="482" t="n">
        <v>100</v>
      </c>
      <c r="K22" s="416" t="inlineStr">
        <is>
          <t>Mã Hợp đồng</t>
        </is>
      </c>
      <c r="L22" s="416" t="n"/>
      <c r="M22" s="416">
        <f>"COMMENT ON COLUMN PG_SILVER."&amp;G22&amp;"."&amp;H22&amp;" IS '"&amp;K22&amp;"';"</f>
        <v/>
      </c>
      <c r="N22" s="416" t="inlineStr">
        <is>
          <t>LEFT JOIN PG_BRONZE.FLEXBO_PGB_LDTB_CONTRACT_MASTER m ON stmt.OUR_REFERENCE = m.CONTRACT_REF_NO AND m.VERSION_NO = (SELECT MAX(m2.VERSION_NO) FROM PG_BRONZE.FLEXBO_PGB_LDTB_CONTRACT_MASTER m2 WHERE m2.CONTRACT_REF_NO = m.CONTRACT_REF_NO)</t>
        </is>
      </c>
    </row>
    <row r="23" ht="15" customHeight="1" s="335">
      <c r="A23" s="416" t="inlineStr">
        <is>
          <t>PG_BRONZE</t>
        </is>
      </c>
      <c r="B23" s="416" t="inlineStr">
        <is>
          <t>FLEXBO_PGB_LDTB_CONTRACT_MASTER</t>
        </is>
      </c>
      <c r="C23" s="416" t="inlineStr">
        <is>
          <t>VERSION_NO</t>
        </is>
      </c>
      <c r="D23" s="416" t="inlineStr">
        <is>
          <t>COALESCE(CAST(m.VERSION_NO AS DECIMAL(10)), 0)</t>
        </is>
      </c>
      <c r="E23" s="416" t="inlineStr">
        <is>
          <t>Customer Info Daily</t>
        </is>
      </c>
      <c r="F23" s="416" t="inlineStr">
        <is>
          <t>Version No</t>
        </is>
      </c>
      <c r="G23" s="416" t="inlineStr">
        <is>
          <t>CUST_INFO_DAILY</t>
        </is>
      </c>
      <c r="H23" s="416" t="inlineStr">
        <is>
          <t>VERSION_NO</t>
        </is>
      </c>
      <c r="I23" s="482" t="inlineStr">
        <is>
          <t>NUMBER</t>
        </is>
      </c>
      <c r="J23" s="482" t="n">
        <v>10</v>
      </c>
      <c r="K23" s="416" t="inlineStr">
        <is>
          <t>Version của bản ghi</t>
        </is>
      </c>
      <c r="L23" s="416" t="n"/>
      <c r="M23" s="416">
        <f>"COMMENT ON COLUMN PG_SILVER."&amp;G23&amp;"."&amp;H23&amp;" IS '"&amp;K23&amp;"';"</f>
        <v/>
      </c>
      <c r="N23" s="416" t="inlineStr">
        <is>
          <t>LEFT JOIN PG_BRONZE.FLEXBO_PGB_LDTB_CONTRACT_MASTER m ON stmt.OUR_REFERENCE = m.CONTRACT_REF_NO AND m.VERSION_NO = MAX(VERSION_NO)</t>
        </is>
      </c>
    </row>
    <row r="24" ht="15" customHeight="1" s="335">
      <c r="A24" s="416" t="inlineStr">
        <is>
          <t>PG_BRONZE</t>
        </is>
      </c>
      <c r="B24" s="416" t="inlineStr">
        <is>
          <t>FLEXBO_PGB_LOS_CONTRACT_FIELDS_TDATE</t>
        </is>
      </c>
      <c r="C24" s="416" t="inlineStr">
        <is>
          <t>CAN_BO_DE_XUAT_GN</t>
        </is>
      </c>
      <c r="D24" s="416" t="inlineStr">
        <is>
          <t>TRIM(td.CAN_BO_DE_XUAT_GN)</t>
        </is>
      </c>
      <c r="E24" s="416" t="inlineStr">
        <is>
          <t>Customer Info Daily</t>
        </is>
      </c>
      <c r="F24" s="416" t="inlineStr">
        <is>
          <t>Can Bo De Xuat Gn</t>
        </is>
      </c>
      <c r="G24" s="416" t="inlineStr">
        <is>
          <t>CUST_INFO_DAILY</t>
        </is>
      </c>
      <c r="H24" s="416" t="inlineStr">
        <is>
          <t>CAN_BO_DE_XUAT_GN</t>
        </is>
      </c>
      <c r="I24" s="482" t="inlineStr">
        <is>
          <t>VARCHAR2</t>
        </is>
      </c>
      <c r="J24" s="482" t="n">
        <v>100</v>
      </c>
      <c r="K24" s="416" t="inlineStr">
        <is>
          <t>Cán bộ đề xuất giải ngân</t>
        </is>
      </c>
      <c r="L24" s="416" t="n"/>
      <c r="M24" s="416">
        <f>"COMMENT ON COLUMN PG_SILVER."&amp;G24&amp;"."&amp;H24&amp;" IS '"&amp;K24&amp;"';"</f>
        <v/>
      </c>
      <c r="N24" s="416" t="inlineStr">
        <is>
          <t>LEFT JOIN PG_BRONZE.FLEXBO_PGB_LOS_CONTRACT_FIELDS_TDATE td ON stmt.OUR_REFERENCE = td.CONTRACT_REF_NO AND td.MOV_DATE = ${ETL_DATE}</t>
        </is>
      </c>
    </row>
    <row r="25" ht="15" customHeight="1" s="335">
      <c r="A25" s="416" t="inlineStr">
        <is>
          <t>PG_BRONZE</t>
        </is>
      </c>
      <c r="B25" s="416" t="inlineStr">
        <is>
          <t>FLEXBO_PGB_LOS_CONTRACT_FIELDS_TDATE</t>
        </is>
      </c>
      <c r="C25" s="416" t="inlineStr">
        <is>
          <t>CAR_APPLICATION_CODE</t>
        </is>
      </c>
      <c r="D25" s="416" t="inlineStr">
        <is>
          <t>TRIM(td.CAR_APPLICATION_CODE)</t>
        </is>
      </c>
      <c r="E25" s="416" t="inlineStr">
        <is>
          <t>Customer Info Daily</t>
        </is>
      </c>
      <c r="F25" s="416" t="inlineStr">
        <is>
          <t>Car Application Code</t>
        </is>
      </c>
      <c r="G25" s="416" t="inlineStr">
        <is>
          <t>CUST_INFO_DAILY</t>
        </is>
      </c>
      <c r="H25" s="416" t="inlineStr">
        <is>
          <t>CAR_APPLICATION_CODE</t>
        </is>
      </c>
      <c r="I25" s="482" t="inlineStr">
        <is>
          <t>VARCHAR2</t>
        </is>
      </c>
      <c r="J25" s="482" t="n">
        <v>100</v>
      </c>
      <c r="K25" s="416" t="inlineStr">
        <is>
          <t>Mã hồ sơ đăng kí vay vốn</t>
        </is>
      </c>
      <c r="L25" s="416" t="n"/>
      <c r="M25" s="416">
        <f>"COMMENT ON COLUMN PG_SILVER."&amp;G25&amp;"."&amp;H25&amp;" IS '"&amp;K25&amp;"';"</f>
        <v/>
      </c>
      <c r="N25" s="416" t="inlineStr">
        <is>
          <t>LEFT JOIN PG_BRONZE.FLEXBO_PGB_LOS_CONTRACT_FIELDS_TDATE td ON stmt.OUR_REFERENCE = td.CONTRACT_REF_NO AND td.MOV_DATE = ${ETL_DATE}</t>
        </is>
      </c>
    </row>
    <row r="26" ht="15" customHeight="1" s="335">
      <c r="A26" s="416" t="inlineStr">
        <is>
          <t>PG_BRONZE</t>
        </is>
      </c>
      <c r="B26" s="416" t="inlineStr">
        <is>
          <t>FLEXBO_PGB_LOS_CONTRACT_FIELDS_TDATE</t>
        </is>
      </c>
      <c r="C26" s="416" t="inlineStr">
        <is>
          <t>CONTRACT_REF_NO</t>
        </is>
      </c>
      <c r="D26" s="416" t="inlineStr">
        <is>
          <t>TRIM(td.CONTRACT_REF_NO)</t>
        </is>
      </c>
      <c r="E26" s="416" t="inlineStr">
        <is>
          <t>Customer Info Daily</t>
        </is>
      </c>
      <c r="F26" s="416" t="inlineStr">
        <is>
          <t>Los Td Contract Ref No</t>
        </is>
      </c>
      <c r="G26" s="416" t="inlineStr">
        <is>
          <t>CUST_INFO_DAILY</t>
        </is>
      </c>
      <c r="H26" s="416" t="inlineStr">
        <is>
          <t>LOS_TD_CONTRACT_REF_NO</t>
        </is>
      </c>
      <c r="I26" s="482" t="inlineStr">
        <is>
          <t>VARCHAR2</t>
        </is>
      </c>
      <c r="J26" s="482" t="n">
        <v>100</v>
      </c>
      <c r="K26" s="416" t="inlineStr">
        <is>
          <t>Mã hợp đồng giải ngân</t>
        </is>
      </c>
      <c r="L26" s="416" t="n"/>
      <c r="M26" s="416">
        <f>"COMMENT ON COLUMN PG_SILVER."&amp;G26&amp;"."&amp;H26&amp;" IS '"&amp;K26&amp;"';"</f>
        <v/>
      </c>
      <c r="N26" s="416" t="inlineStr">
        <is>
          <t>LEFT JOIN PG_BRONZE.FLEXBO_PGB_LOS_CONTRACT_FIELDS_TDATE td ON stmt.OUR_REFERENCE = td.CONTRACT_REF_NO AND td.MOV_DATE = ${ETL_DATE}</t>
        </is>
      </c>
    </row>
    <row r="27" ht="15" customHeight="1" s="335">
      <c r="A27" s="416" t="inlineStr">
        <is>
          <t>PG_BRONZE</t>
        </is>
      </c>
      <c r="B27" s="416" t="inlineStr">
        <is>
          <t>FLEXBO_PGB_LOS_CONTRACT_FIELDS_TDATE</t>
        </is>
      </c>
      <c r="C27" s="416" t="inlineStr">
        <is>
          <t>LOS_CONTRACT_CODE</t>
        </is>
      </c>
      <c r="D27" s="416" t="inlineStr">
        <is>
          <t>TRIM(td.LOS_CONTRACT_CODE)</t>
        </is>
      </c>
      <c r="E27" s="416" t="inlineStr">
        <is>
          <t>Customer Info Daily</t>
        </is>
      </c>
      <c r="F27" s="416" t="inlineStr">
        <is>
          <t>Los Contract Code</t>
        </is>
      </c>
      <c r="G27" s="416" t="inlineStr">
        <is>
          <t>CUST_INFO_DAILY</t>
        </is>
      </c>
      <c r="H27" s="416" t="inlineStr">
        <is>
          <t>LOS_CONTRACT_CODE</t>
        </is>
      </c>
      <c r="I27" s="482" t="inlineStr">
        <is>
          <t>VARCHAR2</t>
        </is>
      </c>
      <c r="J27" s="482" t="n">
        <v>100</v>
      </c>
      <c r="K27" s="416" t="inlineStr">
        <is>
          <t>mã hợp đồng vay</t>
        </is>
      </c>
      <c r="L27" s="416" t="n"/>
      <c r="M27" s="416">
        <f>"COMMENT ON COLUMN PG_SILVER."&amp;G27&amp;"."&amp;H27&amp;" IS '"&amp;K27&amp;"';"</f>
        <v/>
      </c>
      <c r="N27" s="416" t="inlineStr">
        <is>
          <t>LEFT JOIN PG_BRONZE.FLEXBO_PGB_LOS_CONTRACT_FIELDS_TDATE td ON stmt.OUR_REFERENCE = td.CONTRACT_REF_NO AND td.MOV_DATE = ${ETL_DATE}</t>
        </is>
      </c>
    </row>
    <row r="28" ht="15" customHeight="1" s="335">
      <c r="A28" s="416" t="inlineStr">
        <is>
          <t>PG_BRONZE</t>
        </is>
      </c>
      <c r="B28" s="416" t="inlineStr">
        <is>
          <t>FLEXBO_PGB_LOS_CONTRACT_FIELDS_TDATE</t>
        </is>
      </c>
      <c r="C28" s="416" t="inlineStr">
        <is>
          <t>MDVAY_NKT</t>
        </is>
      </c>
      <c r="D28" s="416" t="inlineStr">
        <is>
          <t>TRIM(td.MDVAY_NKT)</t>
        </is>
      </c>
      <c r="E28" s="416" t="inlineStr">
        <is>
          <t>Customer Info Daily</t>
        </is>
      </c>
      <c r="F28" s="416" t="inlineStr">
        <is>
          <t>Mdvay Nkt</t>
        </is>
      </c>
      <c r="G28" s="416" t="inlineStr">
        <is>
          <t>CUST_INFO_DAILY</t>
        </is>
      </c>
      <c r="H28" s="416" t="inlineStr">
        <is>
          <t>MDVAY_NKT</t>
        </is>
      </c>
      <c r="I28" s="482" t="inlineStr">
        <is>
          <t>VARCHAR2</t>
        </is>
      </c>
      <c r="J28" s="482" t="n">
        <v>100</v>
      </c>
      <c r="K28" s="416" t="inlineStr">
        <is>
          <t>Mục đích vay theo ngành kinh tế</t>
        </is>
      </c>
      <c r="L28" s="416" t="n"/>
      <c r="M28" s="416">
        <f>"COMMENT ON COLUMN PG_SILVER."&amp;G28&amp;"."&amp;H28&amp;" IS '"&amp;K28&amp;"';"</f>
        <v/>
      </c>
      <c r="N28" s="416" t="inlineStr">
        <is>
          <t>LEFT JOIN PG_BRONZE.FLEXBO_PGB_LOS_CONTRACT_FIELDS_TDATE td ON stmt.OUR_REFERENCE = td.CONTRACT_REF_NO AND td.MOV_DATE = ${ETL_DATE}</t>
        </is>
      </c>
    </row>
    <row r="29" ht="15" customHeight="1" s="335">
      <c r="A29" s="416" t="inlineStr">
        <is>
          <t>PG_BRONZE</t>
        </is>
      </c>
      <c r="B29" s="416" t="inlineStr">
        <is>
          <t>FLEXBO_PGB_LOS_CONTRACT_FIELDS_TDATE</t>
        </is>
      </c>
      <c r="C29" s="416" t="inlineStr">
        <is>
          <t>MDVAY_SP</t>
        </is>
      </c>
      <c r="D29" s="416" t="inlineStr">
        <is>
          <t>TRIM(td.MDVAY_SP)</t>
        </is>
      </c>
      <c r="E29" s="416" t="inlineStr">
        <is>
          <t>Customer Info Daily</t>
        </is>
      </c>
      <c r="F29" s="416" t="inlineStr">
        <is>
          <t>Mdvay Sp</t>
        </is>
      </c>
      <c r="G29" s="416" t="inlineStr">
        <is>
          <t>CUST_INFO_DAILY</t>
        </is>
      </c>
      <c r="H29" s="416" t="inlineStr">
        <is>
          <t>MDVAY_SP</t>
        </is>
      </c>
      <c r="I29" s="482" t="inlineStr">
        <is>
          <t>VARCHAR2</t>
        </is>
      </c>
      <c r="J29" s="482" t="n">
        <v>100</v>
      </c>
      <c r="K29" s="416" t="inlineStr">
        <is>
          <t>Mục đích vay theo sản phẩm</t>
        </is>
      </c>
      <c r="L29" s="416" t="n"/>
      <c r="M29" s="416">
        <f>"COMMENT ON COLUMN PG_SILVER."&amp;G29&amp;"."&amp;H29&amp;" IS '"&amp;K29&amp;"';"</f>
        <v/>
      </c>
      <c r="N29" s="416" t="inlineStr">
        <is>
          <t>LEFT JOIN PG_BRONZE.FLEXBO_PGB_LOS_CONTRACT_FIELDS_TDATE td ON stmt.OUR_REFERENCE = td.CONTRACT_REF_NO AND td.MOV_DATE = ${ETL_DATE}</t>
        </is>
      </c>
    </row>
    <row r="30" ht="15" customHeight="1" s="335">
      <c r="A30" s="416" t="inlineStr">
        <is>
          <t>PG_BRONZE</t>
        </is>
      </c>
      <c r="B30" s="416" t="inlineStr">
        <is>
          <t>FLEXBO_PGB_LOS_CONTRACT_FIELDS_TDATE</t>
        </is>
      </c>
      <c r="C30" s="416" t="inlineStr">
        <is>
          <t>MOV_DATE</t>
        </is>
      </c>
      <c r="D30" s="416" t="inlineStr">
        <is>
          <t>TO_DATE(CAST(td.MOV_DATE AS VARCHAR(20)), 'YYYYMMDD')</t>
        </is>
      </c>
      <c r="E30" s="416" t="inlineStr">
        <is>
          <t>Customer Info Daily</t>
        </is>
      </c>
      <c r="F30" s="416" t="inlineStr">
        <is>
          <t>Los Td Mov Date</t>
        </is>
      </c>
      <c r="G30" s="416" t="inlineStr">
        <is>
          <t>CUST_INFO_DAILY</t>
        </is>
      </c>
      <c r="H30" s="416" t="inlineStr">
        <is>
          <t>LOS_TD_MOV_DATE</t>
        </is>
      </c>
      <c r="I30" s="482" t="inlineStr">
        <is>
          <t>DATE</t>
        </is>
      </c>
      <c r="J30" s="482" t="n"/>
      <c r="K30" s="416" t="inlineStr">
        <is>
          <t>Ngày dữ liệu</t>
        </is>
      </c>
      <c r="L30" s="416" t="n"/>
      <c r="M30" s="416">
        <f>"COMMENT ON COLUMN PG_SILVER."&amp;G30&amp;"."&amp;H30&amp;" IS '"&amp;K30&amp;"';"</f>
        <v/>
      </c>
      <c r="N30" s="416" t="inlineStr">
        <is>
          <t>LEFT JOIN PG_BRONZE.FLEXBO_PGB_LOS_CONTRACT_FIELDS_TDATE td ON stmt.OUR_REFERENCE = td.CONTRACT_REF_NO AND td.MOV_DATE = ${ETL_DATE}</t>
        </is>
      </c>
    </row>
    <row r="31" ht="15" customHeight="1" s="335">
      <c r="A31" s="416" t="inlineStr">
        <is>
          <t>PG_BRONZE</t>
        </is>
      </c>
      <c r="B31" s="416" t="inlineStr">
        <is>
          <t>FLEXBO_PGB_LOS_CONTRACT_FIELDS_TDATE</t>
        </is>
      </c>
      <c r="C31" s="416" t="inlineStr">
        <is>
          <t>TT_PP_DE_XUAT_GN</t>
        </is>
      </c>
      <c r="D31" s="416" t="inlineStr">
        <is>
          <t>TRIM(td.TT_PP_DE_XUAT_GN)</t>
        </is>
      </c>
      <c r="E31" s="416" t="inlineStr">
        <is>
          <t>Customer Info Daily</t>
        </is>
      </c>
      <c r="F31" s="416" t="inlineStr">
        <is>
          <t>Tt Pp De Xuat Gn</t>
        </is>
      </c>
      <c r="G31" s="416" t="inlineStr">
        <is>
          <t>CUST_INFO_DAILY</t>
        </is>
      </c>
      <c r="H31" s="416" t="inlineStr">
        <is>
          <t>TT_PP_DE_XUAT_GN</t>
        </is>
      </c>
      <c r="I31" s="482" t="inlineStr">
        <is>
          <t>VARCHAR2</t>
        </is>
      </c>
      <c r="J31" s="482" t="n">
        <v>100</v>
      </c>
      <c r="K31" s="416" t="inlineStr">
        <is>
          <t>Người đề xuất giải ngân</t>
        </is>
      </c>
      <c r="L31" s="416" t="n"/>
      <c r="M31" s="416">
        <f>"COMMENT ON COLUMN PG_SILVER."&amp;G31&amp;"."&amp;H31&amp;" IS '"&amp;K31&amp;"';"</f>
        <v/>
      </c>
      <c r="N31" s="416" t="inlineStr">
        <is>
          <t>LEFT JOIN PG_BRONZE.FLEXBO_PGB_LOS_CONTRACT_FIELDS_TDATE td ON stmt.OUR_REFERENCE = td.CONTRACT_REF_NO AND td.MOV_DATE = ${ETL_DATE}</t>
        </is>
      </c>
    </row>
    <row r="32" ht="15" customHeight="1" s="335">
      <c r="A32" s="416" t="inlineStr">
        <is>
          <t>PG_BRONZE</t>
        </is>
      </c>
      <c r="B32" s="416" t="inlineStr">
        <is>
          <t>FLEXBO_PGBLD_CONTRACT_UDFIELD_HIST</t>
        </is>
      </c>
      <c r="C32" s="416" t="inlineStr">
        <is>
          <t>CONTRACT_REF_NO</t>
        </is>
      </c>
      <c r="D32" s="416" t="inlineStr">
        <is>
          <t>TRIM(udf_h.CONTRACT_REF_NO)</t>
        </is>
      </c>
      <c r="E32" s="416" t="inlineStr">
        <is>
          <t>Customer Info Daily</t>
        </is>
      </c>
      <c r="F32" s="416" t="inlineStr">
        <is>
          <t>Udfh Contract Ref No</t>
        </is>
      </c>
      <c r="G32" s="416" t="inlineStr">
        <is>
          <t>CUST_INFO_DAILY</t>
        </is>
      </c>
      <c r="H32" s="416" t="inlineStr">
        <is>
          <t>UDFH_CONTRACT_REF_NO</t>
        </is>
      </c>
      <c r="I32" s="482" t="inlineStr">
        <is>
          <t>VARCHAR2</t>
        </is>
      </c>
      <c r="J32" s="482" t="n">
        <v>100</v>
      </c>
      <c r="K32" s="416" t="inlineStr">
        <is>
          <t>Mã hợp đồng</t>
        </is>
      </c>
      <c r="L32" s="416" t="n"/>
      <c r="M32" s="416">
        <f>"COMMENT ON COLUMN PG_SILVER."&amp;G32&amp;"."&amp;H32&amp;" IS '"&amp;K32&amp;"';"</f>
        <v/>
      </c>
      <c r="N32" s="416" t="inlineStr">
        <is>
          <t>LEFT JOIN PG_BRONZE.FLEXBO_PGBLD_CONTRACT_UDFIELD_HIST udf_h ON m.CONTRACT_REF_NO = udf_h.CONTRACT_REF_NO</t>
        </is>
      </c>
    </row>
    <row r="33" ht="15" customHeight="1" s="335">
      <c r="A33" s="416" t="inlineStr">
        <is>
          <t>PG_BRONZE</t>
        </is>
      </c>
      <c r="B33" s="416" t="inlineStr">
        <is>
          <t>FLEXBO_PGBLD_CONTRACT_UDFIELD_HIST</t>
        </is>
      </c>
      <c r="C33" s="416" t="inlineStr">
        <is>
          <t>CT_KHUYEN_MAI_CHO_VAY</t>
        </is>
      </c>
      <c r="D33" s="416" t="inlineStr">
        <is>
          <t>TRIM(udf_h.CT_KHUYEN_MAI_CHO_VAY)</t>
        </is>
      </c>
      <c r="E33" s="416" t="inlineStr">
        <is>
          <t>Customer Info Daily</t>
        </is>
      </c>
      <c r="F33" s="416" t="inlineStr">
        <is>
          <t>Ct Khuyen Mai Cho Vay</t>
        </is>
      </c>
      <c r="G33" s="416" t="inlineStr">
        <is>
          <t>CUST_INFO_DAILY</t>
        </is>
      </c>
      <c r="H33" s="416" t="inlineStr">
        <is>
          <t>CT_KHUYEN_MAI_CHO_VAY</t>
        </is>
      </c>
      <c r="I33" s="482" t="inlineStr">
        <is>
          <t>VARCHAR2</t>
        </is>
      </c>
      <c r="J33" s="482" t="n">
        <v>100</v>
      </c>
      <c r="K33" s="416" t="inlineStr">
        <is>
          <t>Mã chương trình KM cho vay</t>
        </is>
      </c>
      <c r="L33" s="416" t="n"/>
      <c r="M33" s="416">
        <f>"COMMENT ON COLUMN PG_SILVER."&amp;G33&amp;"."&amp;H33&amp;" IS '"&amp;K33&amp;"';"</f>
        <v/>
      </c>
      <c r="N33" s="416" t="inlineStr">
        <is>
          <t>LEFT JOIN PG_BRONZE.FLEXBO_PGBLD_CONTRACT_UDFIELD_HIST udf_h ON m.CONTRACT_REF_NO = udf_h.CONTRACT_REF_NO</t>
        </is>
      </c>
    </row>
    <row r="34" ht="15" customHeight="1" s="335">
      <c r="A34" s="416" t="inlineStr">
        <is>
          <t>PG_BRONZE</t>
        </is>
      </c>
      <c r="B34" s="416" t="inlineStr">
        <is>
          <t>FLEXBO_PGBLD_CONTRACT_UDFIELD_HIST</t>
        </is>
      </c>
      <c r="C34" s="416" t="inlineStr">
        <is>
          <t>CTKM2</t>
        </is>
      </c>
      <c r="D34" s="416" t="inlineStr">
        <is>
          <t>TRIM(udf_h.CTKM2)</t>
        </is>
      </c>
      <c r="E34" s="416" t="inlineStr">
        <is>
          <t>Customer Info Daily</t>
        </is>
      </c>
      <c r="F34" s="416" t="inlineStr">
        <is>
          <t>Ctkm2</t>
        </is>
      </c>
      <c r="G34" s="416" t="inlineStr">
        <is>
          <t>CUST_INFO_DAILY</t>
        </is>
      </c>
      <c r="H34" s="416" t="inlineStr">
        <is>
          <t>CTKM2</t>
        </is>
      </c>
      <c r="I34" s="482" t="inlineStr">
        <is>
          <t>VARCHAR2</t>
        </is>
      </c>
      <c r="J34" s="482" t="n">
        <v>100</v>
      </c>
      <c r="K34" s="416" t="inlineStr">
        <is>
          <t>Mã CTKM2</t>
        </is>
      </c>
      <c r="L34" s="416" t="n"/>
      <c r="M34" s="416">
        <f>"COMMENT ON COLUMN PG_SILVER."&amp;G34&amp;"."&amp;H34&amp;" IS '"&amp;K34&amp;"';"</f>
        <v/>
      </c>
      <c r="N34" s="416" t="inlineStr">
        <is>
          <t>LEFT JOIN PG_BRONZE.FLEXBO_PGBLD_CONTRACT_UDFIELD_HIST udf_h ON m.CONTRACT_REF_NO = udf_h.CONTRACT_REF_NO</t>
        </is>
      </c>
    </row>
    <row r="35" ht="15" customHeight="1" s="335">
      <c r="A35" s="416" t="inlineStr">
        <is>
          <t>PG_BRONZE</t>
        </is>
      </c>
      <c r="B35" s="416" t="inlineStr">
        <is>
          <t>FLEXBO_PGBLD_CONTRACT_UDFIELD_HIST</t>
        </is>
      </c>
      <c r="C35" s="416" t="inlineStr">
        <is>
          <t>MOV_DATE</t>
        </is>
      </c>
      <c r="D35" s="416" t="inlineStr">
        <is>
          <t>TO_DATE(CAST(udf_h.MOV_DATE AS VARCHAR(20)), 'YYYYMMDD')</t>
        </is>
      </c>
      <c r="E35" s="416" t="inlineStr">
        <is>
          <t>Customer Info Daily</t>
        </is>
      </c>
      <c r="F35" s="416" t="inlineStr">
        <is>
          <t>Udfh Mov Date</t>
        </is>
      </c>
      <c r="G35" s="416" t="inlineStr">
        <is>
          <t>CUST_INFO_DAILY</t>
        </is>
      </c>
      <c r="H35" s="416" t="inlineStr">
        <is>
          <t>UDFH_MOV_DATE</t>
        </is>
      </c>
      <c r="I35" s="482" t="inlineStr">
        <is>
          <t>DATE</t>
        </is>
      </c>
      <c r="J35" s="482" t="n"/>
      <c r="K35" s="416" t="inlineStr">
        <is>
          <t>Ngày phát sinh</t>
        </is>
      </c>
      <c r="L35" s="416" t="n"/>
      <c r="M35" s="416">
        <f>"COMMENT ON COLUMN PG_SILVER."&amp;G35&amp;"."&amp;H35&amp;" IS '"&amp;K35&amp;"';"</f>
        <v/>
      </c>
      <c r="N35" s="416" t="inlineStr">
        <is>
          <t>LEFT JOIN PG_BRONZE.FLEXBO_PGBLD_CONTRACT_UDFIELD_HIST udf_h ON m.CONTRACT_REF_NO = udf_h.CONTRACT_REF_NO</t>
        </is>
      </c>
    </row>
    <row r="36" ht="15" customHeight="1" s="335">
      <c r="A36" s="416" t="inlineStr">
        <is>
          <t>PG_BRONZE</t>
        </is>
      </c>
      <c r="B36" s="416" t="inlineStr">
        <is>
          <t>FLEXBO_PGBLD_RT_CONTRACT_UDFIELD_HIST</t>
        </is>
      </c>
      <c r="C36" s="416" t="inlineStr">
        <is>
          <t>CO_CAU_NO</t>
        </is>
      </c>
      <c r="D36" s="416" t="inlineStr">
        <is>
          <t>TRIM(rt_h.CO_CAU_NO)</t>
        </is>
      </c>
      <c r="E36" s="416" t="inlineStr">
        <is>
          <t>Customer Info Daily</t>
        </is>
      </c>
      <c r="F36" s="416" t="inlineStr">
        <is>
          <t>Co Cau No</t>
        </is>
      </c>
      <c r="G36" s="416" t="inlineStr">
        <is>
          <t>CUST_INFO_DAILY</t>
        </is>
      </c>
      <c r="H36" s="416" t="inlineStr">
        <is>
          <t>CO_CAU_NO</t>
        </is>
      </c>
      <c r="I36" s="482" t="inlineStr">
        <is>
          <t>VARCHAR2</t>
        </is>
      </c>
      <c r="J36" s="482" t="n">
        <v>100</v>
      </c>
      <c r="K36" s="416" t="inlineStr">
        <is>
          <t>Cơ cấu nợ</t>
        </is>
      </c>
      <c r="L36" s="416" t="n"/>
      <c r="M36" s="416">
        <f>"COMMENT ON COLUMN PG_SILVER."&amp;G36&amp;"."&amp;H36&amp;" IS '"&amp;K36&amp;"';"</f>
        <v/>
      </c>
      <c r="N36" s="416" t="inlineStr">
        <is>
          <t>LEFT JOIN PG_BRONZE.FLEXBO_PGBLD_RT_CONTRACT_UDFIELD_HIST rt_h ON m.CONTRACT_REF_NO = rt_h.CONTRACT_REF_NO</t>
        </is>
      </c>
    </row>
    <row r="37" ht="15" customHeight="1" s="335">
      <c r="A37" s="416" t="inlineStr">
        <is>
          <t>PG_BRONZE</t>
        </is>
      </c>
      <c r="B37" s="416" t="inlineStr">
        <is>
          <t>FLEXBO_PGBLD_RT_CONTRACT_UDFIELD_HIST</t>
        </is>
      </c>
      <c r="C37" s="416" t="inlineStr">
        <is>
          <t>CONTRACT_REF_NO</t>
        </is>
      </c>
      <c r="D37" s="416" t="inlineStr">
        <is>
          <t>TRIM(rt_h.CONTRACT_REF_NO)</t>
        </is>
      </c>
      <c r="E37" s="416" t="inlineStr">
        <is>
          <t>Customer Info Daily</t>
        </is>
      </c>
      <c r="F37" s="416" t="inlineStr">
        <is>
          <t>Rth Contract Ref No</t>
        </is>
      </c>
      <c r="G37" s="416" t="inlineStr">
        <is>
          <t>CUST_INFO_DAILY</t>
        </is>
      </c>
      <c r="H37" s="416" t="inlineStr">
        <is>
          <t>RTH_CONTRACT_REF_NO</t>
        </is>
      </c>
      <c r="I37" s="482" t="inlineStr">
        <is>
          <t>VARCHAR2</t>
        </is>
      </c>
      <c r="J37" s="482" t="n">
        <v>100</v>
      </c>
      <c r="K37" s="416" t="inlineStr">
        <is>
          <t>Mã Hợp đồng</t>
        </is>
      </c>
      <c r="L37" s="416" t="n"/>
      <c r="M37" s="416">
        <f>"COMMENT ON COLUMN PG_SILVER."&amp;G37&amp;"."&amp;H37&amp;" IS '"&amp;K37&amp;"';"</f>
        <v/>
      </c>
      <c r="N37" s="416" t="inlineStr">
        <is>
          <t>LEFT JOIN PG_BRONZE.FLEXBO_PGBLD_RT_CONTRACT_UDFIELD_HIST rt_h ON m.CONTRACT_REF_NO = rt_h.CONTRACT_REF_NO</t>
        </is>
      </c>
    </row>
    <row r="38" ht="15" customHeight="1" s="335">
      <c r="A38" s="416" t="inlineStr">
        <is>
          <t>PG_BRONZE</t>
        </is>
      </c>
      <c r="B38" s="416" t="inlineStr">
        <is>
          <t>FLEXBO_PGBLD_RT_CONTRACT_UDFIELD_HIST</t>
        </is>
      </c>
      <c r="C38" s="416" t="inlineStr">
        <is>
          <t>NGAY_HET_COVID19</t>
        </is>
      </c>
      <c r="D38" s="416" t="inlineStr">
        <is>
          <t>TO_DATE(CAST(rt_h.NGAY_HET_COVID19 AS VARCHAR(20)), 'YYYYMMDD')</t>
        </is>
      </c>
      <c r="E38" s="416" t="inlineStr">
        <is>
          <t>Customer Info Daily</t>
        </is>
      </c>
      <c r="F38" s="416" t="inlineStr">
        <is>
          <t>Ngay Het Covid19</t>
        </is>
      </c>
      <c r="G38" s="416" t="inlineStr">
        <is>
          <t>CUST_INFO_DAILY</t>
        </is>
      </c>
      <c r="H38" s="416" t="inlineStr">
        <is>
          <t>NGAY_HET_COVID19</t>
        </is>
      </c>
      <c r="I38" s="482" t="inlineStr">
        <is>
          <t>DATE</t>
        </is>
      </c>
      <c r="J38" s="482" t="n"/>
      <c r="K38" s="416" t="inlineStr">
        <is>
          <t>Ngày hết covid/ Ngày hết hạn cơ cấu</t>
        </is>
      </c>
      <c r="L38" s="416" t="n"/>
      <c r="M38" s="416">
        <f>"COMMENT ON COLUMN PG_SILVER."&amp;G38&amp;"."&amp;H38&amp;" IS '"&amp;K38&amp;"';"</f>
        <v/>
      </c>
      <c r="N38" s="416" t="inlineStr">
        <is>
          <t>LEFT JOIN PG_BRONZE.FLEXBO_PGBLD_RT_CONTRACT_UDFIELD_HIST rt_h ON m.CONTRACT_REF_NO = rt_h.CONTRACT_REF_NO</t>
        </is>
      </c>
    </row>
    <row r="39" ht="15" customHeight="1" s="335">
      <c r="A39" s="416" t="inlineStr">
        <is>
          <t>PG_BRONZE</t>
        </is>
      </c>
      <c r="B39" s="416" t="inlineStr">
        <is>
          <t>LOS_APP_FACILITY</t>
        </is>
      </c>
      <c r="C39" s="416" t="inlineStr">
        <is>
          <t>ID</t>
        </is>
      </c>
      <c r="D39" s="416" t="inlineStr">
        <is>
          <t>TRIM(fac.ID)</t>
        </is>
      </c>
      <c r="E39" s="416" t="inlineStr">
        <is>
          <t>Customer Info Daily</t>
        </is>
      </c>
      <c r="F39" s="416" t="inlineStr">
        <is>
          <t>Fac Id</t>
        </is>
      </c>
      <c r="G39" s="416" t="inlineStr">
        <is>
          <t>CUST_INFO_DAILY</t>
        </is>
      </c>
      <c r="H39" s="416" t="inlineStr">
        <is>
          <t>FAC_ID</t>
        </is>
      </c>
      <c r="I39" s="482" t="inlineStr">
        <is>
          <t>VARCHAR2</t>
        </is>
      </c>
      <c r="J39" s="482" t="n">
        <v>100</v>
      </c>
      <c r="K39" s="416" t="inlineStr">
        <is>
          <t>Key của bản ghi</t>
        </is>
      </c>
      <c r="L39" s="416" t="n"/>
      <c r="M39" s="416">
        <f>"COMMENT ON COLUMN PG_SILVER."&amp;G39&amp;"."&amp;H39&amp;" IS '"&amp;K39&amp;"';"</f>
        <v/>
      </c>
      <c r="N39" s="416" t="inlineStr">
        <is>
          <t>LEFT JOIN PG_BRONZE.LOS_APP_FACILITY fac ON ld_los.FACILITY_ID = fac.ID</t>
        </is>
      </c>
    </row>
    <row r="40" ht="15" customHeight="1" s="335">
      <c r="A40" s="416" t="inlineStr">
        <is>
          <t>PG_BRONZE</t>
        </is>
      </c>
      <c r="B40" s="416" t="inlineStr">
        <is>
          <t>LOS_APP_FACILITY</t>
        </is>
      </c>
      <c r="C40" s="416" t="inlineStr">
        <is>
          <t>PRODUCT_ID</t>
        </is>
      </c>
      <c r="D40" s="416" t="inlineStr">
        <is>
          <t>TRIM(fac.PRODUCT_ID)</t>
        </is>
      </c>
      <c r="E40" s="416" t="inlineStr">
        <is>
          <t>Customer Info Daily</t>
        </is>
      </c>
      <c r="F40" s="416" t="inlineStr">
        <is>
          <t>Product Id</t>
        </is>
      </c>
      <c r="G40" s="416" t="inlineStr">
        <is>
          <t>CUST_INFO_DAILY</t>
        </is>
      </c>
      <c r="H40" s="416" t="inlineStr">
        <is>
          <t>PRODUCT_ID</t>
        </is>
      </c>
      <c r="I40" s="482" t="inlineStr">
        <is>
          <t>VARCHAR2</t>
        </is>
      </c>
      <c r="J40" s="482" t="n">
        <v>100</v>
      </c>
      <c r="K40" s="416" t="inlineStr">
        <is>
          <t>Mã sản phẩm</t>
        </is>
      </c>
      <c r="L40" s="416" t="n"/>
      <c r="M40" s="416">
        <f>"COMMENT ON COLUMN PG_SILVER."&amp;G40&amp;"."&amp;H40&amp;" IS '"&amp;K40&amp;"';"</f>
        <v/>
      </c>
      <c r="N40" s="416" t="inlineStr">
        <is>
          <t>LEFT JOIN PG_BRONZE.LOS_APP_FACILITY fac ON ld_los.FACILITY_ID = fac.ID</t>
        </is>
      </c>
    </row>
    <row r="41" ht="15" customHeight="1" s="335">
      <c r="A41" s="416" t="inlineStr">
        <is>
          <t>PG_BRONZE</t>
        </is>
      </c>
      <c r="B41" s="416" t="inlineStr">
        <is>
          <t>LOS_APP_LOAN_DISBURSEMENT</t>
        </is>
      </c>
      <c r="C41" s="416" t="inlineStr">
        <is>
          <t>AMND_STATE</t>
        </is>
      </c>
      <c r="D41" s="416" t="inlineStr">
        <is>
          <t>TRIM(ld_los.AMND_STATE)</t>
        </is>
      </c>
      <c r="E41" s="416" t="inlineStr">
        <is>
          <t>Customer Info Daily</t>
        </is>
      </c>
      <c r="F41" s="416" t="inlineStr">
        <is>
          <t>Amnd State</t>
        </is>
      </c>
      <c r="G41" s="416" t="inlineStr">
        <is>
          <t>CUST_INFO_DAILY</t>
        </is>
      </c>
      <c r="H41" s="416" t="inlineStr">
        <is>
          <t>AMND_STATE</t>
        </is>
      </c>
      <c r="I41" s="482" t="inlineStr">
        <is>
          <t>VARCHAR2</t>
        </is>
      </c>
      <c r="J41" s="482" t="n">
        <v>100</v>
      </c>
      <c r="K41" s="416" t="inlineStr">
        <is>
          <t>Trạng thái Hợp đồng</t>
        </is>
      </c>
      <c r="L41" s="416" t="n"/>
      <c r="M41" s="416">
        <f>"COMMENT ON COLUMN PG_SILVER."&amp;G41&amp;"."&amp;H41&amp;" IS '"&amp;K41&amp;"';"</f>
        <v/>
      </c>
      <c r="N41" s="416" t="inlineStr">
        <is>
          <t>LEFT JOIN PG_BRONZE.LOS_APP_LOAN_DISBURSEMENT ld_los ON stmt.OUR_REFERENCE = ld_los.EXT_REF_NO_1 AND ld_los.AMND_STATE = 'F' AND ld_los.STATUS IN ('A','U')</t>
        </is>
      </c>
    </row>
    <row r="42" ht="15" customHeight="1" s="335">
      <c r="A42" s="416" t="inlineStr">
        <is>
          <t>PG_BRONZE</t>
        </is>
      </c>
      <c r="B42" s="416" t="inlineStr">
        <is>
          <t>LOS_APP_LOAN_DISBURSEMENT</t>
        </is>
      </c>
      <c r="C42" s="416" t="inlineStr">
        <is>
          <t>BOOKING_DATE</t>
        </is>
      </c>
      <c r="D42" s="416" t="inlineStr">
        <is>
          <t>TO_DATE(CAST(ld_los.BOOKING_DATE AS VARCHAR(20)), 'YYYYMMDD')</t>
        </is>
      </c>
      <c r="E42" s="416" t="inlineStr">
        <is>
          <t>Customer Info Daily</t>
        </is>
      </c>
      <c r="F42" s="416" t="inlineStr">
        <is>
          <t>Los Dsbr Booking Date</t>
        </is>
      </c>
      <c r="G42" s="416" t="inlineStr">
        <is>
          <t>CUST_INFO_DAILY</t>
        </is>
      </c>
      <c r="H42" s="416" t="inlineStr">
        <is>
          <t>LOS_DSBR_BOOKING_DATE</t>
        </is>
      </c>
      <c r="I42" s="482" t="inlineStr">
        <is>
          <t>DATE</t>
        </is>
      </c>
      <c r="J42" s="482" t="n"/>
      <c r="K42" s="416" t="inlineStr">
        <is>
          <t>Ngày ghi nhận</t>
        </is>
      </c>
      <c r="L42" s="416" t="n"/>
      <c r="M42" s="416">
        <f>"COMMENT ON COLUMN PG_SILVER."&amp;G42&amp;"."&amp;H42&amp;" IS '"&amp;K42&amp;"';"</f>
        <v/>
      </c>
      <c r="N42" s="416" t="inlineStr">
        <is>
          <t>LEFT JOIN PG_BRONZE.LOS_APP_LOAN_DISBURSEMENT ld_los ON stmt.OUR_REFERENCE = ld_los.EXT_REF_NO_1 AND ld_los.AMND_STATE = 'F' AND ld_los.STATUS IN ('A','U')</t>
        </is>
      </c>
    </row>
    <row r="43" ht="15" customHeight="1" s="335">
      <c r="A43" s="416" t="inlineStr">
        <is>
          <t>PG_BRONZE</t>
        </is>
      </c>
      <c r="B43" s="416" t="inlineStr">
        <is>
          <t>LOS_APP_LOAN_DISBURSEMENT</t>
        </is>
      </c>
      <c r="C43" s="416" t="inlineStr">
        <is>
          <t>EXT_REF_NO_1</t>
        </is>
      </c>
      <c r="D43" s="416" t="inlineStr">
        <is>
          <t>TRIM(ld_los.EXT_REF_NO_1)</t>
        </is>
      </c>
      <c r="E43" s="416" t="inlineStr">
        <is>
          <t>Customer Info Daily</t>
        </is>
      </c>
      <c r="F43" s="416" t="inlineStr">
        <is>
          <t>Ext Ref No 1</t>
        </is>
      </c>
      <c r="G43" s="416" t="inlineStr">
        <is>
          <t>CUST_INFO_DAILY</t>
        </is>
      </c>
      <c r="H43" s="416" t="inlineStr">
        <is>
          <t>EXT_REF_NO_1</t>
        </is>
      </c>
      <c r="I43" s="482" t="inlineStr">
        <is>
          <t>VARCHAR2</t>
        </is>
      </c>
      <c r="J43" s="482" t="n">
        <v>100</v>
      </c>
      <c r="K43" s="416" t="inlineStr">
        <is>
          <t>Số tham chiếu bên ngoài</t>
        </is>
      </c>
      <c r="L43" s="416" t="n"/>
      <c r="M43" s="416">
        <f>"COMMENT ON COLUMN PG_SILVER."&amp;G43&amp;"."&amp;H43&amp;" IS '"&amp;K43&amp;"';"</f>
        <v/>
      </c>
      <c r="N43" s="416" t="inlineStr">
        <is>
          <t>LEFT JOIN PG_BRONZE.LOS_APP_LOAN_DISBURSEMENT ld_los ON stmt.OUR_REFERENCE = ld_los.EXT_REF_NO_1 AND ld_los.AMND_STATE = 'F' AND ld_los.STATUS IN ('A','U')</t>
        </is>
      </c>
    </row>
    <row r="44" ht="15" customHeight="1" s="335">
      <c r="A44" s="416" t="inlineStr">
        <is>
          <t>PG_BRONZE</t>
        </is>
      </c>
      <c r="B44" s="416" t="inlineStr">
        <is>
          <t>LOS_APP_LOAN_DISBURSEMENT</t>
        </is>
      </c>
      <c r="C44" s="416" t="inlineStr">
        <is>
          <t>FACILITY_ID</t>
        </is>
      </c>
      <c r="D44" s="416" t="inlineStr">
        <is>
          <t>TRIM(ld_los.FACILITY_ID)</t>
        </is>
      </c>
      <c r="E44" s="416" t="inlineStr">
        <is>
          <t>Customer Info Daily</t>
        </is>
      </c>
      <c r="F44" s="416" t="inlineStr">
        <is>
          <t>Facility Id</t>
        </is>
      </c>
      <c r="G44" s="416" t="inlineStr">
        <is>
          <t>CUST_INFO_DAILY</t>
        </is>
      </c>
      <c r="H44" s="416" t="inlineStr">
        <is>
          <t>FACILITY_ID</t>
        </is>
      </c>
      <c r="I44" s="482" t="inlineStr">
        <is>
          <t>VARCHAR2</t>
        </is>
      </c>
      <c r="J44" s="482" t="n">
        <v>100</v>
      </c>
      <c r="K44" s="416" t="inlineStr">
        <is>
          <t>Mã định danh hạn mức tín dụng</t>
        </is>
      </c>
      <c r="L44" s="416" t="n"/>
      <c r="M44" s="416">
        <f>"COMMENT ON COLUMN PG_SILVER."&amp;G44&amp;"."&amp;H44&amp;" IS '"&amp;K44&amp;"';"</f>
        <v/>
      </c>
      <c r="N44" s="416" t="inlineStr">
        <is>
          <t>LEFT JOIN PG_BRONZE.LOS_APP_LOAN_DISBURSEMENT ld_los ON stmt.OUR_REFERENCE = ld_los.EXT_REF_NO_1 AND ld_los.AMND_STATE = 'F' AND ld_los.STATUS IN ('A','U')</t>
        </is>
      </c>
    </row>
    <row r="45" ht="15" customHeight="1" s="335">
      <c r="A45" s="416" t="inlineStr">
        <is>
          <t>PG_BRONZE</t>
        </is>
      </c>
      <c r="B45" s="416" t="inlineStr">
        <is>
          <t>LOS_APP_LOAN_DISBURSEMENT</t>
        </is>
      </c>
      <c r="C45" s="416" t="inlineStr">
        <is>
          <t>STATUS</t>
        </is>
      </c>
      <c r="D45" s="416" t="inlineStr">
        <is>
          <t>TRIM(ld_los.STATUS)</t>
        </is>
      </c>
      <c r="E45" s="416" t="inlineStr">
        <is>
          <t>Customer Info Daily</t>
        </is>
      </c>
      <c r="F45" s="416" t="inlineStr">
        <is>
          <t>Status</t>
        </is>
      </c>
      <c r="G45" s="416" t="inlineStr">
        <is>
          <t>CUST_INFO_DAILY</t>
        </is>
      </c>
      <c r="H45" s="416" t="inlineStr">
        <is>
          <t>STATUS</t>
        </is>
      </c>
      <c r="I45" s="482" t="inlineStr">
        <is>
          <t>VARCHAR2</t>
        </is>
      </c>
      <c r="J45" s="482" t="n">
        <v>100</v>
      </c>
      <c r="K45" s="416" t="inlineStr">
        <is>
          <t>Trạng thái tín dụng</t>
        </is>
      </c>
      <c r="L45" s="416" t="n"/>
      <c r="M45" s="416">
        <f>"COMMENT ON COLUMN PG_SILVER."&amp;G45&amp;"."&amp;H45&amp;" IS '"&amp;K45&amp;"';"</f>
        <v/>
      </c>
      <c r="N45" s="416" t="inlineStr">
        <is>
          <t>LEFT JOIN PG_BRONZE.LOS_APP_LOAN_DISBURSEMENT ld_los ON stmt.OUR_REFERENCE = ld_los.EXT_REF_NO_1 AND ld_los.AMND_STATE = 'F' AND ld_los.STATUS IN ('A','U')</t>
        </is>
      </c>
    </row>
    <row r="46" ht="15" customHeight="1" s="335">
      <c r="A46" s="416" t="inlineStr">
        <is>
          <t>PG_BRONZE</t>
        </is>
      </c>
      <c r="B46" s="416" t="inlineStr">
        <is>
          <t>LOS_APP_PRODUCT</t>
        </is>
      </c>
      <c r="C46" s="416" t="inlineStr">
        <is>
          <t>ID</t>
        </is>
      </c>
      <c r="D46" s="416" t="inlineStr">
        <is>
          <t>TRIM(pd_los.ID)</t>
        </is>
      </c>
      <c r="E46" s="416" t="inlineStr">
        <is>
          <t>Customer Info Daily</t>
        </is>
      </c>
      <c r="F46" s="416" t="inlineStr">
        <is>
          <t>Prod Id</t>
        </is>
      </c>
      <c r="G46" s="416" t="inlineStr">
        <is>
          <t>CUST_INFO_DAILY</t>
        </is>
      </c>
      <c r="H46" s="416" t="inlineStr">
        <is>
          <t>PROD_ID</t>
        </is>
      </c>
      <c r="I46" s="482" t="inlineStr">
        <is>
          <t>VARCHAR2</t>
        </is>
      </c>
      <c r="J46" s="482" t="n">
        <v>100</v>
      </c>
      <c r="K46" s="416" t="inlineStr">
        <is>
          <t>Key của bản ghi</t>
        </is>
      </c>
      <c r="L46" s="416" t="n"/>
      <c r="M46" s="416">
        <f>"COMMENT ON COLUMN PG_SILVER."&amp;G46&amp;"."&amp;H46&amp;" IS '"&amp;K46&amp;"';"</f>
        <v/>
      </c>
      <c r="N46" s="416" t="inlineStr">
        <is>
          <t>LEFT JOIN PG_BRONZE.LOS_APP_PRODUCT pd_los ON fac.PRODUCT_ID = pd_los.ID</t>
        </is>
      </c>
    </row>
    <row r="47" ht="15" customHeight="1" s="335">
      <c r="A47" s="416" t="inlineStr">
        <is>
          <t>PG_BRONZE</t>
        </is>
      </c>
      <c r="B47" s="416" t="inlineStr">
        <is>
          <t>LOS_APP_PRODUCT</t>
        </is>
      </c>
      <c r="C47" s="416" t="inlineStr">
        <is>
          <t>PRODUCT_CODE</t>
        </is>
      </c>
      <c r="D47" s="416" t="inlineStr">
        <is>
          <t>TRIM(pd_los.PRODUCT_CODE)</t>
        </is>
      </c>
      <c r="E47" s="416" t="inlineStr">
        <is>
          <t>Customer Info Daily</t>
        </is>
      </c>
      <c r="F47" s="416" t="inlineStr">
        <is>
          <t>Product Code</t>
        </is>
      </c>
      <c r="G47" s="416" t="inlineStr">
        <is>
          <t>CUST_INFO_DAILY</t>
        </is>
      </c>
      <c r="H47" s="416" t="inlineStr">
        <is>
          <t>PRODUCT_CODE</t>
        </is>
      </c>
      <c r="I47" s="482" t="inlineStr">
        <is>
          <t>VARCHAR2</t>
        </is>
      </c>
      <c r="J47" s="482" t="n">
        <v>100</v>
      </c>
      <c r="K47" s="416" t="inlineStr">
        <is>
          <t>Mã sản phẩm</t>
        </is>
      </c>
      <c r="L47" s="416" t="n"/>
      <c r="M47" s="416">
        <f>"COMMENT ON COLUMN PG_SILVER."&amp;G47&amp;"."&amp;H47&amp;" IS '"&amp;K47&amp;"';"</f>
        <v/>
      </c>
      <c r="N47" s="416" t="inlineStr">
        <is>
          <t>LEFT JOIN PG_BRONZE.LOS_APP_PRODUCT pd_los ON fac.PRODUCT_ID = pd_los.ID</t>
        </is>
      </c>
    </row>
    <row r="48" ht="15" customHeight="1" s="335">
      <c r="A48" s="416" t="inlineStr">
        <is>
          <t>PG_BRONZE</t>
        </is>
      </c>
      <c r="B48" s="416" t="inlineStr">
        <is>
          <t>LOS_APP_PRODUCT</t>
        </is>
      </c>
      <c r="C48" s="416" t="inlineStr">
        <is>
          <t>PRODUCT_NAME</t>
        </is>
      </c>
      <c r="D48" s="416" t="inlineStr">
        <is>
          <t>TRIM(pd_los.PRODUCT_NAME)</t>
        </is>
      </c>
      <c r="E48" s="416" t="inlineStr">
        <is>
          <t>Customer Info Daily</t>
        </is>
      </c>
      <c r="F48" s="416" t="inlineStr">
        <is>
          <t>Product Name</t>
        </is>
      </c>
      <c r="G48" s="416" t="inlineStr">
        <is>
          <t>CUST_INFO_DAILY</t>
        </is>
      </c>
      <c r="H48" s="416" t="inlineStr">
        <is>
          <t>PRODUCT_NAME</t>
        </is>
      </c>
      <c r="I48" s="482" t="inlineStr">
        <is>
          <t>VARCHAR2</t>
        </is>
      </c>
      <c r="J48" s="482" t="n">
        <v>255</v>
      </c>
      <c r="K48" s="416" t="inlineStr">
        <is>
          <t>Tên sản phẩm</t>
        </is>
      </c>
      <c r="L48" s="416" t="n"/>
      <c r="M48" s="416">
        <f>"COMMENT ON COLUMN PG_SILVER."&amp;G48&amp;"."&amp;H48&amp;" IS '"&amp;K48&amp;"';"</f>
        <v/>
      </c>
      <c r="N48" s="416" t="inlineStr">
        <is>
          <t>LEFT JOIN PG_BRONZE.LOS_APP_PRODUCT pd_los ON fac.PRODUCT_ID = pd_los.ID</t>
        </is>
      </c>
    </row>
    <row r="49" ht="15" customHeight="1" s="335">
      <c r="A49" s="416" t="inlineStr">
        <is>
          <t>PG_BRONZE</t>
        </is>
      </c>
      <c r="B49" s="416" t="inlineStr">
        <is>
          <t>SMY_STMT_DAILY</t>
        </is>
      </c>
      <c r="C49" s="416" t="inlineStr">
        <is>
          <t>ACCOUNT</t>
        </is>
      </c>
      <c r="D49" s="416" t="inlineStr">
        <is>
          <t>TRIM(stmt.ACCOUNT)</t>
        </is>
      </c>
      <c r="E49" s="416" t="inlineStr">
        <is>
          <t>Customer Info Daily</t>
        </is>
      </c>
      <c r="F49" s="416" t="inlineStr">
        <is>
          <t>Account</t>
        </is>
      </c>
      <c r="G49" s="416" t="inlineStr">
        <is>
          <t>CUST_INFO_DAILY</t>
        </is>
      </c>
      <c r="H49" s="416" t="inlineStr">
        <is>
          <t>ACCOUNT</t>
        </is>
      </c>
      <c r="I49" s="482" t="inlineStr">
        <is>
          <t>VARCHAR2</t>
        </is>
      </c>
      <c r="J49" s="482" t="n">
        <v>100</v>
      </c>
      <c r="K49" s="416" t="inlineStr">
        <is>
          <t>Trường ACCOUNT của bảng nguồn SMY.STMT_DAILY</t>
        </is>
      </c>
      <c r="L49" s="416" t="n"/>
      <c r="M49" s="416">
        <f>"COMMENT ON COLUMN PG_SILVER."&amp;G49&amp;"."&amp;H49&amp;" IS '"&amp;K49&amp;"';"</f>
        <v/>
      </c>
      <c r="N49" s="416" t="inlineStr">
        <is>
          <t>FROM PG_BRONZE.SMY_STMT_DAILY stmt WHERE stmt.BOOKING_DATE = ${ETL_DATE}</t>
        </is>
      </c>
    </row>
    <row r="50" ht="15" customHeight="1" s="335">
      <c r="A50" s="416" t="inlineStr">
        <is>
          <t>PG_BRONZE</t>
        </is>
      </c>
      <c r="B50" s="416" t="inlineStr">
        <is>
          <t>SMY_STMT_DAILY</t>
        </is>
      </c>
      <c r="C50" s="416" t="inlineStr">
        <is>
          <t>ACCOUNT_ID</t>
        </is>
      </c>
      <c r="D50" s="416" t="inlineStr">
        <is>
          <t>TRIM(stmt.ACCOUNT_ID)</t>
        </is>
      </c>
      <c r="E50" s="416" t="inlineStr">
        <is>
          <t>Customer Info Daily</t>
        </is>
      </c>
      <c r="F50" s="416" t="inlineStr">
        <is>
          <t>Account Id</t>
        </is>
      </c>
      <c r="G50" s="416" t="inlineStr">
        <is>
          <t>CUST_INFO_DAILY</t>
        </is>
      </c>
      <c r="H50" s="416" t="inlineStr">
        <is>
          <t>ACCOUNT_ID</t>
        </is>
      </c>
      <c r="I50" s="482" t="inlineStr">
        <is>
          <t>VARCHAR2</t>
        </is>
      </c>
      <c r="J50" s="482" t="n">
        <v>100</v>
      </c>
      <c r="K50" s="416" t="inlineStr">
        <is>
          <t>Trường ACCOUNT_ID của bảng nguồn SMY.STMT_DAILY</t>
        </is>
      </c>
      <c r="L50" s="416" t="n"/>
      <c r="M50" s="416">
        <f>"COMMENT ON COLUMN PG_SILVER."&amp;G50&amp;"."&amp;H50&amp;" IS '"&amp;K50&amp;"';"</f>
        <v/>
      </c>
      <c r="N50" s="416" t="inlineStr">
        <is>
          <t>FROM PG_BRONZE.SMY_STMT_DAILY stmt WHERE stmt.BOOKING_DATE = ${ETL_DATE}</t>
        </is>
      </c>
    </row>
    <row r="51" ht="15" customHeight="1" s="335">
      <c r="A51" s="416" t="inlineStr">
        <is>
          <t>PG_BRONZE</t>
        </is>
      </c>
      <c r="B51" s="416" t="inlineStr">
        <is>
          <t>SMY_STMT_DAILY</t>
        </is>
      </c>
      <c r="C51" s="416" t="inlineStr">
        <is>
          <t>ACCOUNT_NUM</t>
        </is>
      </c>
      <c r="D51" s="416" t="inlineStr">
        <is>
          <t>TRIM(stmt.ACCOUNT_NUM)</t>
        </is>
      </c>
      <c r="E51" s="416" t="inlineStr">
        <is>
          <t>Customer Info Daily</t>
        </is>
      </c>
      <c r="F51" s="416" t="inlineStr">
        <is>
          <t>Account Num</t>
        </is>
      </c>
      <c r="G51" s="416" t="inlineStr">
        <is>
          <t>CUST_INFO_DAILY</t>
        </is>
      </c>
      <c r="H51" s="416" t="inlineStr">
        <is>
          <t>ACCOUNT_NUM</t>
        </is>
      </c>
      <c r="I51" s="482" t="inlineStr">
        <is>
          <t>VARCHAR2</t>
        </is>
      </c>
      <c r="J51" s="482" t="n">
        <v>100</v>
      </c>
      <c r="K51" s="416" t="inlineStr">
        <is>
          <t>Trường ACCOUNT_NUM của bảng nguồn SMY.STMT_DAILY</t>
        </is>
      </c>
      <c r="L51" s="416" t="n"/>
      <c r="M51" s="416">
        <f>"COMMENT ON COLUMN PG_SILVER."&amp;G51&amp;"."&amp;H51&amp;" IS '"&amp;K51&amp;"';"</f>
        <v/>
      </c>
      <c r="N51" s="416" t="inlineStr">
        <is>
          <t>FROM PG_BRONZE.SMY_STMT_DAILY stmt WHERE stmt.BOOKING_DATE = ${ETL_DATE}</t>
        </is>
      </c>
    </row>
    <row r="52" ht="15" customHeight="1" s="335">
      <c r="A52" s="416" t="inlineStr">
        <is>
          <t>PG_BRONZE</t>
        </is>
      </c>
      <c r="B52" s="416" t="inlineStr">
        <is>
          <t>SMY_STMT_DAILY</t>
        </is>
      </c>
      <c r="C52" s="416" t="inlineStr">
        <is>
          <t>ACCOUNT_NUMBER</t>
        </is>
      </c>
      <c r="D52" s="416" t="inlineStr">
        <is>
          <t>TRIM(stmt.ACCOUNT_NUMBER)</t>
        </is>
      </c>
      <c r="E52" s="416" t="inlineStr">
        <is>
          <t>Customer Info Daily</t>
        </is>
      </c>
      <c r="F52" s="416" t="inlineStr">
        <is>
          <t>Account Number</t>
        </is>
      </c>
      <c r="G52" s="416" t="inlineStr">
        <is>
          <t>CUST_INFO_DAILY</t>
        </is>
      </c>
      <c r="H52" s="416" t="inlineStr">
        <is>
          <t>ACCOUNT_NUMBER</t>
        </is>
      </c>
      <c r="I52" s="482" t="inlineStr">
        <is>
          <t>VARCHAR2</t>
        </is>
      </c>
      <c r="J52" s="482" t="n">
        <v>100</v>
      </c>
      <c r="K52" s="416" t="inlineStr">
        <is>
          <t>Số tài khoản liên quan</t>
        </is>
      </c>
      <c r="L52" s="416" t="n"/>
      <c r="M52" s="416">
        <f>"COMMENT ON COLUMN PG_SILVER."&amp;G52&amp;"."&amp;H52&amp;" IS '"&amp;K52&amp;"';"</f>
        <v/>
      </c>
      <c r="N52" s="416" t="inlineStr">
        <is>
          <t>FROM PG_BRONZE.SMY_STMT_DAILY stmt WHERE stmt.BOOKING_DATE = ${ETL_DATE}</t>
        </is>
      </c>
    </row>
    <row r="53" ht="15" customHeight="1" s="335">
      <c r="A53" s="416" t="inlineStr">
        <is>
          <t>PG_BRONZE</t>
        </is>
      </c>
      <c r="B53" s="416" t="inlineStr">
        <is>
          <t>SMY_STMT_DAILY</t>
        </is>
      </c>
      <c r="C53" s="416" t="inlineStr">
        <is>
          <t>ACCOUNTING_DATE</t>
        </is>
      </c>
      <c r="D53" s="416" t="inlineStr">
        <is>
          <t>TO_DATE(CAST(stmt.ACCOUNTING_DATE AS VARCHAR(20)), 'YYYYMMDD')</t>
        </is>
      </c>
      <c r="E53" s="416" t="inlineStr">
        <is>
          <t>Customer Info Daily</t>
        </is>
      </c>
      <c r="F53" s="416" t="inlineStr">
        <is>
          <t>Accounting Date</t>
        </is>
      </c>
      <c r="G53" s="416" t="inlineStr">
        <is>
          <t>CUST_INFO_DAILY</t>
        </is>
      </c>
      <c r="H53" s="416" t="inlineStr">
        <is>
          <t>ACCOUNTING_DATE</t>
        </is>
      </c>
      <c r="I53" s="482" t="inlineStr">
        <is>
          <t>DATE</t>
        </is>
      </c>
      <c r="J53" s="482" t="n"/>
      <c r="K53" s="416" t="inlineStr">
        <is>
          <t>Ngày hạch toán</t>
        </is>
      </c>
      <c r="L53" s="416" t="n"/>
      <c r="M53" s="416">
        <f>"COMMENT ON COLUMN PG_SILVER."&amp;G53&amp;"."&amp;H53&amp;" IS '"&amp;K53&amp;"';"</f>
        <v/>
      </c>
      <c r="N53" s="416" t="inlineStr">
        <is>
          <t>FROM PG_BRONZE.SMY_STMT_DAILY stmt WHERE stmt.BOOKING_DATE = ${ETL_DATE}</t>
        </is>
      </c>
    </row>
    <row r="54" ht="15" customHeight="1" s="335">
      <c r="A54" s="416" t="inlineStr">
        <is>
          <t>PG_BRONZE</t>
        </is>
      </c>
      <c r="B54" s="416" t="inlineStr">
        <is>
          <t>SMY_STMT_DAILY</t>
        </is>
      </c>
      <c r="C54" s="416" t="inlineStr">
        <is>
          <t>ACCT_ID</t>
        </is>
      </c>
      <c r="D54" s="416" t="inlineStr">
        <is>
          <t>TRIM(stmt.ACCT_ID)</t>
        </is>
      </c>
      <c r="E54" s="416" t="inlineStr">
        <is>
          <t>Customer Info Daily</t>
        </is>
      </c>
      <c r="F54" s="416" t="inlineStr">
        <is>
          <t>Acct Id</t>
        </is>
      </c>
      <c r="G54" s="416" t="inlineStr">
        <is>
          <t>CUST_INFO_DAILY</t>
        </is>
      </c>
      <c r="H54" s="416" t="inlineStr">
        <is>
          <t>ACCT_ID</t>
        </is>
      </c>
      <c r="I54" s="482" t="inlineStr">
        <is>
          <t>VARCHAR2</t>
        </is>
      </c>
      <c r="J54" s="482" t="n">
        <v>100</v>
      </c>
      <c r="K54" s="416" t="inlineStr">
        <is>
          <t>Maã định danh tài khoản</t>
        </is>
      </c>
      <c r="L54" s="416" t="n"/>
      <c r="M54" s="416">
        <f>"COMMENT ON COLUMN PG_SILVER."&amp;G54&amp;"."&amp;H54&amp;" IS '"&amp;K54&amp;"';"</f>
        <v/>
      </c>
      <c r="N54" s="416" t="inlineStr">
        <is>
          <t>FROM PG_BRONZE.SMY_STMT_DAILY stmt WHERE stmt.BOOKING_DATE = ${ETL_DATE}</t>
        </is>
      </c>
    </row>
    <row r="55" ht="15" customHeight="1" s="335">
      <c r="A55" s="416" t="inlineStr">
        <is>
          <t>PG_BRONZE</t>
        </is>
      </c>
      <c r="B55" s="416" t="inlineStr">
        <is>
          <t>SMY_STMT_DAILY</t>
        </is>
      </c>
      <c r="C55" s="416" t="inlineStr">
        <is>
          <t>AMOUNT_FCY</t>
        </is>
      </c>
      <c r="D55" s="416" t="inlineStr">
        <is>
          <t>COALESCE(CAST(stmt.AMOUNT_FCY AS DECIMAL(25,5)), 0)</t>
        </is>
      </c>
      <c r="E55" s="416" t="inlineStr">
        <is>
          <t>Customer Info Daily</t>
        </is>
      </c>
      <c r="F55" s="416" t="inlineStr">
        <is>
          <t>Amount Fcy</t>
        </is>
      </c>
      <c r="G55" s="416" t="inlineStr">
        <is>
          <t>CUST_INFO_DAILY</t>
        </is>
      </c>
      <c r="H55" s="416" t="inlineStr">
        <is>
          <t>AMOUNT_FCY</t>
        </is>
      </c>
      <c r="I55" s="482" t="inlineStr">
        <is>
          <t>NUMBER</t>
        </is>
      </c>
      <c r="J55" s="482" t="n">
        <v>25.5</v>
      </c>
      <c r="K55" s="416" t="inlineStr">
        <is>
          <t>Dư nợ nguyên tệ</t>
        </is>
      </c>
      <c r="L55" s="416" t="n"/>
      <c r="M55" s="416">
        <f>"COMMENT ON COLUMN PG_SILVER."&amp;G55&amp;"."&amp;H55&amp;" IS '"&amp;K55&amp;"';"</f>
        <v/>
      </c>
      <c r="N55" s="416" t="inlineStr">
        <is>
          <t>FROM PG_BRONZE.SMY_STMT_DAILY stmt WHERE stmt.BOOKING_DATE = ${ETL_DATE}</t>
        </is>
      </c>
    </row>
    <row r="56" ht="15" customHeight="1" s="335">
      <c r="A56" s="416" t="inlineStr">
        <is>
          <t>PG_BRONZE</t>
        </is>
      </c>
      <c r="B56" s="416" t="inlineStr">
        <is>
          <t>SMY_STMT_DAILY</t>
        </is>
      </c>
      <c r="C56" s="416" t="inlineStr">
        <is>
          <t>AMOUNT_LCY</t>
        </is>
      </c>
      <c r="D56" s="416" t="inlineStr">
        <is>
          <t>COALESCE(CAST(stmt.AMOUNT_LCY AS DECIMAL(25,5)), 0)</t>
        </is>
      </c>
      <c r="E56" s="416" t="inlineStr">
        <is>
          <t>Customer Info Daily</t>
        </is>
      </c>
      <c r="F56" s="416" t="inlineStr">
        <is>
          <t>Amount Lcy</t>
        </is>
      </c>
      <c r="G56" s="416" t="inlineStr">
        <is>
          <t>CUST_INFO_DAILY</t>
        </is>
      </c>
      <c r="H56" s="416" t="inlineStr">
        <is>
          <t>AMOUNT_LCY</t>
        </is>
      </c>
      <c r="I56" s="482" t="inlineStr">
        <is>
          <t>NUMBER</t>
        </is>
      </c>
      <c r="J56" s="482" t="n">
        <v>25.5</v>
      </c>
      <c r="K56" s="416" t="inlineStr">
        <is>
          <t>Dư nợ quy đổi</t>
        </is>
      </c>
      <c r="L56" s="416" t="n"/>
      <c r="M56" s="416">
        <f>"COMMENT ON COLUMN PG_SILVER."&amp;G56&amp;"."&amp;H56&amp;" IS '"&amp;K56&amp;"';"</f>
        <v/>
      </c>
      <c r="N56" s="416" t="inlineStr">
        <is>
          <t>FROM PG_BRONZE.SMY_STMT_DAILY stmt WHERE stmt.BOOKING_DATE = ${ETL_DATE}</t>
        </is>
      </c>
    </row>
    <row r="57" ht="15" customHeight="1" s="335">
      <c r="A57" s="416" t="inlineStr">
        <is>
          <t>PG_BRONZE</t>
        </is>
      </c>
      <c r="B57" s="416" t="inlineStr">
        <is>
          <t>SMY_STMT_DAILY</t>
        </is>
      </c>
      <c r="C57" s="416" t="inlineStr">
        <is>
          <t>BALANCE_TYPE</t>
        </is>
      </c>
      <c r="D57" s="416" t="inlineStr">
        <is>
          <t>TRIM(stmt.BALANCE_TYPE)</t>
        </is>
      </c>
      <c r="E57" s="416" t="inlineStr">
        <is>
          <t>Customer Info Daily</t>
        </is>
      </c>
      <c r="F57" s="416" t="inlineStr">
        <is>
          <t>Balance Type</t>
        </is>
      </c>
      <c r="G57" s="416" t="inlineStr">
        <is>
          <t>CUST_INFO_DAILY</t>
        </is>
      </c>
      <c r="H57" s="416" t="inlineStr">
        <is>
          <t>BALANCE_TYPE</t>
        </is>
      </c>
      <c r="I57" s="482" t="inlineStr">
        <is>
          <t>VARCHAR2</t>
        </is>
      </c>
      <c r="J57" s="482" t="n">
        <v>20</v>
      </c>
      <c r="K57" s="416" t="inlineStr">
        <is>
          <t>Loại bút toán</t>
        </is>
      </c>
      <c r="L57" s="416" t="n"/>
      <c r="M57" s="416">
        <f>"COMMENT ON COLUMN PG_SILVER."&amp;G57&amp;"."&amp;H57&amp;" IS '"&amp;K57&amp;"';"</f>
        <v/>
      </c>
      <c r="N57" s="416" t="inlineStr">
        <is>
          <t>FROM PG_BRONZE.SMY_STMT_DAILY stmt WHERE stmt.BOOKING_DATE = ${ETL_DATE}</t>
        </is>
      </c>
    </row>
    <row r="58" ht="15" customHeight="1" s="335">
      <c r="A58" s="416" t="inlineStr">
        <is>
          <t>PG_BRONZE</t>
        </is>
      </c>
      <c r="B58" s="416" t="inlineStr">
        <is>
          <t>SMY_STMT_DAILY</t>
        </is>
      </c>
      <c r="C58" s="416" t="inlineStr">
        <is>
          <t>BOOKING_DATE</t>
        </is>
      </c>
      <c r="D58" s="416" t="inlineStr">
        <is>
          <t>TO_DATE(CAST(stmt.BOOKING_DATE AS VARCHAR(20)), 'YYYYMMDD')</t>
        </is>
      </c>
      <c r="E58" s="416" t="inlineStr">
        <is>
          <t>Customer Info Daily</t>
        </is>
      </c>
      <c r="F58" s="416" t="inlineStr">
        <is>
          <t>Booking Date</t>
        </is>
      </c>
      <c r="G58" s="416" t="inlineStr">
        <is>
          <t>CUST_INFO_DAILY</t>
        </is>
      </c>
      <c r="H58" s="416" t="inlineStr">
        <is>
          <t>BOOKING_DATE</t>
        </is>
      </c>
      <c r="I58" s="482" t="inlineStr">
        <is>
          <t>DATE</t>
        </is>
      </c>
      <c r="J58" s="482" t="n"/>
      <c r="K58" s="416" t="inlineStr">
        <is>
          <t>Ngay but toan ghi nhan vao he thong</t>
        </is>
      </c>
      <c r="L58" s="416" t="n"/>
      <c r="M58" s="416">
        <f>"COMMENT ON COLUMN PG_SILVER."&amp;G58&amp;"."&amp;H58&amp;" IS '"&amp;K58&amp;"';"</f>
        <v/>
      </c>
      <c r="N58" s="416" t="inlineStr">
        <is>
          <t>FROM PG_BRONZE.SMY_STMT_DAILY stmt WHERE stmt.BOOKING_DATE = ${ETL_DATE}</t>
        </is>
      </c>
    </row>
    <row r="59" ht="15" customHeight="1" s="335">
      <c r="A59" s="416" t="inlineStr">
        <is>
          <t>PG_BRONZE</t>
        </is>
      </c>
      <c r="B59" s="416" t="inlineStr">
        <is>
          <t>SMY_STMT_DAILY</t>
        </is>
      </c>
      <c r="C59" s="416" t="inlineStr">
        <is>
          <t>CARD_NUMBER</t>
        </is>
      </c>
      <c r="D59" s="416" t="inlineStr">
        <is>
          <t>TRIM(stmt.CARD_NUMBER)</t>
        </is>
      </c>
      <c r="E59" s="416" t="inlineStr">
        <is>
          <t>Customer Info Daily</t>
        </is>
      </c>
      <c r="F59" s="416" t="inlineStr">
        <is>
          <t>Card Number</t>
        </is>
      </c>
      <c r="G59" s="416" t="inlineStr">
        <is>
          <t>CUST_INFO_DAILY</t>
        </is>
      </c>
      <c r="H59" s="416" t="inlineStr">
        <is>
          <t>CARD_NUMBER</t>
        </is>
      </c>
      <c r="I59" s="482" t="inlineStr">
        <is>
          <t>VARCHAR2</t>
        </is>
      </c>
      <c r="J59" s="482" t="n">
        <v>100</v>
      </c>
      <c r="K59" s="416" t="inlineStr">
        <is>
          <t>Số thẻ</t>
        </is>
      </c>
      <c r="L59" s="416" t="n"/>
      <c r="M59" s="416">
        <f>"COMMENT ON COLUMN PG_SILVER."&amp;G59&amp;"."&amp;H59&amp;" IS '"&amp;K59&amp;"';"</f>
        <v/>
      </c>
      <c r="N59" s="416" t="inlineStr">
        <is>
          <t>FROM PG_BRONZE.SMY_STMT_DAILY stmt WHERE stmt.BOOKING_DATE = ${ETL_DATE}</t>
        </is>
      </c>
    </row>
    <row r="60" ht="15" customHeight="1" s="335">
      <c r="A60" s="416" t="inlineStr">
        <is>
          <t>PG_BRONZE</t>
        </is>
      </c>
      <c r="B60" s="416" t="inlineStr">
        <is>
          <t>SMY_STMT_DAILY</t>
        </is>
      </c>
      <c r="C60" s="416" t="inlineStr">
        <is>
          <t>CO_CODE</t>
        </is>
      </c>
      <c r="D60" s="416" t="inlineStr">
        <is>
          <t>TRIM(stmt.CO_CODE)</t>
        </is>
      </c>
      <c r="E60" s="416" t="inlineStr">
        <is>
          <t>Customer Info Daily</t>
        </is>
      </c>
      <c r="F60" s="416" t="inlineStr">
        <is>
          <t>Co Code</t>
        </is>
      </c>
      <c r="G60" s="416" t="inlineStr">
        <is>
          <t>CUST_INFO_DAILY</t>
        </is>
      </c>
      <c r="H60" s="416" t="inlineStr">
        <is>
          <t>CO_CODE</t>
        </is>
      </c>
      <c r="I60" s="482" t="inlineStr">
        <is>
          <t>VARCHAR2</t>
        </is>
      </c>
      <c r="J60" s="482" t="n">
        <v>100</v>
      </c>
      <c r="K60" s="416" t="inlineStr">
        <is>
          <t>Trường CO_CODE của bảng nguồn SMY.STMT_DAILY</t>
        </is>
      </c>
      <c r="L60" s="416" t="n"/>
      <c r="M60" s="416">
        <f>"COMMENT ON COLUMN PG_SILVER."&amp;G60&amp;"."&amp;H60&amp;" IS '"&amp;K60&amp;"';"</f>
        <v/>
      </c>
      <c r="N60" s="416" t="inlineStr">
        <is>
          <t>FROM PG_BRONZE.SMY_STMT_DAILY stmt WHERE stmt.BOOKING_DATE = ${ETL_DATE}</t>
        </is>
      </c>
    </row>
    <row r="61" ht="15" customHeight="1" s="335">
      <c r="A61" s="416" t="inlineStr">
        <is>
          <t>PG_BRONZE</t>
        </is>
      </c>
      <c r="B61" s="416" t="inlineStr">
        <is>
          <t>SMY_STMT_DAILY</t>
        </is>
      </c>
      <c r="C61" s="416" t="inlineStr">
        <is>
          <t>COMMIT_ACTION</t>
        </is>
      </c>
      <c r="D61" s="416" t="inlineStr">
        <is>
          <t>TRIM(stmt.COMMIT_ACTION)</t>
        </is>
      </c>
      <c r="E61" s="416" t="inlineStr">
        <is>
          <t>Customer Info Daily</t>
        </is>
      </c>
      <c r="F61" s="416" t="inlineStr">
        <is>
          <t>Commit Action</t>
        </is>
      </c>
      <c r="G61" s="416" t="inlineStr">
        <is>
          <t>CUST_INFO_DAILY</t>
        </is>
      </c>
      <c r="H61" s="416" t="inlineStr">
        <is>
          <t>COMMIT_ACTION</t>
        </is>
      </c>
      <c r="I61" s="482" t="inlineStr">
        <is>
          <t>VARCHAR2</t>
        </is>
      </c>
      <c r="J61" s="482" t="n">
        <v>100</v>
      </c>
      <c r="K61" s="416" t="inlineStr">
        <is>
          <t>Trường kỹ thuật đánh dấu bản ghi IUD</t>
        </is>
      </c>
      <c r="L61" s="416" t="n"/>
      <c r="M61" s="416">
        <f>"COMMENT ON COLUMN PG_SILVER."&amp;G61&amp;"."&amp;H61&amp;" IS '"&amp;K61&amp;"';"</f>
        <v/>
      </c>
      <c r="N61" s="416" t="inlineStr">
        <is>
          <t>FROM PG_BRONZE.SMY_STMT_DAILY stmt WHERE stmt.BOOKING_DATE = ${ETL_DATE}</t>
        </is>
      </c>
    </row>
    <row r="62" ht="15" customHeight="1" s="335">
      <c r="A62" s="416" t="inlineStr">
        <is>
          <t>PG_BRONZE</t>
        </is>
      </c>
      <c r="B62" s="416" t="inlineStr">
        <is>
          <t>SMY_STMT_DAILY</t>
        </is>
      </c>
      <c r="C62" s="416" t="inlineStr">
        <is>
          <t>COMMIT_TS</t>
        </is>
      </c>
      <c r="D62" s="416" t="inlineStr">
        <is>
          <t>stmt.COMMIT_TS</t>
        </is>
      </c>
      <c r="E62" s="416" t="inlineStr">
        <is>
          <t>Customer Info Daily</t>
        </is>
      </c>
      <c r="F62" s="416" t="inlineStr">
        <is>
          <t>Commit Ts</t>
        </is>
      </c>
      <c r="G62" s="416" t="inlineStr">
        <is>
          <t>CUST_INFO_DAILY</t>
        </is>
      </c>
      <c r="H62" s="416" t="inlineStr">
        <is>
          <t>COMMIT_TS</t>
        </is>
      </c>
      <c r="I62" s="482" t="inlineStr">
        <is>
          <t>TIMESTAMP</t>
        </is>
      </c>
      <c r="J62" s="482" t="n"/>
      <c r="K62" s="416" t="inlineStr">
        <is>
          <t>Thời điểm ghi nhận commit giao dịch trên Core T24</t>
        </is>
      </c>
      <c r="L62" s="416" t="n"/>
      <c r="M62" s="416">
        <f>"COMMENT ON COLUMN PG_SILVER."&amp;G62&amp;"."&amp;H62&amp;" IS '"&amp;K62&amp;"';"</f>
        <v/>
      </c>
      <c r="N62" s="416" t="inlineStr">
        <is>
          <t>FROM PG_BRONZE.SMY_STMT_DAILY stmt WHERE stmt.BOOKING_DATE = ${ETL_DATE}</t>
        </is>
      </c>
    </row>
    <row r="63" ht="15" customHeight="1" s="335">
      <c r="A63" s="416" t="inlineStr">
        <is>
          <t>PG_BRONZE</t>
        </is>
      </c>
      <c r="B63" s="416" t="inlineStr">
        <is>
          <t>SMY_STMT_DAILY</t>
        </is>
      </c>
      <c r="C63" s="416" t="inlineStr">
        <is>
          <t>COMPANY_CODE</t>
        </is>
      </c>
      <c r="D63" s="416" t="inlineStr">
        <is>
          <t>TRIM(stmt.COMPANY_CODE)</t>
        </is>
      </c>
      <c r="E63" s="416" t="inlineStr">
        <is>
          <t>Customer Info Daily</t>
        </is>
      </c>
      <c r="F63" s="416" t="inlineStr">
        <is>
          <t>Company Code</t>
        </is>
      </c>
      <c r="G63" s="416" t="inlineStr">
        <is>
          <t>CUST_INFO_DAILY</t>
        </is>
      </c>
      <c r="H63" s="416" t="inlineStr">
        <is>
          <t>COMPANY_CODE</t>
        </is>
      </c>
      <c r="I63" s="482" t="inlineStr">
        <is>
          <t>VARCHAR2</t>
        </is>
      </c>
      <c r="J63" s="482" t="n">
        <v>100</v>
      </c>
      <c r="K63" s="416" t="inlineStr">
        <is>
          <t>Mã chi nhánh hạch toán</t>
        </is>
      </c>
      <c r="L63" s="416" t="n"/>
      <c r="M63" s="416">
        <f>"COMMENT ON COLUMN PG_SILVER."&amp;G63&amp;"."&amp;H63&amp;" IS '"&amp;K63&amp;"';"</f>
        <v/>
      </c>
      <c r="N63" s="416" t="inlineStr">
        <is>
          <t>FROM PG_BRONZE.SMY_STMT_DAILY stmt WHERE stmt.BOOKING_DATE = ${ETL_DATE}</t>
        </is>
      </c>
    </row>
    <row r="64" ht="15" customHeight="1" s="335">
      <c r="A64" s="416" t="inlineStr">
        <is>
          <t>PG_BRONZE</t>
        </is>
      </c>
      <c r="B64" s="416" t="inlineStr">
        <is>
          <t>SMY_STMT_DAILY</t>
        </is>
      </c>
      <c r="C64" s="416" t="inlineStr">
        <is>
          <t>CONSOL_KEY</t>
        </is>
      </c>
      <c r="D64" s="416" t="inlineStr">
        <is>
          <t>TRIM(stmt.CONSOL_KEY)</t>
        </is>
      </c>
      <c r="E64" s="416" t="inlineStr">
        <is>
          <t>Customer Info Daily</t>
        </is>
      </c>
      <c r="F64" s="416" t="inlineStr">
        <is>
          <t>Consol Key</t>
        </is>
      </c>
      <c r="G64" s="416" t="inlineStr">
        <is>
          <t>CUST_INFO_DAILY</t>
        </is>
      </c>
      <c r="H64" s="416" t="inlineStr">
        <is>
          <t>CONSOL_KEY</t>
        </is>
      </c>
      <c r="I64" s="482" t="inlineStr">
        <is>
          <t>VARCHAR2</t>
        </is>
      </c>
      <c r="J64" s="482" t="n">
        <v>100</v>
      </c>
      <c r="K64" s="416" t="inlineStr">
        <is>
          <t>Consol key của bút toán STMT</t>
        </is>
      </c>
      <c r="L64" s="416" t="n"/>
      <c r="M64" s="416">
        <f>"COMMENT ON COLUMN PG_SILVER."&amp;G64&amp;"."&amp;H64&amp;" IS '"&amp;K64&amp;"';"</f>
        <v/>
      </c>
      <c r="N64" s="416" t="inlineStr">
        <is>
          <t>FROM PG_BRONZE.SMY_STMT_DAILY stmt WHERE stmt.BOOKING_DATE = ${ETL_DATE}</t>
        </is>
      </c>
    </row>
    <row r="65" ht="15" customHeight="1" s="335">
      <c r="A65" s="416" t="inlineStr">
        <is>
          <t>PG_BRONZE</t>
        </is>
      </c>
      <c r="B65" s="416" t="inlineStr">
        <is>
          <t>SMY_STMT_DAILY</t>
        </is>
      </c>
      <c r="C65" s="416" t="inlineStr">
        <is>
          <t>CONTRACT_BAL_ID</t>
        </is>
      </c>
      <c r="D65" s="416" t="inlineStr">
        <is>
          <t>TRIM(stmt.CONTRACT_BAL_ID)</t>
        </is>
      </c>
      <c r="E65" s="416" t="inlineStr">
        <is>
          <t>Customer Info Daily</t>
        </is>
      </c>
      <c r="F65" s="416" t="inlineStr">
        <is>
          <t>Contract Bal Id</t>
        </is>
      </c>
      <c r="G65" s="416" t="inlineStr">
        <is>
          <t>CUST_INFO_DAILY</t>
        </is>
      </c>
      <c r="H65" s="416" t="inlineStr">
        <is>
          <t>CONTRACT_BAL_ID</t>
        </is>
      </c>
      <c r="I65" s="482" t="inlineStr">
        <is>
          <t>VARCHAR2</t>
        </is>
      </c>
      <c r="J65" s="482" t="n">
        <v>40</v>
      </c>
      <c r="K65" s="416" t="inlineStr">
        <is>
          <t>Trường CONTRACT_BAL_ID của bảng nguồn SMY.STMT_DAILY</t>
        </is>
      </c>
      <c r="L65" s="416" t="n"/>
      <c r="M65" s="416">
        <f>"COMMENT ON COLUMN PG_SILVER."&amp;G65&amp;"."&amp;H65&amp;" IS '"&amp;K65&amp;"';"</f>
        <v/>
      </c>
      <c r="N65" s="416" t="inlineStr">
        <is>
          <t>FROM PG_BRONZE.SMY_STMT_DAILY stmt WHERE stmt.BOOKING_DATE = ${ETL_DATE}</t>
        </is>
      </c>
    </row>
    <row r="66" ht="15" customHeight="1" s="335">
      <c r="A66" s="416" t="inlineStr">
        <is>
          <t>PG_BRONZE</t>
        </is>
      </c>
      <c r="B66" s="416" t="inlineStr">
        <is>
          <t>SMY_STMT_DAILY</t>
        </is>
      </c>
      <c r="C66" s="416" t="inlineStr">
        <is>
          <t>CRF_PROD_CAT</t>
        </is>
      </c>
      <c r="D66" s="416" t="inlineStr">
        <is>
          <t>TRIM(stmt.CRF_PROD_CAT)</t>
        </is>
      </c>
      <c r="E66" s="416" t="inlineStr">
        <is>
          <t>Customer Info Daily</t>
        </is>
      </c>
      <c r="F66" s="416" t="inlineStr">
        <is>
          <t>Crf Prod Cat</t>
        </is>
      </c>
      <c r="G66" s="416" t="inlineStr">
        <is>
          <t>CUST_INFO_DAILY</t>
        </is>
      </c>
      <c r="H66" s="416" t="inlineStr">
        <is>
          <t>CRF_PROD_CAT</t>
        </is>
      </c>
      <c r="I66" s="482" t="inlineStr">
        <is>
          <t>VARCHAR2</t>
        </is>
      </c>
      <c r="J66" s="482" t="n">
        <v>100</v>
      </c>
      <c r="K66" s="416" t="inlineStr">
        <is>
          <t>Mã Category phân loại bút toán</t>
        </is>
      </c>
      <c r="L66" s="416" t="n"/>
      <c r="M66" s="416">
        <f>"COMMENT ON COLUMN PG_SILVER."&amp;G66&amp;"."&amp;H66&amp;" IS '"&amp;K66&amp;"';"</f>
        <v/>
      </c>
      <c r="N66" s="416" t="inlineStr">
        <is>
          <t>FROM PG_BRONZE.SMY_STMT_DAILY stmt WHERE stmt.BOOKING_DATE = ${ETL_DATE}</t>
        </is>
      </c>
    </row>
    <row r="67" ht="15" customHeight="1" s="335">
      <c r="A67" s="416" t="inlineStr">
        <is>
          <t>PG_BRONZE</t>
        </is>
      </c>
      <c r="B67" s="416" t="inlineStr">
        <is>
          <t>SMY_STMT_DAILY</t>
        </is>
      </c>
      <c r="C67" s="416" t="inlineStr">
        <is>
          <t>CRF_TYPE</t>
        </is>
      </c>
      <c r="D67" s="416" t="inlineStr">
        <is>
          <t>TRIM(stmt.CRF_TYPE)</t>
        </is>
      </c>
      <c r="E67" s="416" t="inlineStr">
        <is>
          <t>Customer Info Daily</t>
        </is>
      </c>
      <c r="F67" s="416" t="inlineStr">
        <is>
          <t>Crf Type</t>
        </is>
      </c>
      <c r="G67" s="416" t="inlineStr">
        <is>
          <t>CUST_INFO_DAILY</t>
        </is>
      </c>
      <c r="H67" s="416" t="inlineStr">
        <is>
          <t>CRF_TYPE</t>
        </is>
      </c>
      <c r="I67" s="482" t="inlineStr">
        <is>
          <t>VARCHAR2</t>
        </is>
      </c>
      <c r="J67" s="482" t="n">
        <v>100</v>
      </c>
      <c r="K67" s="416" t="inlineStr">
        <is>
          <t>Cờ đánh dấu ghi nợ/ghi có</t>
        </is>
      </c>
      <c r="L67" s="416" t="n"/>
      <c r="M67" s="416">
        <f>"COMMENT ON COLUMN PG_SILVER."&amp;G67&amp;"."&amp;H67&amp;" IS '"&amp;K67&amp;"';"</f>
        <v/>
      </c>
      <c r="N67" s="416" t="inlineStr">
        <is>
          <t>FROM PG_BRONZE.SMY_STMT_DAILY stmt WHERE stmt.BOOKING_DATE = ${ETL_DATE}</t>
        </is>
      </c>
    </row>
    <row r="68" ht="15" customHeight="1" s="335">
      <c r="A68" s="416" t="inlineStr">
        <is>
          <t>PG_BRONZE</t>
        </is>
      </c>
      <c r="B68" s="416" t="inlineStr">
        <is>
          <t>SMY_STMT_DAILY</t>
        </is>
      </c>
      <c r="C68" s="416" t="inlineStr">
        <is>
          <t>CURR_NO</t>
        </is>
      </c>
      <c r="D68" s="416" t="inlineStr">
        <is>
          <t>COALESCE(CAST(stmt.CURR_NO AS DECIMAL(10)), 0)</t>
        </is>
      </c>
      <c r="E68" s="416" t="inlineStr">
        <is>
          <t>Customer Info Daily</t>
        </is>
      </c>
      <c r="F68" s="416" t="inlineStr">
        <is>
          <t>Curr No</t>
        </is>
      </c>
      <c r="G68" s="416" t="inlineStr">
        <is>
          <t>CUST_INFO_DAILY</t>
        </is>
      </c>
      <c r="H68" s="416" t="inlineStr">
        <is>
          <t>CURR_NO</t>
        </is>
      </c>
      <c r="I68" s="482" t="inlineStr">
        <is>
          <t>NUMBER</t>
        </is>
      </c>
      <c r="J68" s="482" t="n">
        <v>10</v>
      </c>
      <c r="K68" s="416" t="inlineStr">
        <is>
          <t>Trường kỹ thuật, đánh dấu version thay đổi bút toán</t>
        </is>
      </c>
      <c r="L68" s="416" t="n"/>
      <c r="M68" s="416">
        <f>"COMMENT ON COLUMN PG_SILVER."&amp;G68&amp;"."&amp;H68&amp;" IS '"&amp;K68&amp;"';"</f>
        <v/>
      </c>
      <c r="N68" s="416" t="inlineStr">
        <is>
          <t>FROM PG_BRONZE.SMY_STMT_DAILY stmt WHERE stmt.BOOKING_DATE = ${ETL_DATE}</t>
        </is>
      </c>
    </row>
    <row r="69" ht="15" customHeight="1" s="335">
      <c r="A69" s="416" t="inlineStr">
        <is>
          <t>PG_BRONZE</t>
        </is>
      </c>
      <c r="B69" s="416" t="inlineStr">
        <is>
          <t>SMY_STMT_DAILY</t>
        </is>
      </c>
      <c r="C69" s="416" t="inlineStr">
        <is>
          <t>CURRENCY</t>
        </is>
      </c>
      <c r="D69" s="416" t="inlineStr">
        <is>
          <t>TRIM(stmt.CURRENCY)</t>
        </is>
      </c>
      <c r="E69" s="416" t="inlineStr">
        <is>
          <t>Customer Info Daily</t>
        </is>
      </c>
      <c r="F69" s="416" t="inlineStr">
        <is>
          <t>Currency</t>
        </is>
      </c>
      <c r="G69" s="416" t="inlineStr">
        <is>
          <t>CUST_INFO_DAILY</t>
        </is>
      </c>
      <c r="H69" s="416" t="inlineStr">
        <is>
          <t>CURRENCY</t>
        </is>
      </c>
      <c r="I69" s="482" t="inlineStr">
        <is>
          <t>VARCHAR2</t>
        </is>
      </c>
      <c r="J69" s="482" t="n">
        <v>100</v>
      </c>
      <c r="K69" s="416" t="inlineStr">
        <is>
          <t>Loai tien but toan</t>
        </is>
      </c>
      <c r="L69" s="416" t="n"/>
      <c r="M69" s="416">
        <f>"COMMENT ON COLUMN PG_SILVER."&amp;G69&amp;"."&amp;H69&amp;" IS '"&amp;K69&amp;"';"</f>
        <v/>
      </c>
      <c r="N69" s="416" t="inlineStr">
        <is>
          <t>FROM PG_BRONZE.SMY_STMT_DAILY stmt WHERE stmt.BOOKING_DATE = ${ETL_DATE}</t>
        </is>
      </c>
    </row>
    <row r="70" ht="15" customHeight="1" s="335">
      <c r="A70" s="416" t="inlineStr">
        <is>
          <t>PG_BRONZE</t>
        </is>
      </c>
      <c r="B70" s="416" t="inlineStr">
        <is>
          <t>SMY_STMT_DAILY</t>
        </is>
      </c>
      <c r="C70" s="416" t="inlineStr">
        <is>
          <t>CUSTOMER_ID</t>
        </is>
      </c>
      <c r="D70" s="416" t="inlineStr">
        <is>
          <t>TRIM(stmt.CUSTOMER_ID)</t>
        </is>
      </c>
      <c r="E70" s="416" t="inlineStr">
        <is>
          <t>Customer Info Daily</t>
        </is>
      </c>
      <c r="F70" s="416" t="inlineStr">
        <is>
          <t>Customer Id</t>
        </is>
      </c>
      <c r="G70" s="416" t="inlineStr">
        <is>
          <t>CUST_INFO_DAILY</t>
        </is>
      </c>
      <c r="H70" s="416" t="inlineStr">
        <is>
          <t>CUSTOMER_ID</t>
        </is>
      </c>
      <c r="I70" s="482" t="inlineStr">
        <is>
          <t>VARCHAR2</t>
        </is>
      </c>
      <c r="J70" s="482" t="n">
        <v>100</v>
      </c>
      <c r="K70" s="416" t="inlineStr">
        <is>
          <t>Mã khách hàng ứng với Account_number</t>
        </is>
      </c>
      <c r="L70" s="416" t="n"/>
      <c r="M70" s="416">
        <f>"COMMENT ON COLUMN PG_SILVER."&amp;G70&amp;"."&amp;H70&amp;" IS '"&amp;K70&amp;"';"</f>
        <v/>
      </c>
      <c r="N70" s="416" t="inlineStr">
        <is>
          <t>FROM PG_BRONZE.SMY_STMT_DAILY stmt WHERE stmt.BOOKING_DATE = ${ETL_DATE}</t>
        </is>
      </c>
    </row>
    <row r="71" ht="15" customHeight="1" s="335">
      <c r="A71" s="416" t="inlineStr">
        <is>
          <t>PG_BRONZE</t>
        </is>
      </c>
      <c r="B71" s="416" t="inlineStr">
        <is>
          <t>SMY_STMT_DAILY</t>
        </is>
      </c>
      <c r="C71" s="416" t="inlineStr">
        <is>
          <t>CYCLE_FORWARD</t>
        </is>
      </c>
      <c r="D71" s="416" t="inlineStr">
        <is>
          <t>TO_DATE(CAST(stmt.CYCLE_FORWARD AS VARCHAR(20)), 'YYYYMMDD')</t>
        </is>
      </c>
      <c r="E71" s="416" t="inlineStr">
        <is>
          <t>Customer Info Daily</t>
        </is>
      </c>
      <c r="F71" s="416" t="inlineStr">
        <is>
          <t>Cycle Forward</t>
        </is>
      </c>
      <c r="G71" s="416" t="inlineStr">
        <is>
          <t>CUST_INFO_DAILY</t>
        </is>
      </c>
      <c r="H71" s="416" t="inlineStr">
        <is>
          <t>CYCLE_FORWARD</t>
        </is>
      </c>
      <c r="I71" s="482" t="inlineStr">
        <is>
          <t>DATE</t>
        </is>
      </c>
      <c r="J71" s="482" t="n"/>
      <c r="K71" s="416" t="inlineStr">
        <is>
          <t>Cờ kết chuyển chu kỳ hạch toán (Cycle Forward)</t>
        </is>
      </c>
      <c r="L71" s="416" t="n"/>
      <c r="M71" s="416">
        <f>"COMMENT ON COLUMN PG_SILVER."&amp;G71&amp;"."&amp;H71&amp;" IS '"&amp;K71&amp;"';"</f>
        <v/>
      </c>
      <c r="N71" s="416" t="inlineStr">
        <is>
          <t>FROM PG_BRONZE.SMY_STMT_DAILY stmt WHERE stmt.BOOKING_DATE = ${ETL_DATE}</t>
        </is>
      </c>
    </row>
    <row r="72" ht="15" customHeight="1" s="335">
      <c r="A72" s="416" t="inlineStr">
        <is>
          <t>PG_BRONZE</t>
        </is>
      </c>
      <c r="B72" s="416" t="inlineStr">
        <is>
          <t>SMY_STMT_DAILY</t>
        </is>
      </c>
      <c r="C72" s="416" t="inlineStr">
        <is>
          <t>DATE_TIME</t>
        </is>
      </c>
      <c r="D72" s="416" t="inlineStr">
        <is>
          <t>TO_DATE(CAST(stmt.DATE_TIME AS VARCHAR(20)), 'YYYYMMDD')</t>
        </is>
      </c>
      <c r="E72" s="416" t="inlineStr">
        <is>
          <t>Customer Info Daily</t>
        </is>
      </c>
      <c r="F72" s="416" t="inlineStr">
        <is>
          <t>Date Time</t>
        </is>
      </c>
      <c r="G72" s="416" t="inlineStr">
        <is>
          <t>CUST_INFO_DAILY</t>
        </is>
      </c>
      <c r="H72" s="416" t="inlineStr">
        <is>
          <t>DATE_TIME</t>
        </is>
      </c>
      <c r="I72" s="482" t="inlineStr">
        <is>
          <t>DATE</t>
        </is>
      </c>
      <c r="J72" s="482" t="n"/>
      <c r="K72" s="416" t="inlineStr">
        <is>
          <t>Trường kỹ thuật, ghi nhận thời gian sửa đổi</t>
        </is>
      </c>
      <c r="L72" s="416" t="n"/>
      <c r="M72" s="416">
        <f>"COMMENT ON COLUMN PG_SILVER."&amp;G72&amp;"."&amp;H72&amp;" IS '"&amp;K72&amp;"';"</f>
        <v/>
      </c>
      <c r="N72" s="416" t="inlineStr">
        <is>
          <t>FROM PG_BRONZE.SMY_STMT_DAILY stmt WHERE stmt.BOOKING_DATE = ${ETL_DATE}</t>
        </is>
      </c>
    </row>
    <row r="73" ht="15" customHeight="1" s="335">
      <c r="A73" s="416" t="inlineStr">
        <is>
          <t>PG_BRONZE</t>
        </is>
      </c>
      <c r="B73" s="416" t="inlineStr">
        <is>
          <t>SMY_STMT_DAILY</t>
        </is>
      </c>
      <c r="C73" s="416" t="inlineStr">
        <is>
          <t>DEPARTMENT_CODE</t>
        </is>
      </c>
      <c r="D73" s="416" t="inlineStr">
        <is>
          <t>TRIM(stmt.DEPARTMENT_CODE)</t>
        </is>
      </c>
      <c r="E73" s="416" t="inlineStr">
        <is>
          <t>Customer Info Daily</t>
        </is>
      </c>
      <c r="F73" s="416" t="inlineStr">
        <is>
          <t>Department Code</t>
        </is>
      </c>
      <c r="G73" s="416" t="inlineStr">
        <is>
          <t>CUST_INFO_DAILY</t>
        </is>
      </c>
      <c r="H73" s="416" t="inlineStr">
        <is>
          <t>DEPARTMENT_CODE</t>
        </is>
      </c>
      <c r="I73" s="482" t="inlineStr">
        <is>
          <t>VARCHAR2</t>
        </is>
      </c>
      <c r="J73" s="482" t="n">
        <v>100</v>
      </c>
      <c r="K73" s="416" t="inlineStr">
        <is>
          <t>Mã đơn vị hạch toán</t>
        </is>
      </c>
      <c r="L73" s="416" t="n"/>
      <c r="M73" s="416">
        <f>"COMMENT ON COLUMN PG_SILVER."&amp;G73&amp;"."&amp;H73&amp;" IS '"&amp;K73&amp;"';"</f>
        <v/>
      </c>
      <c r="N73" s="416" t="inlineStr">
        <is>
          <t>FROM PG_BRONZE.SMY_STMT_DAILY stmt WHERE stmt.BOOKING_DATE = ${ETL_DATE}</t>
        </is>
      </c>
    </row>
    <row r="74" ht="15" customHeight="1" s="335">
      <c r="A74" s="416" t="inlineStr">
        <is>
          <t>PG_BRONZE</t>
        </is>
      </c>
      <c r="B74" s="416" t="inlineStr">
        <is>
          <t>SMY_STMT_DAILY</t>
        </is>
      </c>
      <c r="C74" s="416" t="inlineStr">
        <is>
          <t>DRAWN_ACCOUNT</t>
        </is>
      </c>
      <c r="D74" s="416" t="inlineStr">
        <is>
          <t>TRIM(stmt.DRAWN_ACCOUNT)</t>
        </is>
      </c>
      <c r="E74" s="416" t="inlineStr">
        <is>
          <t>Customer Info Daily</t>
        </is>
      </c>
      <c r="F74" s="416" t="inlineStr">
        <is>
          <t>Drawn Account</t>
        </is>
      </c>
      <c r="G74" s="416" t="inlineStr">
        <is>
          <t>CUST_INFO_DAILY</t>
        </is>
      </c>
      <c r="H74" s="416" t="inlineStr">
        <is>
          <t>DRAWN_ACCOUNT</t>
        </is>
      </c>
      <c r="I74" s="482" t="inlineStr">
        <is>
          <t>VARCHAR2</t>
        </is>
      </c>
      <c r="J74" s="482" t="n">
        <v>100</v>
      </c>
      <c r="K74" s="416" t="inlineStr">
        <is>
          <t>Tài khoản ghi nhận số tiền rút</t>
        </is>
      </c>
      <c r="L74" s="416" t="n"/>
      <c r="M74" s="416">
        <f>"COMMENT ON COLUMN PG_SILVER."&amp;G74&amp;"."&amp;H74&amp;" IS '"&amp;K74&amp;"';"</f>
        <v/>
      </c>
      <c r="N74" s="416" t="inlineStr">
        <is>
          <t>FROM PG_BRONZE.SMY_STMT_DAILY stmt WHERE stmt.BOOKING_DATE = ${ETL_DATE}</t>
        </is>
      </c>
    </row>
    <row r="75" ht="15" customHeight="1" s="335">
      <c r="A75" s="416" t="inlineStr">
        <is>
          <t>PG_BRONZE</t>
        </is>
      </c>
      <c r="B75" s="416" t="inlineStr">
        <is>
          <t>SMY_STMT_DAILY</t>
        </is>
      </c>
      <c r="C75" s="416" t="inlineStr">
        <is>
          <t>EXCHANGE_RATE</t>
        </is>
      </c>
      <c r="D75" s="416" t="inlineStr">
        <is>
          <t>COALESCE(CAST(stmt.EXCHANGE_RATE AS DECIMAL(13,7)), 0)</t>
        </is>
      </c>
      <c r="E75" s="416" t="inlineStr">
        <is>
          <t>Customer Info Daily</t>
        </is>
      </c>
      <c r="F75" s="416" t="inlineStr">
        <is>
          <t>Exchange Rate</t>
        </is>
      </c>
      <c r="G75" s="416" t="inlineStr">
        <is>
          <t>CUST_INFO_DAILY</t>
        </is>
      </c>
      <c r="H75" s="416" t="inlineStr">
        <is>
          <t>EXCHANGE_RATE</t>
        </is>
      </c>
      <c r="I75" s="482" t="inlineStr">
        <is>
          <t>NUMBER</t>
        </is>
      </c>
      <c r="J75" s="482" t="n">
        <v>13.7</v>
      </c>
      <c r="K75" s="416" t="inlineStr">
        <is>
          <t>Tỷ giá quy đổi</t>
        </is>
      </c>
      <c r="L75" s="416" t="n"/>
      <c r="M75" s="416">
        <f>"COMMENT ON COLUMN PG_SILVER."&amp;G75&amp;"."&amp;H75&amp;" IS '"&amp;K75&amp;"';"</f>
        <v/>
      </c>
      <c r="N75" s="416" t="inlineStr">
        <is>
          <t>FROM PG_BRONZE.SMY_STMT_DAILY stmt WHERE stmt.BOOKING_DATE = ${ETL_DATE}</t>
        </is>
      </c>
    </row>
    <row r="76" ht="15" customHeight="1" s="335">
      <c r="A76" s="416" t="inlineStr">
        <is>
          <t>PG_BRONZE</t>
        </is>
      </c>
      <c r="B76" s="416" t="inlineStr">
        <is>
          <t>SMY_STMT_DAILY</t>
        </is>
      </c>
      <c r="C76" s="416" t="inlineStr">
        <is>
          <t>INTERNAL_CATEGORY</t>
        </is>
      </c>
      <c r="D76" s="416" t="inlineStr">
        <is>
          <t>TRIM(stmt.INTERNAL_CATEGORY)</t>
        </is>
      </c>
      <c r="E76" s="416" t="inlineStr">
        <is>
          <t>Customer Info Daily</t>
        </is>
      </c>
      <c r="F76" s="416" t="inlineStr">
        <is>
          <t>Internal Category</t>
        </is>
      </c>
      <c r="G76" s="416" t="inlineStr">
        <is>
          <t>CUST_INFO_DAILY</t>
        </is>
      </c>
      <c r="H76" s="416" t="inlineStr">
        <is>
          <t>INTERNAL_CATEGORY</t>
        </is>
      </c>
      <c r="I76" s="482" t="inlineStr">
        <is>
          <t>VARCHAR2</t>
        </is>
      </c>
      <c r="J76" s="482" t="n">
        <v>100</v>
      </c>
      <c r="K76" s="416" t="inlineStr">
        <is>
          <t>Mã Category nội bộ</t>
        </is>
      </c>
      <c r="L76" s="416" t="n"/>
      <c r="M76" s="416">
        <f>"COMMENT ON COLUMN PG_SILVER."&amp;G76&amp;"."&amp;H76&amp;" IS '"&amp;K76&amp;"';"</f>
        <v/>
      </c>
      <c r="N76" s="416" t="inlineStr">
        <is>
          <t>FROM PG_BRONZE.SMY_STMT_DAILY stmt WHERE stmt.BOOKING_DATE = ${ETL_DATE}</t>
        </is>
      </c>
    </row>
    <row r="77" ht="15" customHeight="1" s="335">
      <c r="A77" s="416" t="inlineStr">
        <is>
          <t>PG_BRONZE</t>
        </is>
      </c>
      <c r="B77" s="416" t="inlineStr">
        <is>
          <t>SMY_STMT_DAILY</t>
        </is>
      </c>
      <c r="C77" s="416" t="inlineStr">
        <is>
          <t>LOCAL_REF</t>
        </is>
      </c>
      <c r="D77" s="416" t="inlineStr">
        <is>
          <t>TRIM(stmt.LOCAL_REF)</t>
        </is>
      </c>
      <c r="E77" s="416" t="inlineStr">
        <is>
          <t>Customer Info Daily</t>
        </is>
      </c>
      <c r="F77" s="416" t="inlineStr">
        <is>
          <t>Local Ref</t>
        </is>
      </c>
      <c r="G77" s="416" t="inlineStr">
        <is>
          <t>CUST_INFO_DAILY</t>
        </is>
      </c>
      <c r="H77" s="416" t="inlineStr">
        <is>
          <t>LOCAL_REF</t>
        </is>
      </c>
      <c r="I77" s="482" t="inlineStr">
        <is>
          <t>VARCHAR2</t>
        </is>
      </c>
      <c r="J77" s="482" t="n">
        <v>100</v>
      </c>
      <c r="K77" s="416" t="inlineStr">
        <is>
          <t>Trường multivalue - đa nghĩa của T24</t>
        </is>
      </c>
      <c r="L77" s="416" t="n"/>
      <c r="M77" s="416">
        <f>"COMMENT ON COLUMN PG_SILVER."&amp;G77&amp;"."&amp;H77&amp;" IS '"&amp;K77&amp;"';"</f>
        <v/>
      </c>
      <c r="N77" s="416" t="inlineStr">
        <is>
          <t>FROM PG_BRONZE.SMY_STMT_DAILY stmt WHERE stmt.BOOKING_DATE = ${ETL_DATE}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N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7.11" customWidth="1" style="334" min="1" max="1"/>
    <col width="27.44" customWidth="1" style="334" min="3" max="3"/>
    <col width="18.56" customWidth="1" style="334" min="4" max="4"/>
    <col width="21" customWidth="1" style="334" min="6" max="6"/>
    <col width="12.67" customWidth="1" style="334" min="7" max="7"/>
    <col width="94.11" customWidth="1" style="334" min="8" max="8"/>
    <col width="29.44" customWidth="1" style="334" min="11" max="11"/>
    <col width="55" customWidth="1" style="334" min="14" max="14"/>
  </cols>
  <sheetData>
    <row r="1" ht="14.25" customHeight="1" s="335">
      <c r="A1" s="432" t="inlineStr">
        <is>
          <t>TYPE : SNAPSHOT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47" t="inlineStr">
        <is>
          <t>No</t>
        </is>
      </c>
      <c r="B2" s="448" t="inlineStr">
        <is>
          <t>System</t>
        </is>
      </c>
      <c r="C2" s="450" t="inlineStr">
        <is>
          <t>TABLE</t>
        </is>
      </c>
      <c r="D2" s="450" t="inlineStr">
        <is>
          <t>Short table</t>
        </is>
      </c>
      <c r="E2" s="450" t="inlineStr">
        <is>
          <t>Main Table</t>
        </is>
      </c>
      <c r="F2" s="450" t="inlineStr">
        <is>
          <t>Type join</t>
        </is>
      </c>
      <c r="G2" s="450" t="inlineStr">
        <is>
          <t>Condition JOIN</t>
        </is>
      </c>
      <c r="H2" s="450" t="inlineStr">
        <is>
          <t>Condition where</t>
        </is>
      </c>
      <c r="I2" s="432" t="n"/>
      <c r="J2" s="432" t="n"/>
      <c r="K2" s="432" t="n"/>
    </row>
    <row r="3" ht="126.75" customHeight="1" s="335">
      <c r="A3" s="459" t="n">
        <v>1</v>
      </c>
      <c r="B3" s="462" t="inlineStr">
        <is>
          <t>PG_BRONZE</t>
        </is>
      </c>
      <c r="C3" s="462" t="inlineStr">
        <is>
          <t>T24CORE_CURRENCY</t>
        </is>
      </c>
      <c r="D3" s="415" t="inlineStr">
        <is>
          <t>CUR</t>
        </is>
      </c>
      <c r="E3" s="415" t="inlineStr">
        <is>
          <t>sub</t>
        </is>
      </c>
      <c r="F3" s="460" t="n"/>
      <c r="G3" s="460" t="n"/>
      <c r="H3" s="463" t="inlineStr">
        <is>
          <t>SELECT
        id AS FRST_CCY_CODE,
        'VND' AS SCD_CCY_CODE,
        COALESCE(CAST(REGEXP_SUBSTR(CUR.MID_REVAL_RATE, '[^#]+') AS DECIMAL(13,7)), 1) AS mid_reval_rate,
        DATE_TIME AS date_time_value,
        999999 AS curr_no,
        RANK() OVER (PARTITION BY id ORDER BY DATE_TIME DESC) AS rn
FROM PG_BRONZE.T24CORE_CURRENCY cur
WHERE TO_TIMESTAMP(TO_CHAR(DATE_TIME), 'YYMMDDHH24MI') &lt; ${ETL_DATE} + 1</t>
        </is>
      </c>
      <c r="I3" s="432" t="n"/>
      <c r="J3" s="432" t="n"/>
      <c r="K3" s="432" t="n"/>
    </row>
    <row r="4" ht="134.25" customHeight="1" s="335">
      <c r="A4" s="459" t="n">
        <v>2</v>
      </c>
      <c r="B4" s="462" t="inlineStr">
        <is>
          <t>PG_BRONZE</t>
        </is>
      </c>
      <c r="C4" s="462" t="inlineStr">
        <is>
          <t>T24CORE_CURRENCY_HIS</t>
        </is>
      </c>
      <c r="D4" s="415" t="inlineStr">
        <is>
          <t>CUR_HIS</t>
        </is>
      </c>
      <c r="E4" s="415" t="inlineStr">
        <is>
          <t>sub</t>
        </is>
      </c>
      <c r="F4" s="460" t="n"/>
      <c r="G4" s="460" t="n"/>
      <c r="H4" s="463" t="inlineStr">
        <is>
          <t>SELECT
        REGEXP_SUBSTR(ch.id, '[^;]+') AS FRST_CCY_CODE,
        'VND' AS SCD_CCY_CODE,
        COALESCE(CAST(ch.MID_REVAL_RATE AS DECIMAL(13,7)), 1) AS mid_reval_rate,
        DATE_TIME AS date_time_value,
        curr_no,
        RANK() OVER (PARTITION BY REGEXP_SUBSTR(ch.id, '[^;]+') ORDER BY DATE_TIME DESC) AS rn
FROM PG_BRONZE.T24CORE_CURRENCY_HIS ch
WHERE TO_TIMESTAMP(TO_CHAR(DATE_TIME), 'YYMMDDHH24MI') &lt; ${ETL_DATE} + 1</t>
        </is>
      </c>
      <c r="I4" s="432" t="n"/>
      <c r="J4" s="432" t="n"/>
      <c r="K4" s="432" t="n"/>
    </row>
    <row r="5" ht="123" customHeight="1" s="335">
      <c r="A5" s="459" t="n">
        <v>3</v>
      </c>
      <c r="B5" s="462" t="inlineStr">
        <is>
          <t>PG_BRONZE</t>
        </is>
      </c>
      <c r="C5" s="462" t="inlineStr">
        <is>
          <t>T24CORE_CURRENCY, T24CORE_CURRENCY_HIS</t>
        </is>
      </c>
      <c r="D5" s="415" t="inlineStr">
        <is>
          <t>CUR_MAIN</t>
        </is>
      </c>
      <c r="E5" s="415" t="inlineStr">
        <is>
          <t>main</t>
        </is>
      </c>
      <c r="F5" s="460" t="n"/>
      <c r="G5" s="460" t="n"/>
      <c r="H5" s="461" t="inlineStr">
        <is>
          <t>SELECT FRST_CCY_CODE,SCD_CCY_CODE,mid_reval_rate,date_time_value
FROM (SELECT 
        FRST_CCY_CODE, SCD_CCY_CODE, mid_reval_rate, date_time_value, 
                RANK() OVER (PARTITION BY FRST_CCY_CODE ORDER BY curr_no DESC) AS rank
    FROM (
        SELECT * FROM cur WHERE rn = 1
        UNION ALL
        SELECT * FROM cur_his WHERE rn = 1) ) 
WHERE rank = 1</t>
        </is>
      </c>
      <c r="I5" s="432" t="n"/>
      <c r="J5" s="432" t="n"/>
      <c r="K5" s="432" t="n"/>
    </row>
    <row r="6" ht="14.25" customHeight="1" s="335">
      <c r="A6" s="437" t="n"/>
      <c r="B6" s="437" t="n"/>
      <c r="C6" s="437" t="n"/>
      <c r="D6" s="437" t="n"/>
      <c r="E6" s="437" t="n"/>
      <c r="F6" s="437" t="n"/>
      <c r="G6" s="437" t="n"/>
      <c r="H6" s="437" t="n"/>
      <c r="I6" s="437" t="n"/>
      <c r="J6" s="437" t="n"/>
      <c r="K6" s="437" t="n"/>
    </row>
    <row r="7" ht="14.25" customHeight="1" s="335">
      <c r="A7" s="437" t="n"/>
      <c r="B7" s="437" t="n"/>
      <c r="C7" s="437" t="n"/>
      <c r="D7" s="437" t="n"/>
      <c r="E7" s="437" t="n"/>
      <c r="F7" s="437" t="n"/>
      <c r="G7" s="437" t="n"/>
      <c r="H7" s="437" t="n"/>
      <c r="I7" s="437" t="n"/>
      <c r="J7" s="437" t="n"/>
      <c r="K7" s="437" t="n"/>
    </row>
    <row r="8" ht="14.25" customHeight="1" s="335">
      <c r="A8" s="432" t="inlineStr">
        <is>
          <t>Nguồn</t>
        </is>
      </c>
      <c r="B8" s="432" t="inlineStr">
        <is>
          <t>Bảng nguồn</t>
        </is>
      </c>
      <c r="C8" s="432" t="inlineStr">
        <is>
          <t>Cột nguồn</t>
        </is>
      </c>
      <c r="D8" s="432" t="inlineStr">
        <is>
          <t>Transform</t>
        </is>
      </c>
      <c r="E8" s="432" t="inlineStr">
        <is>
          <t>Entity</t>
        </is>
      </c>
      <c r="F8" s="432" t="inlineStr">
        <is>
          <t>Attribute</t>
        </is>
      </c>
      <c r="G8" s="432" t="inlineStr">
        <is>
          <t>Bảng đích</t>
        </is>
      </c>
      <c r="H8" s="432" t="inlineStr">
        <is>
          <t>Cột đích</t>
        </is>
      </c>
      <c r="I8" s="432" t="inlineStr">
        <is>
          <t>Kiểu dữ liệu</t>
        </is>
      </c>
      <c r="J8" s="432" t="inlineStr">
        <is>
          <t>Độ dài</t>
        </is>
      </c>
      <c r="K8" s="432" t="inlineStr">
        <is>
          <t>Diễn giải</t>
        </is>
      </c>
      <c r="L8" s="432" t="inlineStr">
        <is>
          <t>Glossary</t>
        </is>
      </c>
      <c r="M8" s="432" t="inlineStr">
        <is>
          <t>DDL Comment</t>
        </is>
      </c>
      <c r="N8" s="413" t="inlineStr">
        <is>
          <t>Ghi chú kỹ thuật &amp; Business Rule</t>
        </is>
      </c>
    </row>
    <row r="9" ht="14.25" customHeight="1" s="335">
      <c r="A9" s="433" t="inlineStr">
        <is>
          <t>PG_BRONZE</t>
        </is>
      </c>
      <c r="B9" s="433" t="inlineStr">
        <is>
          <t>T24CORE_CURRENCY, T24CORE_CURRENCY_HIS</t>
        </is>
      </c>
      <c r="C9" s="433" t="inlineStr">
        <is>
          <t>DATE_TIME</t>
        </is>
      </c>
      <c r="D9" s="441" t="inlineStr">
        <is>
          <t>${ETL_DATE}</t>
        </is>
      </c>
      <c r="E9" s="433" t="inlineStr">
        <is>
          <t>Exchange Rate</t>
        </is>
      </c>
      <c r="F9" s="415" t="inlineStr">
        <is>
          <t>Snapshot Date</t>
        </is>
      </c>
      <c r="G9" s="415" t="inlineStr">
        <is>
          <t>EXG_RATE</t>
        </is>
      </c>
      <c r="H9" s="415" t="inlineStr">
        <is>
          <t>SNPST_DT</t>
        </is>
      </c>
      <c r="I9" s="415" t="inlineStr">
        <is>
          <t>DATE</t>
        </is>
      </c>
      <c r="J9" s="415" t="n"/>
      <c r="K9" s="415" t="inlineStr">
        <is>
          <t>Ngày dữ liệu</t>
        </is>
      </c>
      <c r="M9" s="334">
        <f>"COMMENT ON COLUMN PG_SILVER."&amp;G9&amp;"."&amp;H9&amp;" IS '"&amp;K9&amp;"';"</f>
        <v/>
      </c>
    </row>
    <row r="10" ht="27" customHeight="1" s="335">
      <c r="A10" s="433" t="inlineStr">
        <is>
          <t>PG_BRONZE</t>
        </is>
      </c>
      <c r="B10" s="433" t="inlineStr">
        <is>
          <t>T24CORE_CURRENCY, T24CORE_CURRENCY_HIS</t>
        </is>
      </c>
      <c r="C10" s="433" t="inlineStr">
        <is>
          <t>ID</t>
        </is>
      </c>
      <c r="D10" s="441" t="inlineStr">
        <is>
          <t>'T24_CURRENCY'</t>
        </is>
      </c>
      <c r="E10" s="433" t="inlineStr">
        <is>
          <t>Exchange Rate</t>
        </is>
      </c>
      <c r="F10" s="442" t="inlineStr">
        <is>
          <t>Source System Code</t>
        </is>
      </c>
      <c r="G10" s="415" t="inlineStr">
        <is>
          <t>EXG_RATE</t>
        </is>
      </c>
      <c r="H10" s="415" t="inlineStr">
        <is>
          <t>SRC_STM_CODE</t>
        </is>
      </c>
      <c r="I10" s="415" t="inlineStr">
        <is>
          <t>VARCHAR2</t>
        </is>
      </c>
      <c r="J10" s="415" t="n">
        <v>32</v>
      </c>
      <c r="K10" s="415" t="inlineStr">
        <is>
          <t>Mã nguồn dữ liệu</t>
        </is>
      </c>
      <c r="M10" s="334">
        <f>"COMMENT ON COLUMN PG_SILVER."&amp;G10&amp;"."&amp;H10&amp;" IS '"&amp;K10&amp;"';"</f>
        <v/>
      </c>
      <c r="N10" s="414" t="inlineStr">
        <is>
          <t>Sửa thành `'T24_CURRENCY'`.</t>
        </is>
      </c>
    </row>
    <row r="11" ht="14.25" customHeight="1" s="335">
      <c r="A11" s="415" t="inlineStr">
        <is>
          <t>PG_BRONZE</t>
        </is>
      </c>
      <c r="B11" s="433" t="inlineStr">
        <is>
          <t>T24CORE_CURRENCY, T24CORE_CURRENCY_HIS</t>
        </is>
      </c>
      <c r="C11" s="440" t="inlineStr">
        <is>
          <t>ID</t>
        </is>
      </c>
      <c r="D11" s="433" t="inlineStr">
        <is>
          <t>CUR_MAIN.FRST_CCY_CODE</t>
        </is>
      </c>
      <c r="E11" s="433" t="inlineStr">
        <is>
          <t>Exchange Rate</t>
        </is>
      </c>
      <c r="F11" s="415" t="inlineStr">
        <is>
          <t>First Currency Code</t>
        </is>
      </c>
      <c r="G11" s="415" t="inlineStr">
        <is>
          <t>EXG_RATE</t>
        </is>
      </c>
      <c r="H11" s="433" t="inlineStr">
        <is>
          <t>FRST_CCY_CODE</t>
        </is>
      </c>
      <c r="I11" s="442" t="inlineStr">
        <is>
          <t>VARCHAR2</t>
        </is>
      </c>
      <c r="J11" s="415" t="n">
        <v>20</v>
      </c>
      <c r="K11" s="415" t="inlineStr">
        <is>
          <t>Mã loại tiền tệ gốc</t>
        </is>
      </c>
      <c r="M11" s="334">
        <f>"COMMENT ON COLUMN PG_SILVER."&amp;G11&amp;"."&amp;H11&amp;" IS '"&amp;K11&amp;"';"</f>
        <v/>
      </c>
    </row>
    <row r="12" ht="14.25" customHeight="1" s="335">
      <c r="A12" s="415" t="inlineStr">
        <is>
          <t>PG_BRONZE</t>
        </is>
      </c>
      <c r="B12" s="433" t="inlineStr">
        <is>
          <t>T24CORE_CURRENCY, T24CORE_CURRENCY_HIS</t>
        </is>
      </c>
      <c r="C12" s="440" t="inlineStr">
        <is>
          <t>ID</t>
        </is>
      </c>
      <c r="D12" s="433" t="inlineStr">
        <is>
          <t>CUR_MAIN.SCD_CCY_CODE</t>
        </is>
      </c>
      <c r="E12" s="433" t="inlineStr">
        <is>
          <t>Exchange Rate</t>
        </is>
      </c>
      <c r="F12" s="415" t="inlineStr">
        <is>
          <t>Seconde Currency Code</t>
        </is>
      </c>
      <c r="G12" s="415" t="inlineStr">
        <is>
          <t>EXG_RATE</t>
        </is>
      </c>
      <c r="H12" s="433" t="inlineStr">
        <is>
          <t>SCD_CCY_CODE</t>
        </is>
      </c>
      <c r="I12" s="442" t="inlineStr">
        <is>
          <t>VARCHAR2</t>
        </is>
      </c>
      <c r="J12" s="415" t="n">
        <v>20</v>
      </c>
      <c r="K12" s="415" t="inlineStr">
        <is>
          <t>Mã loại tiền tệ tính tỷ giá</t>
        </is>
      </c>
      <c r="M12" s="334">
        <f>"COMMENT ON COLUMN PG_SILVER."&amp;G12&amp;"."&amp;H12&amp;" IS '"&amp;K12&amp;"';"</f>
        <v/>
      </c>
    </row>
    <row r="13" ht="69" customHeight="1" s="335">
      <c r="A13" s="415" t="inlineStr">
        <is>
          <t>PG_BRONZE</t>
        </is>
      </c>
      <c r="B13" s="433" t="inlineStr">
        <is>
          <t>T24CORE_CURRENCY, T24CORE_CURRENCY_HIS</t>
        </is>
      </c>
      <c r="C13" s="466" t="inlineStr">
        <is>
          <t>MID_REVAL_RATE, CURR_NO, DATE_TIME</t>
        </is>
      </c>
      <c r="D13" s="441" t="inlineStr">
        <is>
          <t>CUR_MAIN.mid_reval_rate</t>
        </is>
      </c>
      <c r="E13" s="433" t="inlineStr">
        <is>
          <t>Exchange Rate</t>
        </is>
      </c>
      <c r="F13" s="415" t="inlineStr">
        <is>
          <t>Mid Rate</t>
        </is>
      </c>
      <c r="G13" s="415" t="inlineStr">
        <is>
          <t>EXG_RATE</t>
        </is>
      </c>
      <c r="H13" s="433" t="inlineStr">
        <is>
          <t>MID_RATE</t>
        </is>
      </c>
      <c r="I13" s="415" t="inlineStr">
        <is>
          <t>NUMBER</t>
        </is>
      </c>
      <c r="J13" s="415" t="n">
        <v>25.7</v>
      </c>
      <c r="K13" s="415" t="inlineStr">
        <is>
          <t>Tỷ giá mid</t>
        </is>
      </c>
      <c r="M13" s="334">
        <f>"COMMENT ON COLUMN PG_SILVER."&amp;G13&amp;"."&amp;H13&amp;" IS '"&amp;K13&amp;"';"</f>
        <v/>
      </c>
      <c r="N13" s="414" t="inlineStr">
        <is>
          <t>Đổi `AS int` thành `AS DECIMAL(13,7)` ở cả 2 subquery trên.</t>
        </is>
      </c>
    </row>
    <row r="14" ht="14.25" customHeight="1" s="3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A64D79"/>
    <outlinePr summaryBelow="1" summaryRight="1"/>
    <pageSetUpPr fitToPage="0"/>
  </sheetPr>
  <dimension ref="A1:N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38.44" customWidth="1" style="334" min="2" max="2"/>
    <col width="21.44" customWidth="1" style="334" min="3" max="3"/>
    <col width="53.56" customWidth="1" style="334" min="4" max="4"/>
    <col width="37.34" customWidth="1" style="334" min="5" max="5"/>
    <col width="36" customWidth="1" style="334" min="6" max="6"/>
    <col width="20" customWidth="1" style="334" min="8" max="8"/>
    <col width="34" customWidth="1" style="334" min="11" max="11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PG_SILVER</t>
        </is>
      </c>
      <c r="B3" s="433" t="inlineStr">
        <is>
          <t>LOAN_AR</t>
        </is>
      </c>
      <c r="C3" s="433" t="inlineStr">
        <is>
          <t>a</t>
        </is>
      </c>
      <c r="D3" s="443" t="inlineStr">
        <is>
          <t>WHERE a.SYS_EXP_DT IS NULL</t>
        </is>
      </c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433" t="inlineStr">
        <is>
          <t>PG_SILVER</t>
        </is>
      </c>
      <c r="B4" s="415" t="inlineStr">
        <is>
          <t>LOAN_AR_PRFL</t>
        </is>
      </c>
      <c r="C4" s="433" t="inlineStr">
        <is>
          <t>b</t>
        </is>
      </c>
      <c r="D4" s="443" t="inlineStr">
        <is>
          <t>(LEFT JOIN) ON a.AR_ID = b.AR_ID AND b.SYS_EXP_DT IS NULL</t>
        </is>
      </c>
      <c r="E4" s="435" t="n"/>
      <c r="F4" s="435" t="n"/>
      <c r="G4" s="435" t="n"/>
      <c r="H4" s="435" t="n"/>
      <c r="I4" s="435" t="n"/>
      <c r="J4" s="435" t="n"/>
      <c r="K4" s="435" t="n"/>
    </row>
    <row r="5" ht="14.25" customHeight="1" s="335">
      <c r="A5" s="500" t="n"/>
      <c r="B5" s="500" t="n"/>
      <c r="C5" s="500" t="n"/>
      <c r="D5" s="500" t="n"/>
      <c r="E5" s="500" t="n"/>
      <c r="F5" s="500" t="n"/>
      <c r="G5" s="500" t="n"/>
      <c r="H5" s="500" t="n"/>
      <c r="I5" s="500" t="n"/>
      <c r="J5" s="500" t="n"/>
      <c r="K5" s="500" t="n"/>
    </row>
    <row r="6" ht="14.25" customHeight="1" s="335">
      <c r="A6" s="432" t="inlineStr">
        <is>
          <t>Nguồn</t>
        </is>
      </c>
      <c r="B6" s="432" t="inlineStr">
        <is>
          <t>Bảng nguồn</t>
        </is>
      </c>
      <c r="C6" s="432" t="inlineStr">
        <is>
          <t>Cột nguồn</t>
        </is>
      </c>
      <c r="D6" s="432" t="inlineStr">
        <is>
          <t>Transform</t>
        </is>
      </c>
      <c r="E6" s="432" t="inlineStr">
        <is>
          <t>Entity</t>
        </is>
      </c>
      <c r="F6" s="432" t="inlineStr">
        <is>
          <t>Attribute</t>
        </is>
      </c>
      <c r="G6" s="432" t="inlineStr">
        <is>
          <t>Bảng đích</t>
        </is>
      </c>
      <c r="H6" s="432" t="inlineStr">
        <is>
          <t>Cột đích</t>
        </is>
      </c>
      <c r="I6" s="432" t="inlineStr">
        <is>
          <t>Kiểu dữ liệu</t>
        </is>
      </c>
      <c r="J6" s="432" t="inlineStr">
        <is>
          <t>Độ dài</t>
        </is>
      </c>
      <c r="K6" s="432" t="inlineStr">
        <is>
          <t>Diễn giải</t>
        </is>
      </c>
      <c r="L6" s="432" t="inlineStr">
        <is>
          <t>Glossary</t>
        </is>
      </c>
      <c r="M6" s="432" t="inlineStr">
        <is>
          <t>DDL Comment</t>
        </is>
      </c>
      <c r="N6" s="432" t="inlineStr">
        <is>
          <t>Ghi chú kỹ thuật &amp; Business Rule</t>
        </is>
      </c>
    </row>
    <row r="7" ht="14.25" customHeight="1" s="335">
      <c r="A7" s="334" t="inlineStr">
        <is>
          <t>PG_SILVER</t>
        </is>
      </c>
      <c r="B7" s="438" t="inlineStr">
        <is>
          <t>LOAN_AR</t>
        </is>
      </c>
      <c r="C7" s="334" t="inlineStr">
        <is>
          <t>AR_ID</t>
        </is>
      </c>
      <c r="D7" s="334" t="inlineStr">
        <is>
          <t>CONCAT(TO_CHAR(ETL_CHANGE_DATE, 'YYYYMMDD'), a.AR_ID)</t>
        </is>
      </c>
      <c r="E7" s="433" t="inlineStr">
        <is>
          <t>Dimension Loan Arrangement</t>
        </is>
      </c>
      <c r="F7" s="334" t="inlineStr">
        <is>
          <t>Dimension key</t>
        </is>
      </c>
      <c r="G7" s="558" t="inlineStr">
        <is>
          <t>DIM_LOAN_AR</t>
        </is>
      </c>
      <c r="H7" s="575" t="inlineStr">
        <is>
          <t>DIM_KEY</t>
        </is>
      </c>
      <c r="I7" s="415" t="inlineStr">
        <is>
          <t>CHAR</t>
        </is>
      </c>
      <c r="J7" s="438" t="n">
        <v>40</v>
      </c>
      <c r="K7" s="438" t="inlineStr">
        <is>
          <t>Key của bảng</t>
        </is>
      </c>
      <c r="M7" s="438">
        <f>"COMMENT ON COLUMN PG_GOLD."&amp;G7&amp;"."&amp;H7&amp;" IS '"&amp;K7&amp;"';"</f>
        <v/>
      </c>
      <c r="N7" s="438" t="inlineStr">
        <is>
          <t>Chuẩn hóa công thức tạo khóa Surrogate Key CONCAT(TO_CHAR(ETL_CHANGE_DATE, 'YYYYMMDD'), a.AR_ID) và lọc SYS_EXP_DT IS NULL khi join LOAN_AR_PRFL. Biến `ETL_CHANGE_DATE` được tính bằng `COALESCE(SYS_UDT_DT, SYS_EFF_DT, ${ETL_DATE})`.</t>
        </is>
      </c>
    </row>
    <row r="8" ht="14.25" customHeight="1" s="335">
      <c r="A8" s="433" t="inlineStr">
        <is>
          <t>PG_SILVER</t>
        </is>
      </c>
      <c r="B8" s="433" t="inlineStr">
        <is>
          <t>LOAN_AR</t>
        </is>
      </c>
      <c r="C8" s="433" t="inlineStr">
        <is>
          <t>AR_ID</t>
        </is>
      </c>
      <c r="D8" s="433" t="inlineStr">
        <is>
          <t>1:1</t>
        </is>
      </c>
      <c r="E8" s="433" t="inlineStr">
        <is>
          <t>Dimension Loan Arrangement</t>
        </is>
      </c>
      <c r="F8" s="433" t="inlineStr">
        <is>
          <t>Arrangement ID</t>
        </is>
      </c>
      <c r="G8" s="558" t="inlineStr">
        <is>
          <t>DIM_LOAN_AR</t>
        </is>
      </c>
      <c r="H8" s="558" t="inlineStr">
        <is>
          <t>AR_ID</t>
        </is>
      </c>
      <c r="I8" s="415" t="inlineStr">
        <is>
          <t>CHAR</t>
        </is>
      </c>
      <c r="J8" s="415" t="n">
        <v>32</v>
      </c>
      <c r="K8" s="415" t="inlineStr">
        <is>
          <t>Unique key trên DWH</t>
        </is>
      </c>
      <c r="M8" s="334">
        <f>"COMMENT ON COLUMN PG_GOLD."&amp;G8&amp;"."&amp;H8&amp;" IS '"&amp;K8&amp;"';"</f>
        <v/>
      </c>
    </row>
    <row r="9" ht="14.25" customHeight="1" s="335">
      <c r="A9" s="433" t="inlineStr">
        <is>
          <t>PG_SILVER</t>
        </is>
      </c>
      <c r="B9" s="433" t="inlineStr">
        <is>
          <t>LOAN_AR</t>
        </is>
      </c>
      <c r="C9" s="433" t="inlineStr">
        <is>
          <t>AR_CODE</t>
        </is>
      </c>
      <c r="D9" s="433" t="inlineStr">
        <is>
          <t>1:1</t>
        </is>
      </c>
      <c r="E9" s="433" t="inlineStr">
        <is>
          <t>Dimension Loan Arrangement</t>
        </is>
      </c>
      <c r="F9" s="433" t="inlineStr">
        <is>
          <t>Arrangement Code</t>
        </is>
      </c>
      <c r="G9" s="558" t="inlineStr">
        <is>
          <t>DIM_LOAN_AR</t>
        </is>
      </c>
      <c r="H9" s="558" t="inlineStr">
        <is>
          <t>AR_CODE</t>
        </is>
      </c>
      <c r="I9" s="415" t="inlineStr">
        <is>
          <t>VARCHAR2</t>
        </is>
      </c>
      <c r="J9" s="415" t="n">
        <v>40</v>
      </c>
      <c r="K9" s="433" t="inlineStr">
        <is>
          <t>Mã hợp đồng</t>
        </is>
      </c>
      <c r="M9" s="334">
        <f>"COMMENT ON COLUMN PG_GOLD."&amp;G9&amp;"."&amp;H9&amp;" IS '"&amp;K9&amp;"';"</f>
        <v/>
      </c>
    </row>
    <row r="10" ht="14.25" customHeight="1" s="335">
      <c r="A10" s="433" t="inlineStr">
        <is>
          <t>PG_SILVER</t>
        </is>
      </c>
      <c r="B10" s="433" t="inlineStr">
        <is>
          <t>LOAN_AR</t>
        </is>
      </c>
      <c r="C10" s="558" t="inlineStr">
        <is>
          <t>FCC_AR_CODE</t>
        </is>
      </c>
      <c r="D10" s="433" t="inlineStr">
        <is>
          <t>1:1</t>
        </is>
      </c>
      <c r="E10" s="433" t="inlineStr">
        <is>
          <t>Dimension Loan Arrangement</t>
        </is>
      </c>
      <c r="F10" s="433" t="inlineStr">
        <is>
          <t>FCC Arrangement Code</t>
        </is>
      </c>
      <c r="G10" s="558" t="inlineStr">
        <is>
          <t>DIM_LOAN_AR</t>
        </is>
      </c>
      <c r="H10" s="558" t="inlineStr">
        <is>
          <t>FCC_AR_CODE</t>
        </is>
      </c>
      <c r="I10" s="415" t="inlineStr">
        <is>
          <t>VARCHAR2</t>
        </is>
      </c>
      <c r="J10" s="415" t="n">
        <v>40</v>
      </c>
      <c r="K10" s="433" t="inlineStr">
        <is>
          <t>Mã hợp đồng FlexCube</t>
        </is>
      </c>
      <c r="M10" s="334">
        <f>"COMMENT ON COLUMN PG_GOLD."&amp;G10&amp;"."&amp;H10&amp;" IS '"&amp;K10&amp;"';"</f>
        <v/>
      </c>
    </row>
    <row r="11" ht="14.25" customHeight="1" s="335">
      <c r="A11" s="433" t="inlineStr">
        <is>
          <t>PG_SILVER</t>
        </is>
      </c>
      <c r="B11" s="433" t="inlineStr">
        <is>
          <t>LOAN_AR</t>
        </is>
      </c>
      <c r="C11" s="558" t="inlineStr">
        <is>
          <t>PPR_CTR_NBR</t>
        </is>
      </c>
      <c r="D11" s="433" t="inlineStr">
        <is>
          <t>1:1</t>
        </is>
      </c>
      <c r="E11" s="433" t="inlineStr">
        <is>
          <t>Dimension Loan Arrangement</t>
        </is>
      </c>
      <c r="F11" s="433" t="inlineStr">
        <is>
          <t>Paper Contract Number</t>
        </is>
      </c>
      <c r="G11" s="558" t="inlineStr">
        <is>
          <t>DIM_LOAN_AR</t>
        </is>
      </c>
      <c r="H11" s="558" t="inlineStr">
        <is>
          <t>PPR_CTR_NBR</t>
        </is>
      </c>
      <c r="I11" s="415" t="inlineStr">
        <is>
          <t>VARCHAR2</t>
        </is>
      </c>
      <c r="J11" s="415" t="n">
        <v>100</v>
      </c>
      <c r="K11" s="433" t="inlineStr">
        <is>
          <t>Mã hồ sơ</t>
        </is>
      </c>
      <c r="M11" s="334">
        <f>"COMMENT ON COLUMN PG_GOLD."&amp;G11&amp;"."&amp;H11&amp;" IS '"&amp;K11&amp;"';"</f>
        <v/>
      </c>
    </row>
    <row r="12" ht="14.25" customHeight="1" s="335">
      <c r="A12" s="433" t="inlineStr">
        <is>
          <t>PG_SILVER</t>
        </is>
      </c>
      <c r="B12" s="433" t="inlineStr">
        <is>
          <t>LOAN_AR_PRFL</t>
        </is>
      </c>
      <c r="C12" s="558" t="inlineStr">
        <is>
          <t>AR_LCS_TP_CODE</t>
        </is>
      </c>
      <c r="D12" s="433" t="inlineStr">
        <is>
          <t>1:1</t>
        </is>
      </c>
      <c r="E12" s="433" t="inlineStr">
        <is>
          <t>Dimension Loan Arrangement</t>
        </is>
      </c>
      <c r="F12" s="433" t="inlineStr">
        <is>
          <t>Arrangement Life Cycle Status Type Code</t>
        </is>
      </c>
      <c r="G12" s="558" t="inlineStr">
        <is>
          <t>DIM_LOAN_AR</t>
        </is>
      </c>
      <c r="H12" s="558" t="inlineStr">
        <is>
          <t>AR_LCS_TP_CODE</t>
        </is>
      </c>
      <c r="I12" s="415" t="inlineStr">
        <is>
          <t>VARCHAR2</t>
        </is>
      </c>
      <c r="J12" s="415" t="n">
        <v>40</v>
      </c>
      <c r="K12" s="433" t="inlineStr">
        <is>
          <t>Trạng thái</t>
        </is>
      </c>
      <c r="M12" s="334">
        <f>"COMMENT ON COLUMN PG_GOLD."&amp;G12&amp;"."&amp;H12&amp;" IS '"&amp;K12&amp;"';"</f>
        <v/>
      </c>
    </row>
    <row r="13" ht="14.25" customHeight="1" s="335">
      <c r="A13" s="433" t="inlineStr">
        <is>
          <t>PG_SILVER</t>
        </is>
      </c>
      <c r="B13" s="433" t="inlineStr">
        <is>
          <t>LOAN_AR</t>
        </is>
      </c>
      <c r="C13" s="558" t="inlineStr">
        <is>
          <t>AR_PPS_GRP_CODE</t>
        </is>
      </c>
      <c r="D13" s="433" t="inlineStr">
        <is>
          <t>1:1</t>
        </is>
      </c>
      <c r="E13" s="433" t="inlineStr">
        <is>
          <t>Dimension Loan Arrangement</t>
        </is>
      </c>
      <c r="F13" s="433" t="inlineStr">
        <is>
          <t>Arrangement Purpose Group Code</t>
        </is>
      </c>
      <c r="G13" s="558" t="inlineStr">
        <is>
          <t>DIM_LOAN_AR</t>
        </is>
      </c>
      <c r="H13" s="558" t="inlineStr">
        <is>
          <t>AR_PPS_GRP_CODE</t>
        </is>
      </c>
      <c r="I13" s="415" t="inlineStr">
        <is>
          <t>VARCHAR2</t>
        </is>
      </c>
      <c r="J13" s="415" t="n">
        <v>40</v>
      </c>
      <c r="K13" s="433" t="inlineStr">
        <is>
          <t>Mã nhóm mục đích vay</t>
        </is>
      </c>
      <c r="M13" s="334">
        <f>"COMMENT ON COLUMN PG_GOLD."&amp;G13&amp;"."&amp;H13&amp;" IS '"&amp;K13&amp;"';"</f>
        <v/>
      </c>
    </row>
    <row r="14" ht="14.25" customHeight="1" s="335">
      <c r="A14" s="433" t="inlineStr">
        <is>
          <t>PG_SILVER</t>
        </is>
      </c>
      <c r="B14" s="433" t="inlineStr">
        <is>
          <t>LOAN_AR</t>
        </is>
      </c>
      <c r="C14" s="558" t="inlineStr">
        <is>
          <t>AR_PPS_TP_CODE</t>
        </is>
      </c>
      <c r="D14" s="433" t="inlineStr">
        <is>
          <t>1:1</t>
        </is>
      </c>
      <c r="E14" s="433" t="inlineStr">
        <is>
          <t>Dimension Loan Arrangement</t>
        </is>
      </c>
      <c r="F14" s="433" t="inlineStr">
        <is>
          <t>Arrangement Purpose Type Code</t>
        </is>
      </c>
      <c r="G14" s="558" t="inlineStr">
        <is>
          <t>DIM_LOAN_AR</t>
        </is>
      </c>
      <c r="H14" s="558" t="inlineStr">
        <is>
          <t>AR_PPS_TP_CODE</t>
        </is>
      </c>
      <c r="I14" s="415" t="inlineStr">
        <is>
          <t>VARCHAR2</t>
        </is>
      </c>
      <c r="J14" s="415" t="n">
        <v>40</v>
      </c>
      <c r="K14" s="433" t="inlineStr">
        <is>
          <t>Mã mụ̣c đích vay</t>
        </is>
      </c>
      <c r="M14" s="334">
        <f>"COMMENT ON COLUMN PG_GOLD."&amp;G14&amp;"."&amp;H14&amp;" IS '"&amp;K14&amp;"';"</f>
        <v/>
      </c>
    </row>
    <row r="15" ht="14.25" customHeight="1" s="335">
      <c r="A15" s="433" t="inlineStr">
        <is>
          <t>PG_SILVER</t>
        </is>
      </c>
      <c r="B15" s="433" t="inlineStr">
        <is>
          <t>LOAN_AR</t>
        </is>
      </c>
      <c r="C15" s="558" t="inlineStr">
        <is>
          <t>ORIG_AMT_FCY</t>
        </is>
      </c>
      <c r="D15" s="433" t="inlineStr">
        <is>
          <t>1:1</t>
        </is>
      </c>
      <c r="E15" s="433" t="inlineStr">
        <is>
          <t>Dimension Loan Arrangement</t>
        </is>
      </c>
      <c r="F15" s="433" t="inlineStr">
        <is>
          <t>Original Amount FCY</t>
        </is>
      </c>
      <c r="G15" s="558" t="inlineStr">
        <is>
          <t>DIM_LOAN_AR</t>
        </is>
      </c>
      <c r="H15" s="558" t="inlineStr">
        <is>
          <t>ORIG_AMT_FCY</t>
        </is>
      </c>
      <c r="I15" s="415" t="inlineStr">
        <is>
          <t>NUMBER</t>
        </is>
      </c>
      <c r="J15" s="415" t="n">
        <v>25.5</v>
      </c>
      <c r="K15" s="433" t="inlineStr">
        <is>
          <t>Giá trị phê duyệt</t>
        </is>
      </c>
      <c r="M15" s="334">
        <f>"COMMENT ON COLUMN PG_GOLD."&amp;G15&amp;"."&amp;H15&amp;" IS '"&amp;K15&amp;"';"</f>
        <v/>
      </c>
    </row>
    <row r="16" ht="14.25" customHeight="1" s="335">
      <c r="A16" s="433" t="inlineStr">
        <is>
          <t>PG_SILVER</t>
        </is>
      </c>
      <c r="B16" s="433" t="inlineStr">
        <is>
          <t>LOAN_AR</t>
        </is>
      </c>
      <c r="C16" s="558" t="inlineStr">
        <is>
          <t>PD_CGY_CODE</t>
        </is>
      </c>
      <c r="D16" s="433" t="inlineStr">
        <is>
          <t>1:1</t>
        </is>
      </c>
      <c r="E16" s="433" t="inlineStr">
        <is>
          <t>Dimension Loan Arrangement</t>
        </is>
      </c>
      <c r="F16" s="433" t="inlineStr">
        <is>
          <t>Product Category Code</t>
        </is>
      </c>
      <c r="G16" s="558" t="inlineStr">
        <is>
          <t>DIM_LOAN_AR</t>
        </is>
      </c>
      <c r="H16" s="558" t="inlineStr">
        <is>
          <t>PD_CGY_CODE</t>
        </is>
      </c>
      <c r="I16" s="415" t="inlineStr">
        <is>
          <t>VARCHAR2</t>
        </is>
      </c>
      <c r="J16" s="415" t="n">
        <v>20</v>
      </c>
      <c r="K16" s="433" t="inlineStr">
        <is>
          <t>Mã phân loại sản phẩm</t>
        </is>
      </c>
      <c r="M16" s="334">
        <f>"COMMENT ON COLUMN PG_GOLD."&amp;G16&amp;"."&amp;H16&amp;" IS '"&amp;K16&amp;"';"</f>
        <v/>
      </c>
    </row>
    <row r="17" ht="14.25" customHeight="1" s="335">
      <c r="A17" s="433" t="inlineStr">
        <is>
          <t>PG_SILVER</t>
        </is>
      </c>
      <c r="B17" s="433" t="inlineStr">
        <is>
          <t>LOAN_AR_PRFL</t>
        </is>
      </c>
      <c r="C17" s="433" t="inlineStr">
        <is>
          <t>PROM_PRGM</t>
        </is>
      </c>
      <c r="D17" s="433" t="inlineStr">
        <is>
          <t>1:1</t>
        </is>
      </c>
      <c r="E17" s="433" t="inlineStr">
        <is>
          <t>Dimension Loan Arrangement</t>
        </is>
      </c>
      <c r="F17" s="415" t="inlineStr">
        <is>
          <t>Promotion Code</t>
        </is>
      </c>
      <c r="G17" s="558" t="inlineStr">
        <is>
          <t>DIM_LOAN_AR</t>
        </is>
      </c>
      <c r="H17" s="415" t="inlineStr">
        <is>
          <t>PROM_CODE</t>
        </is>
      </c>
      <c r="I17" s="415" t="inlineStr">
        <is>
          <t>VARCHAR2</t>
        </is>
      </c>
      <c r="J17" s="415" t="n">
        <v>20</v>
      </c>
      <c r="K17" s="415" t="inlineStr">
        <is>
          <t>Mã chương trình KM cho vay</t>
        </is>
      </c>
      <c r="M17" s="334">
        <f>"COMMENT ON COLUMN PG_GOLD."&amp;G17&amp;"."&amp;H17&amp;" IS '"&amp;K17&amp;"';"</f>
        <v/>
      </c>
    </row>
    <row r="18" ht="14.25" customHeight="1" s="335">
      <c r="A18" s="433" t="inlineStr">
        <is>
          <t>PG_SILVER</t>
        </is>
      </c>
      <c r="B18" s="433" t="inlineStr">
        <is>
          <t>LOAN_AR_PRFL</t>
        </is>
      </c>
      <c r="C18" s="433" t="inlineStr">
        <is>
          <t>PROM_PRGM_2</t>
        </is>
      </c>
      <c r="D18" s="433" t="inlineStr">
        <is>
          <t>1:1</t>
        </is>
      </c>
      <c r="E18" s="433" t="inlineStr">
        <is>
          <t>Dimension Loan Arrangement</t>
        </is>
      </c>
      <c r="F18" s="415" t="inlineStr">
        <is>
          <t>Promotion Code 2</t>
        </is>
      </c>
      <c r="G18" s="558" t="inlineStr">
        <is>
          <t>DIM_LOAN_AR</t>
        </is>
      </c>
      <c r="H18" s="415" t="inlineStr">
        <is>
          <t>PROM_CODE_2</t>
        </is>
      </c>
      <c r="I18" s="415" t="inlineStr">
        <is>
          <t>VARCHAR2</t>
        </is>
      </c>
      <c r="J18" s="415" t="n">
        <v>20</v>
      </c>
      <c r="K18" s="433" t="inlineStr">
        <is>
          <t>Mã CTKM2</t>
        </is>
      </c>
      <c r="M18" s="334">
        <f>"COMMENT ON COLUMN PG_GOLD."&amp;G18&amp;"."&amp;H18&amp;" IS '"&amp;K18&amp;"';"</f>
        <v/>
      </c>
    </row>
    <row r="19" ht="14.25" customHeight="1" s="335">
      <c r="A19" s="433" t="inlineStr">
        <is>
          <t>PG_SILVER</t>
        </is>
      </c>
      <c r="B19" s="433" t="inlineStr">
        <is>
          <t>LOAN_AR</t>
        </is>
      </c>
      <c r="C19" s="558" t="inlineStr">
        <is>
          <t>TERM_CODE</t>
        </is>
      </c>
      <c r="D19" s="433" t="inlineStr">
        <is>
          <t>1:1</t>
        </is>
      </c>
      <c r="E19" s="433" t="inlineStr">
        <is>
          <t>Dimension Loan Arrangement</t>
        </is>
      </c>
      <c r="F19" s="415" t="inlineStr">
        <is>
          <t>Term Code</t>
        </is>
      </c>
      <c r="G19" s="558" t="inlineStr">
        <is>
          <t>DIM_LOAN_AR</t>
        </is>
      </c>
      <c r="H19" s="415" t="inlineStr">
        <is>
          <t>TERM_CODE</t>
        </is>
      </c>
      <c r="I19" s="415" t="inlineStr">
        <is>
          <t>VARCHAR2</t>
        </is>
      </c>
      <c r="J19" s="415" t="n">
        <v>20</v>
      </c>
      <c r="K19" s="415" t="inlineStr">
        <is>
          <t>Kỳ hạn</t>
        </is>
      </c>
      <c r="M19" s="334">
        <f>"COMMENT ON COLUMN PG_GOLD."&amp;G19&amp;"."&amp;H19&amp;" IS '"&amp;K19&amp;"';"</f>
        <v/>
      </c>
    </row>
    <row r="20" ht="14.25" customHeight="1" s="335">
      <c r="A20" s="433" t="inlineStr">
        <is>
          <t>PG_SILVER</t>
        </is>
      </c>
      <c r="B20" s="433" t="inlineStr">
        <is>
          <t>LOAN_AR</t>
        </is>
      </c>
      <c r="C20" s="558" t="inlineStr">
        <is>
          <t>VAL_DT</t>
        </is>
      </c>
      <c r="D20" s="433" t="inlineStr">
        <is>
          <t>1:1</t>
        </is>
      </c>
      <c r="E20" s="433" t="inlineStr">
        <is>
          <t>Dimension Loan Arrangement</t>
        </is>
      </c>
      <c r="F20" s="433" t="inlineStr">
        <is>
          <t>Value Date</t>
        </is>
      </c>
      <c r="G20" s="558" t="inlineStr">
        <is>
          <t>DIM_LOAN_AR</t>
        </is>
      </c>
      <c r="H20" s="433" t="inlineStr">
        <is>
          <t>VAL_DT</t>
        </is>
      </c>
      <c r="I20" s="415" t="inlineStr">
        <is>
          <t>DATE</t>
        </is>
      </c>
      <c r="J20" s="433" t="n"/>
      <c r="K20" s="433" t="inlineStr">
        <is>
          <t>Ngày hiệu lực đầu tiên của hợp đồng</t>
        </is>
      </c>
      <c r="M20" s="334">
        <f>"COMMENT ON COLUMN PG_GOLD."&amp;G20&amp;"."&amp;H20&amp;" IS '"&amp;K20&amp;"';"</f>
        <v/>
      </c>
    </row>
    <row r="21" ht="14.25" customHeight="1" s="335">
      <c r="A21" s="433" t="inlineStr">
        <is>
          <t>PG_SILVER</t>
        </is>
      </c>
      <c r="B21" s="433" t="inlineStr">
        <is>
          <t>LOAN_AR</t>
        </is>
      </c>
      <c r="C21" s="558" t="inlineStr">
        <is>
          <t>EFF_DT</t>
        </is>
      </c>
      <c r="D21" s="433" t="inlineStr">
        <is>
          <t>1:1</t>
        </is>
      </c>
      <c r="E21" s="433" t="inlineStr">
        <is>
          <t>Dimension Loan Arrangement</t>
        </is>
      </c>
      <c r="F21" s="433" t="inlineStr">
        <is>
          <t>Effective Date</t>
        </is>
      </c>
      <c r="G21" s="558" t="inlineStr">
        <is>
          <t>DIM_LOAN_AR</t>
        </is>
      </c>
      <c r="H21" s="433" t="inlineStr">
        <is>
          <t>EFF_DT</t>
        </is>
      </c>
      <c r="I21" s="415" t="inlineStr">
        <is>
          <t>DATE</t>
        </is>
      </c>
      <c r="J21" s="433" t="n"/>
      <c r="K21" s="433" t="inlineStr">
        <is>
          <t>Ngaày hiệu lực hợp đồng</t>
        </is>
      </c>
      <c r="M21" s="334">
        <f>"COMMENT ON COLUMN PG_GOLD."&amp;G21&amp;"."&amp;H21&amp;" IS '"&amp;K21&amp;"';"</f>
        <v/>
      </c>
    </row>
    <row r="22" ht="14.25" customHeight="1" s="335">
      <c r="A22" s="433" t="inlineStr">
        <is>
          <t>PG_SILVER</t>
        </is>
      </c>
      <c r="B22" s="433" t="inlineStr">
        <is>
          <t>LOAN_AR</t>
        </is>
      </c>
      <c r="C22" s="558" t="inlineStr">
        <is>
          <t>MAT_DT</t>
        </is>
      </c>
      <c r="D22" s="433" t="inlineStr">
        <is>
          <t>1:1</t>
        </is>
      </c>
      <c r="E22" s="433" t="inlineStr">
        <is>
          <t>Dimension Loan Arrangement</t>
        </is>
      </c>
      <c r="F22" s="433" t="inlineStr">
        <is>
          <t>Maturity Date</t>
        </is>
      </c>
      <c r="G22" s="558" t="inlineStr">
        <is>
          <t>DIM_LOAN_AR</t>
        </is>
      </c>
      <c r="H22" s="433" t="inlineStr">
        <is>
          <t>MAT_DT</t>
        </is>
      </c>
      <c r="I22" s="415" t="inlineStr">
        <is>
          <t>DATE</t>
        </is>
      </c>
      <c r="J22" s="433" t="n"/>
      <c r="K22" s="433" t="inlineStr">
        <is>
          <t>Ngày đáo hạn hợp đồng</t>
        </is>
      </c>
      <c r="M22" s="334">
        <f>"COMMENT ON COLUMN PG_GOLD."&amp;G22&amp;"."&amp;H22&amp;" IS '"&amp;K22&amp;"';"</f>
        <v/>
      </c>
    </row>
    <row r="23" ht="14.25" customHeight="1" s="335">
      <c r="A23" s="433" t="inlineStr">
        <is>
          <t>PG_SILVER</t>
        </is>
      </c>
      <c r="B23" s="433" t="inlineStr">
        <is>
          <t>LOAN_AR</t>
        </is>
      </c>
      <c r="C23" s="433" t="inlineStr">
        <is>
          <t>SYS_EFF_DT</t>
        </is>
      </c>
      <c r="D23" s="433" t="inlineStr">
        <is>
          <t>1:1</t>
        </is>
      </c>
      <c r="E23" s="433" t="inlineStr">
        <is>
          <t>Dimension Loan Arrangement</t>
        </is>
      </c>
      <c r="F23" s="433" t="inlineStr">
        <is>
          <t>System Effective Date</t>
        </is>
      </c>
      <c r="G23" s="558" t="inlineStr">
        <is>
          <t>DIM_LOAN_AR</t>
        </is>
      </c>
      <c r="H23" s="415" t="inlineStr">
        <is>
          <t>SYS_EFF_DT</t>
        </is>
      </c>
      <c r="I23" s="415" t="inlineStr">
        <is>
          <t>DATE</t>
        </is>
      </c>
      <c r="J23" s="433" t="n"/>
      <c r="K23" s="415" t="inlineStr">
        <is>
          <t>Ngày hiệu lực bản ghi</t>
        </is>
      </c>
      <c r="M23" s="415">
        <f>"COMMENT ON COLUMN PG_GOLD."&amp;G23&amp;"."&amp;H23&amp;" IS '"&amp;K23&amp;"';"</f>
        <v/>
      </c>
    </row>
    <row r="24" ht="14.25" customHeight="1" s="335">
      <c r="A24" s="433" t="inlineStr">
        <is>
          <t>PG_SILVER</t>
        </is>
      </c>
      <c r="B24" s="433" t="inlineStr">
        <is>
          <t>LOAN_AR</t>
        </is>
      </c>
      <c r="C24" s="433" t="inlineStr">
        <is>
          <t>SYS_EXP_DT</t>
        </is>
      </c>
      <c r="D24" s="433" t="inlineStr">
        <is>
          <t>1:1</t>
        </is>
      </c>
      <c r="E24" s="433" t="inlineStr">
        <is>
          <t>Dimension Loan Arrangement</t>
        </is>
      </c>
      <c r="F24" s="433" t="inlineStr">
        <is>
          <t>System Expiry Date</t>
        </is>
      </c>
      <c r="G24" s="558" t="inlineStr">
        <is>
          <t>DIM_LOAN_AR</t>
        </is>
      </c>
      <c r="H24" s="415" t="inlineStr">
        <is>
          <t>SYS_EXP_DT</t>
        </is>
      </c>
      <c r="I24" s="415" t="inlineStr">
        <is>
          <t>DATE</t>
        </is>
      </c>
      <c r="J24" s="433" t="n"/>
      <c r="K24" s="415" t="inlineStr">
        <is>
          <t>Ngày hết hiệu lực bản ghi</t>
        </is>
      </c>
      <c r="M24" s="415">
        <f>"COMMENT ON COLUMN PG_GOLD."&amp;G24&amp;"."&amp;H24&amp;" IS '"&amp;K24&amp;"';"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A64D79"/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8.34" customWidth="1" style="334" min="2" max="2"/>
    <col width="18.44" customWidth="1" style="334" min="3" max="3"/>
    <col width="54" customWidth="1" style="334" min="4" max="4"/>
    <col width="37.34" customWidth="1" style="334" min="5" max="5"/>
    <col width="29" customWidth="1" style="334" min="6" max="6"/>
    <col width="20" customWidth="1" style="334" min="8" max="8"/>
    <col width="34" customWidth="1" style="334" min="11" max="11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PG_SILVER</t>
        </is>
      </c>
      <c r="B3" s="558" t="inlineStr">
        <is>
          <t>OU</t>
        </is>
      </c>
      <c r="C3" s="433" t="inlineStr">
        <is>
          <t>ou</t>
        </is>
      </c>
      <c r="D3" s="443" t="n"/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415" t="n"/>
      <c r="B4" s="415" t="n"/>
      <c r="C4" s="433" t="n"/>
      <c r="D4" s="443" t="n"/>
      <c r="E4" s="435" t="n"/>
      <c r="F4" s="435" t="n"/>
      <c r="G4" s="435" t="n"/>
      <c r="H4" s="435" t="n"/>
      <c r="I4" s="435" t="n"/>
      <c r="J4" s="435" t="n"/>
      <c r="K4" s="435" t="n"/>
    </row>
    <row r="5" ht="14.25" customHeight="1" s="335">
      <c r="A5" s="500" t="n"/>
      <c r="B5" s="500" t="n"/>
      <c r="C5" s="500" t="n"/>
      <c r="D5" s="500" t="n"/>
      <c r="E5" s="500" t="n"/>
      <c r="F5" s="500" t="n"/>
      <c r="G5" s="500" t="n"/>
      <c r="H5" s="500" t="n"/>
      <c r="I5" s="500" t="n"/>
      <c r="J5" s="500" t="n"/>
      <c r="K5" s="500" t="n"/>
    </row>
    <row r="6" ht="14.25" customHeight="1" s="335">
      <c r="A6" s="432" t="inlineStr">
        <is>
          <t>Nguồn</t>
        </is>
      </c>
      <c r="B6" s="432" t="inlineStr">
        <is>
          <t>Bảng nguồn</t>
        </is>
      </c>
      <c r="C6" s="432" t="inlineStr">
        <is>
          <t>Cột nguồn</t>
        </is>
      </c>
      <c r="D6" s="432" t="inlineStr">
        <is>
          <t>Transform</t>
        </is>
      </c>
      <c r="E6" s="432" t="inlineStr">
        <is>
          <t>Entity</t>
        </is>
      </c>
      <c r="F6" s="432" t="inlineStr">
        <is>
          <t>Attribute</t>
        </is>
      </c>
      <c r="G6" s="432" t="inlineStr">
        <is>
          <t>Bảng đích</t>
        </is>
      </c>
      <c r="H6" s="432" t="inlineStr">
        <is>
          <t>Cột đích</t>
        </is>
      </c>
      <c r="I6" s="432" t="inlineStr">
        <is>
          <t>Kiểu dữ liệu</t>
        </is>
      </c>
      <c r="J6" s="432" t="inlineStr">
        <is>
          <t>Độ dài</t>
        </is>
      </c>
      <c r="K6" s="432" t="inlineStr">
        <is>
          <t>Diễn giải</t>
        </is>
      </c>
      <c r="L6" s="432" t="inlineStr">
        <is>
          <t>Glossary</t>
        </is>
      </c>
      <c r="M6" s="432" t="inlineStr">
        <is>
          <t>DDL Comment</t>
        </is>
      </c>
      <c r="N6" s="432" t="inlineStr">
        <is>
          <t>Ghi chú kỹ thuật &amp; Business Rule</t>
        </is>
      </c>
    </row>
    <row r="7" ht="14.25" customHeight="1" s="335">
      <c r="A7" s="433" t="inlineStr">
        <is>
          <t>PG_SILVER</t>
        </is>
      </c>
      <c r="B7" s="558" t="inlineStr">
        <is>
          <t>OU</t>
        </is>
      </c>
      <c r="C7" s="558" t="inlineStr">
        <is>
          <t>OU_ID</t>
        </is>
      </c>
      <c r="D7" s="433" t="inlineStr">
        <is>
          <t>CONCAT(TO_CHAR(ETL_CHANGE_DATE, 'YYYYMMDD'), ou.OU_ID)</t>
        </is>
      </c>
      <c r="E7" s="433" t="inlineStr">
        <is>
          <t>Dimension Organization Unit</t>
        </is>
      </c>
      <c r="F7" s="334" t="inlineStr">
        <is>
          <t>Dimension key</t>
        </is>
      </c>
      <c r="G7" s="558" t="inlineStr">
        <is>
          <t>DIM_OU</t>
        </is>
      </c>
      <c r="H7" s="575" t="inlineStr">
        <is>
          <t>DIM_KEY</t>
        </is>
      </c>
      <c r="I7" s="415" t="inlineStr">
        <is>
          <t>CHAR</t>
        </is>
      </c>
      <c r="J7" s="438" t="n">
        <v>40</v>
      </c>
      <c r="K7" s="438" t="inlineStr">
        <is>
          <t>Key của bảng</t>
        </is>
      </c>
      <c r="M7" s="334">
        <f>"COMMENT ON COLUMN PG_GOLD."&amp;G7&amp;"."&amp;H7&amp;" IS '"&amp;K7&amp;"';"</f>
        <v/>
      </c>
      <c r="N7" t="inlineStr">
        <is>
          <t>Biến `ETL_CHANGE_DATE` được tính bằng `COALESCE(SYS_UDT_DT, SYS_EFF_DT, ${ETL_DATE})`.</t>
        </is>
      </c>
    </row>
    <row r="8" ht="14.25" customHeight="1" s="335">
      <c r="A8" s="433" t="inlineStr">
        <is>
          <t>PG_SILVER</t>
        </is>
      </c>
      <c r="B8" s="558" t="inlineStr">
        <is>
          <t>OU</t>
        </is>
      </c>
      <c r="C8" s="558" t="inlineStr">
        <is>
          <t>OU_ID</t>
        </is>
      </c>
      <c r="D8" s="433" t="inlineStr">
        <is>
          <t>1:1</t>
        </is>
      </c>
      <c r="E8" s="433" t="inlineStr">
        <is>
          <t>Dimension Organization Unit</t>
        </is>
      </c>
      <c r="F8" s="433" t="inlineStr">
        <is>
          <t>Organization Unit ID</t>
        </is>
      </c>
      <c r="G8" s="558" t="inlineStr">
        <is>
          <t>DIM_OU</t>
        </is>
      </c>
      <c r="H8" s="558" t="inlineStr">
        <is>
          <t>OU_ID</t>
        </is>
      </c>
      <c r="I8" s="415" t="inlineStr">
        <is>
          <t>CHAR</t>
        </is>
      </c>
      <c r="J8" s="415" t="n">
        <v>32</v>
      </c>
      <c r="K8" s="415" t="inlineStr">
        <is>
          <t>ID của chi nhánh</t>
        </is>
      </c>
      <c r="M8" s="334">
        <f>"COMMENT ON COLUMN PG_GOLD."&amp;G8&amp;"."&amp;H8&amp;" IS '"&amp;K8&amp;"';"</f>
        <v/>
      </c>
    </row>
    <row r="9" ht="14.25" customHeight="1" s="335">
      <c r="A9" s="433" t="inlineStr">
        <is>
          <t>PG_SILVER</t>
        </is>
      </c>
      <c r="B9" s="558" t="inlineStr">
        <is>
          <t>OU</t>
        </is>
      </c>
      <c r="C9" s="558" t="inlineStr">
        <is>
          <t>OU_CODE</t>
        </is>
      </c>
      <c r="D9" s="433" t="inlineStr">
        <is>
          <t>1:1</t>
        </is>
      </c>
      <c r="E9" s="433" t="inlineStr">
        <is>
          <t>Dimension Organization Unit</t>
        </is>
      </c>
      <c r="F9" s="433" t="inlineStr">
        <is>
          <t>Organization Unit Code</t>
        </is>
      </c>
      <c r="G9" s="558" t="inlineStr">
        <is>
          <t>DIM_OU</t>
        </is>
      </c>
      <c r="H9" s="558" t="inlineStr">
        <is>
          <t>OU_CODE</t>
        </is>
      </c>
      <c r="I9" s="415" t="inlineStr">
        <is>
          <t>VARCHAR2</t>
        </is>
      </c>
      <c r="J9" s="415" t="n">
        <v>32</v>
      </c>
      <c r="K9" s="433" t="inlineStr">
        <is>
          <t>Mã chi nhánh</t>
        </is>
      </c>
      <c r="M9" s="334">
        <f>"COMMENT ON COLUMN PG_GOLD."&amp;G9&amp;"."&amp;H9&amp;" IS '"&amp;K9&amp;"';"</f>
        <v/>
      </c>
    </row>
    <row r="10" ht="14.25" customHeight="1" s="335">
      <c r="A10" s="433" t="inlineStr">
        <is>
          <t>PG_SILVER</t>
        </is>
      </c>
      <c r="B10" s="558" t="inlineStr">
        <is>
          <t>OU</t>
        </is>
      </c>
      <c r="C10" s="558" t="inlineStr">
        <is>
          <t>OU_NM</t>
        </is>
      </c>
      <c r="D10" s="433" t="inlineStr">
        <is>
          <t>1:1</t>
        </is>
      </c>
      <c r="E10" s="433" t="inlineStr">
        <is>
          <t>Dimension Organization Unit</t>
        </is>
      </c>
      <c r="F10" s="433" t="inlineStr">
        <is>
          <t>Organization Unit Name</t>
        </is>
      </c>
      <c r="G10" s="558" t="inlineStr">
        <is>
          <t>DIM_OU</t>
        </is>
      </c>
      <c r="H10" s="558" t="inlineStr">
        <is>
          <t>OU_NM</t>
        </is>
      </c>
      <c r="I10" s="415" t="inlineStr">
        <is>
          <t>VARCHAR2</t>
        </is>
      </c>
      <c r="J10" s="415" t="n">
        <v>300</v>
      </c>
      <c r="K10" s="433" t="inlineStr">
        <is>
          <t>Tên chi nhánh</t>
        </is>
      </c>
      <c r="M10" s="334">
        <f>"COMMENT ON COLUMN PG_GOLD."&amp;G10&amp;"."&amp;H10&amp;" IS '"&amp;K10&amp;"';"</f>
        <v/>
      </c>
    </row>
    <row r="11" ht="14.25" customHeight="1" s="335">
      <c r="A11" s="433" t="inlineStr">
        <is>
          <t>PG_SILVER</t>
        </is>
      </c>
      <c r="B11" s="558" t="inlineStr">
        <is>
          <t>OU</t>
        </is>
      </c>
      <c r="C11" s="415" t="inlineStr">
        <is>
          <t>SYS_EFF_DT</t>
        </is>
      </c>
      <c r="D11" s="433" t="inlineStr">
        <is>
          <t>1:1</t>
        </is>
      </c>
      <c r="E11" s="433" t="inlineStr">
        <is>
          <t>Dimension Organization Unit</t>
        </is>
      </c>
      <c r="F11" s="433" t="inlineStr">
        <is>
          <t>System Effective Date</t>
        </is>
      </c>
      <c r="G11" s="558" t="inlineStr">
        <is>
          <t>DIM_OU</t>
        </is>
      </c>
      <c r="H11" s="415" t="inlineStr">
        <is>
          <t>SYS_EFF_DT</t>
        </is>
      </c>
      <c r="I11" s="415" t="inlineStr">
        <is>
          <t>DATE</t>
        </is>
      </c>
      <c r="K11" s="415" t="inlineStr">
        <is>
          <t>Ngày hiệu lực bản ghi</t>
        </is>
      </c>
      <c r="M11" s="415">
        <f>"COMMENT ON COLUMN PG_GOLD."&amp;G11&amp;"."&amp;H11&amp;" IS '"&amp;K11&amp;"';"</f>
        <v/>
      </c>
    </row>
    <row r="12" ht="14.25" customHeight="1" s="335">
      <c r="A12" s="433" t="inlineStr">
        <is>
          <t>PG_SILVER</t>
        </is>
      </c>
      <c r="B12" s="558" t="inlineStr">
        <is>
          <t>OU</t>
        </is>
      </c>
      <c r="C12" s="415" t="inlineStr">
        <is>
          <t>SYS_EXP_DT</t>
        </is>
      </c>
      <c r="D12" s="433" t="inlineStr">
        <is>
          <t>1:1</t>
        </is>
      </c>
      <c r="E12" s="433" t="inlineStr">
        <is>
          <t>Dimension Organization Unit</t>
        </is>
      </c>
      <c r="F12" s="433" t="inlineStr">
        <is>
          <t>System Expiry Date</t>
        </is>
      </c>
      <c r="G12" s="558" t="inlineStr">
        <is>
          <t>DIM_OU</t>
        </is>
      </c>
      <c r="H12" s="415" t="inlineStr">
        <is>
          <t>SYS_EXP_DT</t>
        </is>
      </c>
      <c r="I12" s="415" t="inlineStr">
        <is>
          <t>DATE</t>
        </is>
      </c>
      <c r="K12" s="415" t="inlineStr">
        <is>
          <t>Ngày hết hiệu lực bản ghi</t>
        </is>
      </c>
      <c r="M12" s="415">
        <f>"COMMENT ON COLUMN PG_GOLD."&amp;G12&amp;"."&amp;H12&amp;" IS '"&amp;K12&amp;"';"</f>
        <v/>
      </c>
    </row>
    <row r="13" ht="14.25" customHeight="1" s="3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A64D79"/>
    <outlinePr summaryBelow="1" summaryRight="1"/>
    <pageSetUpPr fitToPage="0"/>
  </sheetPr>
  <dimension ref="A1:N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2" customWidth="1" style="334" min="1" max="1"/>
    <col width="21.56" customWidth="1" style="334" min="2" max="2"/>
    <col width="18.44" customWidth="1" style="334" min="3" max="3"/>
    <col width="57.33" customWidth="1" style="334" min="4" max="4"/>
    <col width="37.34" customWidth="1" style="334" min="5" max="5"/>
    <col width="29" customWidth="1" style="334" min="6" max="6"/>
    <col width="20" customWidth="1" style="334" min="8" max="8"/>
    <col width="34" customWidth="1" style="334" min="11" max="11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PG_SILVER</t>
        </is>
      </c>
      <c r="B3" s="464" t="inlineStr">
        <is>
          <t>LMT</t>
        </is>
      </c>
      <c r="C3" s="433" t="inlineStr">
        <is>
          <t>l</t>
        </is>
      </c>
      <c r="D3" s="443" t="n"/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500" t="n"/>
      <c r="B4" s="500" t="n"/>
      <c r="C4" s="500" t="n"/>
      <c r="D4" s="500" t="n"/>
      <c r="E4" s="500" t="n"/>
      <c r="F4" s="500" t="n"/>
      <c r="G4" s="500" t="n"/>
      <c r="H4" s="500" t="n"/>
      <c r="I4" s="500" t="n"/>
      <c r="J4" s="500" t="n"/>
      <c r="K4" s="500" t="n"/>
    </row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32" t="inlineStr">
        <is>
          <t>Ghi chú kỹ thuật &amp; Business Rule</t>
        </is>
      </c>
    </row>
    <row r="6" ht="14.25" customHeight="1" s="335">
      <c r="A6" s="433" t="inlineStr">
        <is>
          <t>PG_SILVER</t>
        </is>
      </c>
      <c r="B6" s="464" t="inlineStr">
        <is>
          <t>LMT</t>
        </is>
      </c>
      <c r="C6" s="433" t="inlineStr">
        <is>
          <t>LMT_ID</t>
        </is>
      </c>
      <c r="D6" s="433" t="inlineStr">
        <is>
          <t>CONCAT(TO_CHAR(ETL_CHANGE_DATE, 'YYYYMMDD'), l.LMT_ID)</t>
        </is>
      </c>
      <c r="E6" s="433" t="inlineStr">
        <is>
          <t>Dimension Limit</t>
        </is>
      </c>
      <c r="F6" s="334" t="inlineStr">
        <is>
          <t>Dimension key</t>
        </is>
      </c>
      <c r="G6" s="558" t="inlineStr">
        <is>
          <t>DIM_LMT</t>
        </is>
      </c>
      <c r="H6" s="575" t="inlineStr">
        <is>
          <t>DIM_KEY</t>
        </is>
      </c>
      <c r="I6" s="415" t="inlineStr">
        <is>
          <t>CHAR</t>
        </is>
      </c>
      <c r="J6" s="438" t="n">
        <v>40</v>
      </c>
      <c r="K6" s="438" t="inlineStr">
        <is>
          <t>Key của bảng</t>
        </is>
      </c>
      <c r="M6" s="334">
        <f>"COMMENT ON COLUMN PG_GOLD."&amp;G6&amp;"."&amp;H6&amp;" IS '"&amp;K6&amp;"';"</f>
        <v/>
      </c>
      <c r="N6" t="inlineStr">
        <is>
          <t>Biến `ETL_CHANGE_DATE` được tính bằng `COALESCE(SYS_UDT_DT, SYS_EFF_DT, ${ETL_DATE})`.</t>
        </is>
      </c>
    </row>
    <row r="7" ht="14.25" customHeight="1" s="335">
      <c r="A7" s="433" t="inlineStr">
        <is>
          <t>PG_SILVER</t>
        </is>
      </c>
      <c r="B7" s="464" t="inlineStr">
        <is>
          <t>LMT</t>
        </is>
      </c>
      <c r="C7" s="558" t="inlineStr">
        <is>
          <t>LMT_ID</t>
        </is>
      </c>
      <c r="D7" s="433" t="inlineStr">
        <is>
          <t>1:1</t>
        </is>
      </c>
      <c r="E7" s="433" t="inlineStr">
        <is>
          <t>Dimension Limit</t>
        </is>
      </c>
      <c r="F7" s="433" t="inlineStr">
        <is>
          <t>Limit ID</t>
        </is>
      </c>
      <c r="G7" s="558" t="inlineStr">
        <is>
          <t>DIM_LMT</t>
        </is>
      </c>
      <c r="H7" s="558" t="inlineStr">
        <is>
          <t>LMT_ID</t>
        </is>
      </c>
      <c r="I7" s="415" t="inlineStr">
        <is>
          <t>CHAR</t>
        </is>
      </c>
      <c r="J7" s="415" t="n">
        <v>32</v>
      </c>
      <c r="K7" s="415" t="inlineStr">
        <is>
          <t>ID của hạn mức</t>
        </is>
      </c>
      <c r="M7" s="334">
        <f>"COMMENT ON COLUMN PG_GOLD."&amp;G7&amp;"."&amp;H7&amp;" IS '"&amp;K7&amp;"';"</f>
        <v/>
      </c>
    </row>
    <row r="8" ht="14.25" customHeight="1" s="335">
      <c r="A8" s="433" t="inlineStr">
        <is>
          <t>PG_SILVER</t>
        </is>
      </c>
      <c r="B8" s="464" t="inlineStr">
        <is>
          <t>LMT</t>
        </is>
      </c>
      <c r="C8" s="558" t="inlineStr">
        <is>
          <t>LMT_CODE</t>
        </is>
      </c>
      <c r="D8" s="433" t="inlineStr">
        <is>
          <t>1:1</t>
        </is>
      </c>
      <c r="E8" s="433" t="inlineStr">
        <is>
          <t>Dimension Limit</t>
        </is>
      </c>
      <c r="F8" s="433" t="inlineStr">
        <is>
          <t>Limit Code</t>
        </is>
      </c>
      <c r="G8" s="558" t="inlineStr">
        <is>
          <t>DIM_LMT</t>
        </is>
      </c>
      <c r="H8" s="558" t="inlineStr">
        <is>
          <t>LMT_CODE</t>
        </is>
      </c>
      <c r="I8" s="415" t="inlineStr">
        <is>
          <t>VARCHAR2</t>
        </is>
      </c>
      <c r="J8" s="415" t="n">
        <v>32</v>
      </c>
      <c r="K8" s="433" t="inlineStr">
        <is>
          <t>Mã hạn mức</t>
        </is>
      </c>
      <c r="M8" s="334">
        <f>"COMMENT ON COLUMN PG_GOLD."&amp;G8&amp;"."&amp;H8&amp;" IS '"&amp;K8&amp;"';"</f>
        <v/>
      </c>
    </row>
    <row r="9" ht="14.25" customHeight="1" s="335">
      <c r="A9" s="415" t="inlineStr">
        <is>
          <t>PG_SILVER</t>
        </is>
      </c>
      <c r="B9" s="415" t="inlineStr">
        <is>
          <t>LMT</t>
        </is>
      </c>
      <c r="C9" s="558" t="inlineStr">
        <is>
          <t>LMT_DSC</t>
        </is>
      </c>
      <c r="D9" s="433" t="inlineStr">
        <is>
          <t>1:1</t>
        </is>
      </c>
      <c r="E9" s="433" t="inlineStr">
        <is>
          <t>Dimension Limit</t>
        </is>
      </c>
      <c r="F9" s="433" t="inlineStr">
        <is>
          <t>Limit Description</t>
        </is>
      </c>
      <c r="G9" s="558" t="inlineStr">
        <is>
          <t>DIM_LMT</t>
        </is>
      </c>
      <c r="H9" s="558" t="inlineStr">
        <is>
          <t>LMT_DSC</t>
        </is>
      </c>
      <c r="I9" s="415" t="inlineStr">
        <is>
          <t>VARCHAR2</t>
        </is>
      </c>
      <c r="J9" s="415" t="n">
        <v>300</v>
      </c>
      <c r="K9" s="433" t="inlineStr">
        <is>
          <t>Mô tả hạn mức</t>
        </is>
      </c>
      <c r="M9" s="334">
        <f>"COMMENT ON COLUMN PG_GOLD."&amp;G9&amp;"."&amp;H9&amp;" IS '"&amp;K9&amp;"';"</f>
        <v/>
      </c>
    </row>
    <row r="10" ht="14.25" customHeight="1" s="335">
      <c r="A10" s="334" t="inlineStr">
        <is>
          <t>PG_SILVER</t>
        </is>
      </c>
      <c r="B10" s="334" t="inlineStr">
        <is>
          <t>LMT</t>
        </is>
      </c>
      <c r="C10" s="334" t="inlineStr">
        <is>
          <t>SYS_EFF_DT</t>
        </is>
      </c>
      <c r="D10" s="334" t="inlineStr">
        <is>
          <t>1:1</t>
        </is>
      </c>
      <c r="E10" s="433" t="inlineStr">
        <is>
          <t>Dimension Limit</t>
        </is>
      </c>
      <c r="F10" s="433" t="inlineStr">
        <is>
          <t>System Effective Date</t>
        </is>
      </c>
      <c r="G10" s="558" t="inlineStr">
        <is>
          <t>DIM_LMT</t>
        </is>
      </c>
      <c r="H10" s="415" t="inlineStr">
        <is>
          <t>SYS_EFF_DT</t>
        </is>
      </c>
      <c r="I10" s="415" t="inlineStr">
        <is>
          <t>DATE</t>
        </is>
      </c>
      <c r="K10" s="415" t="inlineStr">
        <is>
          <t>Ngày hiệu lực bản ghi</t>
        </is>
      </c>
      <c r="M10" s="415">
        <f>"COMMENT ON COLUMN PG_GOLD."&amp;G10&amp;"."&amp;H10&amp;" IS '"&amp;K10&amp;"';"</f>
        <v/>
      </c>
    </row>
    <row r="11" ht="14.25" customHeight="1" s="335">
      <c r="A11" s="334" t="inlineStr">
        <is>
          <t>PG_SILVER</t>
        </is>
      </c>
      <c r="B11" s="334" t="inlineStr">
        <is>
          <t>LMT</t>
        </is>
      </c>
      <c r="C11" s="334" t="inlineStr">
        <is>
          <t>SYS_EXP_DT</t>
        </is>
      </c>
      <c r="D11" s="334" t="inlineStr">
        <is>
          <t>1:1</t>
        </is>
      </c>
      <c r="E11" s="433" t="inlineStr">
        <is>
          <t>Dimension Limit</t>
        </is>
      </c>
      <c r="F11" s="433" t="inlineStr">
        <is>
          <t>System Expiry Date</t>
        </is>
      </c>
      <c r="G11" s="558" t="inlineStr">
        <is>
          <t>DIM_LMT</t>
        </is>
      </c>
      <c r="H11" s="415" t="inlineStr">
        <is>
          <t>SYS_EXP_DT</t>
        </is>
      </c>
      <c r="I11" s="415" t="inlineStr">
        <is>
          <t>DATE</t>
        </is>
      </c>
      <c r="K11" s="415" t="inlineStr">
        <is>
          <t>Ngày hết hiệu lực bản ghi</t>
        </is>
      </c>
      <c r="M11" s="415">
        <f>"COMMENT ON COLUMN PG_GOLD."&amp;G11&amp;"."&amp;H11&amp;" IS '"&amp;K11&amp;"';"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A64D79"/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0.88" customWidth="1" style="334" min="1" max="1"/>
    <col width="10.66" customWidth="1" style="334" min="2" max="2"/>
    <col width="19.56" customWidth="1" style="334" min="3" max="3"/>
    <col width="55" customWidth="1" style="334" min="4" max="4"/>
    <col width="20.11" customWidth="1" style="334" min="5" max="5"/>
    <col width="19.67" customWidth="1" style="334" min="6" max="6"/>
    <col width="9.880000000000001" customWidth="1" style="334" min="7" max="7"/>
    <col width="16.33" customWidth="1" style="334" min="8" max="8"/>
    <col width="9.44" customWidth="1" style="334" min="10" max="10"/>
    <col width="34" customWidth="1" style="334" min="11" max="11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PG_SILVER</t>
        </is>
      </c>
      <c r="B3" s="558" t="inlineStr">
        <is>
          <t>CCY</t>
        </is>
      </c>
      <c r="C3" s="433" t="inlineStr">
        <is>
          <t>cur</t>
        </is>
      </c>
      <c r="D3" s="443" t="n"/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500" t="n"/>
      <c r="B4" s="500" t="n"/>
      <c r="C4" s="500" t="n"/>
      <c r="D4" s="500" t="n"/>
      <c r="E4" s="500" t="n"/>
      <c r="F4" s="500" t="n"/>
      <c r="G4" s="500" t="n"/>
      <c r="H4" s="500" t="n"/>
      <c r="I4" s="500" t="n"/>
      <c r="J4" s="500" t="n"/>
      <c r="K4" s="500" t="n"/>
    </row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32" t="inlineStr">
        <is>
          <t>Ghi chú kỹ thuật &amp; Business Rule</t>
        </is>
      </c>
    </row>
    <row r="6" ht="14.25" customHeight="1" s="335">
      <c r="A6" s="433" t="inlineStr">
        <is>
          <t>PG_SILVER</t>
        </is>
      </c>
      <c r="B6" s="558" t="inlineStr">
        <is>
          <t>CCY</t>
        </is>
      </c>
      <c r="C6" s="558" t="inlineStr">
        <is>
          <t>CCY_ID</t>
        </is>
      </c>
      <c r="D6" s="334" t="inlineStr">
        <is>
          <t>CONCAT(TO_CHAR(ETL_CHANGE_DATE, 'YYYYMMDD'), cur.CCY_ID)</t>
        </is>
      </c>
      <c r="E6" s="433" t="inlineStr">
        <is>
          <t>Dimension Currency</t>
        </is>
      </c>
      <c r="F6" s="334" t="inlineStr">
        <is>
          <t>Dimension key</t>
        </is>
      </c>
      <c r="G6" s="558" t="inlineStr">
        <is>
          <t>DIM_CCY</t>
        </is>
      </c>
      <c r="H6" s="575" t="inlineStr">
        <is>
          <t>DIM_KEY</t>
        </is>
      </c>
      <c r="I6" s="415" t="inlineStr">
        <is>
          <t>CHAR</t>
        </is>
      </c>
      <c r="J6" s="438" t="n">
        <v>40</v>
      </c>
      <c r="K6" s="438" t="inlineStr">
        <is>
          <t>Key của bảng</t>
        </is>
      </c>
      <c r="M6" s="334">
        <f>"COMMENT ON COLUMN PG_GOLD."&amp;G6&amp;"."&amp;H6&amp;" IS '"&amp;K6&amp;"';"</f>
        <v/>
      </c>
      <c r="N6" t="inlineStr">
        <is>
          <t>Biến `ETL_CHANGE_DATE` được tính bằng `COALESCE(SYS_UDT_DT, SYS_EFF_DT, ${ETL_DATE})`.</t>
        </is>
      </c>
    </row>
    <row r="7" ht="14.25" customHeight="1" s="335">
      <c r="A7" s="433" t="inlineStr">
        <is>
          <t>PG_SILVER</t>
        </is>
      </c>
      <c r="B7" s="558" t="inlineStr">
        <is>
          <t>CCY</t>
        </is>
      </c>
      <c r="C7" s="558" t="inlineStr">
        <is>
          <t>CCY_ID</t>
        </is>
      </c>
      <c r="D7" s="433" t="inlineStr">
        <is>
          <t>1:1</t>
        </is>
      </c>
      <c r="E7" s="433" t="inlineStr">
        <is>
          <t>Dimension Currency</t>
        </is>
      </c>
      <c r="F7" s="433" t="inlineStr">
        <is>
          <t>Currency ID</t>
        </is>
      </c>
      <c r="G7" s="558" t="inlineStr">
        <is>
          <t>DIM_CCY</t>
        </is>
      </c>
      <c r="H7" s="558" t="inlineStr">
        <is>
          <t>CCY_ID</t>
        </is>
      </c>
      <c r="I7" s="415" t="inlineStr">
        <is>
          <t>CHAR</t>
        </is>
      </c>
      <c r="J7" s="415" t="n">
        <v>32</v>
      </c>
      <c r="K7" s="415" t="inlineStr">
        <is>
          <t>Mã duy nhất của loại tiền trên DWH</t>
        </is>
      </c>
      <c r="M7" s="334">
        <f>"COMMENT ON COLUMN PG_GOLD."&amp;G7&amp;"."&amp;H7&amp;" IS '"&amp;K7&amp;"';"</f>
        <v/>
      </c>
    </row>
    <row r="8" ht="14.25" customHeight="1" s="335">
      <c r="A8" s="433" t="inlineStr">
        <is>
          <t>PG_SILVER</t>
        </is>
      </c>
      <c r="B8" s="558" t="inlineStr">
        <is>
          <t>CCY</t>
        </is>
      </c>
      <c r="C8" s="558" t="inlineStr">
        <is>
          <t>CCY_CODE</t>
        </is>
      </c>
      <c r="D8" s="433" t="inlineStr">
        <is>
          <t>1:1</t>
        </is>
      </c>
      <c r="E8" s="433" t="inlineStr">
        <is>
          <t>Dimension Currency</t>
        </is>
      </c>
      <c r="F8" s="433" t="inlineStr">
        <is>
          <t>Currency Code</t>
        </is>
      </c>
      <c r="G8" s="558" t="inlineStr">
        <is>
          <t>DIM_CCY</t>
        </is>
      </c>
      <c r="H8" s="558" t="inlineStr">
        <is>
          <t>CCY_CODE</t>
        </is>
      </c>
      <c r="I8" s="415" t="inlineStr">
        <is>
          <t>VARCHAR2</t>
        </is>
      </c>
      <c r="J8" s="415" t="n">
        <v>20</v>
      </c>
      <c r="K8" s="433" t="inlineStr">
        <is>
          <t>Mã loại tiền</t>
        </is>
      </c>
      <c r="M8" s="334">
        <f>"COMMENT ON COLUMN PG_GOLD."&amp;G8&amp;"."&amp;H8&amp;" IS '"&amp;K8&amp;"';"</f>
        <v/>
      </c>
    </row>
    <row r="9" ht="14.25" customHeight="1" s="335">
      <c r="A9" s="433" t="inlineStr">
        <is>
          <t>PG_SILVER</t>
        </is>
      </c>
      <c r="B9" s="558" t="inlineStr">
        <is>
          <t>CCY</t>
        </is>
      </c>
      <c r="C9" s="558" t="inlineStr">
        <is>
          <t>CCY_NM</t>
        </is>
      </c>
      <c r="D9" s="433" t="inlineStr">
        <is>
          <t>1:1</t>
        </is>
      </c>
      <c r="E9" s="433" t="inlineStr">
        <is>
          <t>Dimension Currency</t>
        </is>
      </c>
      <c r="F9" s="433" t="inlineStr">
        <is>
          <t>Currency Name</t>
        </is>
      </c>
      <c r="G9" s="558" t="inlineStr">
        <is>
          <t>DIM_CCY</t>
        </is>
      </c>
      <c r="H9" s="558" t="inlineStr">
        <is>
          <t>CCY_NM</t>
        </is>
      </c>
      <c r="I9" s="415" t="inlineStr">
        <is>
          <t>VARCHAR2</t>
        </is>
      </c>
      <c r="J9" s="415" t="n">
        <v>300</v>
      </c>
      <c r="K9" s="433" t="inlineStr">
        <is>
          <t>Tên loại tiền</t>
        </is>
      </c>
      <c r="M9" s="334">
        <f>"COMMENT ON COLUMN PG_GOLD."&amp;G9&amp;"."&amp;H9&amp;" IS '"&amp;K9&amp;"';"</f>
        <v/>
      </c>
    </row>
    <row r="10" ht="14.25" customHeight="1" s="335">
      <c r="A10" s="433" t="inlineStr">
        <is>
          <t>PG_SILVER</t>
        </is>
      </c>
      <c r="B10" s="558" t="inlineStr">
        <is>
          <t>CCY</t>
        </is>
      </c>
      <c r="C10" s="558" t="inlineStr">
        <is>
          <t>NUMERIC_CCY_CODE</t>
        </is>
      </c>
      <c r="D10" s="433" t="inlineStr">
        <is>
          <t>1:1</t>
        </is>
      </c>
      <c r="E10" s="433" t="inlineStr">
        <is>
          <t>Dimension Currency</t>
        </is>
      </c>
      <c r="F10" s="433" t="inlineStr">
        <is>
          <t>Numeric Currency Code</t>
        </is>
      </c>
      <c r="G10" s="558" t="inlineStr">
        <is>
          <t>DIM_CCY</t>
        </is>
      </c>
      <c r="H10" s="558" t="inlineStr">
        <is>
          <t>NUMERIC_CCY_CODE</t>
        </is>
      </c>
      <c r="I10" s="415" t="inlineStr">
        <is>
          <t>VARCHAR2</t>
        </is>
      </c>
      <c r="J10" s="415" t="n">
        <v>20</v>
      </c>
      <c r="K10" s="433" t="inlineStr">
        <is>
          <t>Mã tiền tệ dạng số</t>
        </is>
      </c>
      <c r="M10" s="334">
        <f>"COMMENT ON COLUMN PG_GOLD."&amp;G10&amp;"."&amp;H10&amp;" IS '"&amp;K10&amp;"';"</f>
        <v/>
      </c>
    </row>
    <row r="11" ht="14.25" customHeight="1" s="335">
      <c r="A11" s="334" t="inlineStr">
        <is>
          <t>PG_SILVER</t>
        </is>
      </c>
      <c r="B11" s="334" t="inlineStr">
        <is>
          <t>CCY</t>
        </is>
      </c>
      <c r="C11" s="334" t="inlineStr">
        <is>
          <t>SYS_EFF_DT</t>
        </is>
      </c>
      <c r="D11" s="334" t="inlineStr">
        <is>
          <t>1:1</t>
        </is>
      </c>
      <c r="E11" s="433" t="inlineStr">
        <is>
          <t>Dimension Currency</t>
        </is>
      </c>
      <c r="F11" s="433" t="inlineStr">
        <is>
          <t>System Effective Date</t>
        </is>
      </c>
      <c r="G11" s="558" t="inlineStr">
        <is>
          <t>DIM_CCY</t>
        </is>
      </c>
      <c r="H11" s="415" t="inlineStr">
        <is>
          <t>SYS_EFF_DT</t>
        </is>
      </c>
      <c r="I11" s="415" t="inlineStr">
        <is>
          <t>DATE</t>
        </is>
      </c>
      <c r="K11" s="415" t="inlineStr">
        <is>
          <t>Ngày hiệu lực bản ghi</t>
        </is>
      </c>
      <c r="M11" s="415">
        <f>"COMMENT ON COLUMN PG_GOLD."&amp;G11&amp;"."&amp;H11&amp;" IS '"&amp;K11&amp;"';"</f>
        <v/>
      </c>
    </row>
    <row r="12" ht="14.25" customHeight="1" s="335">
      <c r="A12" s="334" t="inlineStr">
        <is>
          <t>PG_SILVER</t>
        </is>
      </c>
      <c r="B12" s="334" t="inlineStr">
        <is>
          <t>CCY</t>
        </is>
      </c>
      <c r="C12" s="334" t="inlineStr">
        <is>
          <t>SYS_EXP_DT</t>
        </is>
      </c>
      <c r="D12" s="334" t="inlineStr">
        <is>
          <t>1:1</t>
        </is>
      </c>
      <c r="E12" s="433" t="inlineStr">
        <is>
          <t>Dimension Currency</t>
        </is>
      </c>
      <c r="F12" s="433" t="inlineStr">
        <is>
          <t>System Expiry Date</t>
        </is>
      </c>
      <c r="G12" s="558" t="inlineStr">
        <is>
          <t>DIM_CCY</t>
        </is>
      </c>
      <c r="H12" s="415" t="inlineStr">
        <is>
          <t>SYS_EXP_DT</t>
        </is>
      </c>
      <c r="I12" s="415" t="inlineStr">
        <is>
          <t>DATE</t>
        </is>
      </c>
      <c r="K12" s="415" t="inlineStr">
        <is>
          <t>Ngày hết hiệu lực bản ghi</t>
        </is>
      </c>
      <c r="M12" s="415">
        <f>"COMMENT ON COLUMN PG_GOLD."&amp;G12&amp;"."&amp;H12&amp;" IS '"&amp;K12&amp;"';"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tabColor rgb="FFA64D79"/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38.44" customWidth="1" style="334" min="2" max="2"/>
    <col width="21.44" customWidth="1" style="334" min="3" max="3"/>
    <col width="57.33" customWidth="1" style="334" min="4" max="4"/>
    <col width="37.34" customWidth="1" style="334" min="5" max="5"/>
    <col width="29" customWidth="1" style="334" min="6" max="6"/>
    <col width="20" customWidth="1" style="334" min="8" max="8"/>
    <col width="34" customWidth="1" style="334" min="11" max="11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PG_SILVER</t>
        </is>
      </c>
      <c r="B3" s="433" t="inlineStr">
        <is>
          <t>CV</t>
        </is>
      </c>
      <c r="C3" s="433" t="inlineStr">
        <is>
          <t>cv</t>
        </is>
      </c>
      <c r="D3" s="443" t="inlineStr">
        <is>
          <t>WHERE CL_SCM_CODE = 'LOAN_RSTC_TP'</t>
        </is>
      </c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415" t="n"/>
      <c r="B4" s="415" t="n"/>
      <c r="C4" s="433" t="n"/>
      <c r="D4" s="443" t="n"/>
      <c r="E4" s="435" t="n"/>
      <c r="F4" s="435" t="n"/>
      <c r="G4" s="435" t="n"/>
      <c r="H4" s="435" t="n"/>
      <c r="I4" s="435" t="n"/>
      <c r="J4" s="435" t="n"/>
      <c r="K4" s="435" t="n"/>
    </row>
    <row r="5" ht="14.25" customHeight="1" s="335">
      <c r="A5" s="500" t="n"/>
      <c r="B5" s="500" t="n"/>
      <c r="C5" s="500" t="n"/>
      <c r="D5" s="500" t="n"/>
      <c r="E5" s="500" t="n"/>
      <c r="F5" s="500" t="n"/>
      <c r="G5" s="500" t="n"/>
      <c r="H5" s="500" t="n"/>
      <c r="I5" s="500" t="n"/>
      <c r="J5" s="500" t="n"/>
      <c r="K5" s="500" t="n"/>
    </row>
    <row r="6" ht="14.25" customHeight="1" s="335">
      <c r="A6" s="432" t="inlineStr">
        <is>
          <t>Nguồn</t>
        </is>
      </c>
      <c r="B6" s="432" t="inlineStr">
        <is>
          <t>Bảng nguồn</t>
        </is>
      </c>
      <c r="C6" s="432" t="inlineStr">
        <is>
          <t>Cột nguồn</t>
        </is>
      </c>
      <c r="D6" s="432" t="inlineStr">
        <is>
          <t>Transform</t>
        </is>
      </c>
      <c r="E6" s="432" t="inlineStr">
        <is>
          <t>Entity</t>
        </is>
      </c>
      <c r="F6" s="432" t="inlineStr">
        <is>
          <t>Attribute</t>
        </is>
      </c>
      <c r="G6" s="432" t="inlineStr">
        <is>
          <t>Bảng đích</t>
        </is>
      </c>
      <c r="H6" s="432" t="inlineStr">
        <is>
          <t>Cột đích</t>
        </is>
      </c>
      <c r="I6" s="432" t="inlineStr">
        <is>
          <t>Kiểu dữ liệu</t>
        </is>
      </c>
      <c r="J6" s="432" t="inlineStr">
        <is>
          <t>Độ dài</t>
        </is>
      </c>
      <c r="K6" s="432" t="inlineStr">
        <is>
          <t>Diễn giải</t>
        </is>
      </c>
      <c r="L6" s="432" t="inlineStr">
        <is>
          <t>Glossary</t>
        </is>
      </c>
      <c r="M6" s="432" t="inlineStr">
        <is>
          <t>DDL Comment</t>
        </is>
      </c>
      <c r="N6" s="432" t="inlineStr">
        <is>
          <t>Ghi chú kỹ thuật &amp; Business Rule</t>
        </is>
      </c>
    </row>
    <row r="7" ht="14.25" customHeight="1" s="335">
      <c r="A7" s="334" t="inlineStr">
        <is>
          <t>PG_SILVER</t>
        </is>
      </c>
      <c r="B7" s="438" t="inlineStr">
        <is>
          <t>CV</t>
        </is>
      </c>
      <c r="C7" s="334" t="inlineStr">
        <is>
          <t>CL_ID</t>
        </is>
      </c>
      <c r="D7" s="334" t="inlineStr">
        <is>
          <t>CONCAT(TO_CHAR(ETL_CHANGE_DATE, 'YYYYMMDD'), cv.CL_ID)</t>
        </is>
      </c>
      <c r="E7" s="433" t="inlineStr">
        <is>
          <t>Dimension Loan Restructure Type</t>
        </is>
      </c>
      <c r="F7" s="334" t="inlineStr">
        <is>
          <t>Dimension key</t>
        </is>
      </c>
      <c r="G7" s="558" t="inlineStr">
        <is>
          <t>DIM_RSTC_TP</t>
        </is>
      </c>
      <c r="H7" s="575" t="inlineStr">
        <is>
          <t>DIM_KEY</t>
        </is>
      </c>
      <c r="I7" s="415" t="inlineStr">
        <is>
          <t>CHAR</t>
        </is>
      </c>
      <c r="J7" s="438" t="n">
        <v>40</v>
      </c>
      <c r="K7" s="438" t="inlineStr">
        <is>
          <t>Key của bảng</t>
        </is>
      </c>
      <c r="M7" s="334">
        <f>"COMMENT ON COLUMN PG_GOLD."&amp;G7&amp;"."&amp;H7&amp;" IS '"&amp;K7&amp;"';"</f>
        <v/>
      </c>
      <c r="N7" t="inlineStr">
        <is>
          <t>Biến `ETL_CHANGE_DATE` được tính bằng `COALESCE(SYS_UDT_DT, SYS_EFF_DT, ${ETL_DATE})`.</t>
        </is>
      </c>
    </row>
    <row r="8" ht="14.25" customHeight="1" s="335">
      <c r="A8" s="433" t="inlineStr">
        <is>
          <t>PG_SILVER</t>
        </is>
      </c>
      <c r="B8" s="433" t="inlineStr">
        <is>
          <t>CV</t>
        </is>
      </c>
      <c r="C8" s="433" t="inlineStr">
        <is>
          <t>CL_ID</t>
        </is>
      </c>
      <c r="D8" s="433" t="inlineStr">
        <is>
          <t>1:1</t>
        </is>
      </c>
      <c r="E8" s="433" t="inlineStr">
        <is>
          <t>Dimension Loan Restructure Type</t>
        </is>
      </c>
      <c r="F8" s="433" t="inlineStr">
        <is>
          <t>Restructure Type ID</t>
        </is>
      </c>
      <c r="G8" s="558" t="inlineStr">
        <is>
          <t>DIM_RSTC_TP</t>
        </is>
      </c>
      <c r="H8" s="558" t="inlineStr">
        <is>
          <t>RSTC_TP_ID</t>
        </is>
      </c>
      <c r="I8" s="415" t="inlineStr">
        <is>
          <t>CHAR</t>
        </is>
      </c>
      <c r="J8" s="415" t="n">
        <v>32</v>
      </c>
      <c r="K8" s="415" t="inlineStr">
        <is>
          <t>Mã duy nhất của loại cơ cấu trên DWH</t>
        </is>
      </c>
      <c r="M8" s="334">
        <f>"COMMENT ON COLUMN PG_GOLD."&amp;G8&amp;"."&amp;H8&amp;" IS '"&amp;K8&amp;"';"</f>
        <v/>
      </c>
    </row>
    <row r="9" ht="14.25" customHeight="1" s="335">
      <c r="A9" s="433" t="inlineStr">
        <is>
          <t>PG_SILVER</t>
        </is>
      </c>
      <c r="B9" s="433" t="inlineStr">
        <is>
          <t>CV</t>
        </is>
      </c>
      <c r="C9" s="433" t="inlineStr">
        <is>
          <t>CL_CODE</t>
        </is>
      </c>
      <c r="D9" s="433" t="inlineStr">
        <is>
          <t>1:1</t>
        </is>
      </c>
      <c r="E9" s="433" t="inlineStr">
        <is>
          <t>Dimension Loan Restructure Type</t>
        </is>
      </c>
      <c r="F9" s="433" t="inlineStr">
        <is>
          <t>Restructure Type Code</t>
        </is>
      </c>
      <c r="G9" s="558" t="inlineStr">
        <is>
          <t>DIM_RSTC_TP</t>
        </is>
      </c>
      <c r="H9" s="558" t="inlineStr">
        <is>
          <t>RSTC_TP_CODE</t>
        </is>
      </c>
      <c r="I9" s="415" t="inlineStr">
        <is>
          <t>VARCHAR2</t>
        </is>
      </c>
      <c r="J9" s="415" t="n">
        <v>20</v>
      </c>
      <c r="K9" s="433" t="inlineStr">
        <is>
          <t>Mã loại cơ cấu</t>
        </is>
      </c>
      <c r="M9" s="334">
        <f>"COMMENT ON COLUMN PG_GOLD."&amp;G9&amp;"."&amp;H9&amp;" IS '"&amp;K9&amp;"';"</f>
        <v/>
      </c>
    </row>
    <row r="10" ht="14.25" customHeight="1" s="335">
      <c r="A10" s="433" t="inlineStr">
        <is>
          <t>PG_SILVER</t>
        </is>
      </c>
      <c r="B10" s="433" t="inlineStr">
        <is>
          <t>CV</t>
        </is>
      </c>
      <c r="C10" s="433" t="inlineStr">
        <is>
          <t>CL_DSC</t>
        </is>
      </c>
      <c r="D10" s="433" t="inlineStr">
        <is>
          <t>1:1</t>
        </is>
      </c>
      <c r="E10" s="433" t="inlineStr">
        <is>
          <t>Dimension Loan Restructure Type</t>
        </is>
      </c>
      <c r="F10" s="433" t="inlineStr">
        <is>
          <t>Restructure Type Description</t>
        </is>
      </c>
      <c r="G10" s="558" t="inlineStr">
        <is>
          <t>DIM_RSTC_TP</t>
        </is>
      </c>
      <c r="H10" s="558" t="inlineStr">
        <is>
          <t>RSTC_TP_DSC</t>
        </is>
      </c>
      <c r="I10" s="415" t="inlineStr">
        <is>
          <t>VARCHAR2</t>
        </is>
      </c>
      <c r="J10" s="415" t="n">
        <v>1000</v>
      </c>
      <c r="K10" s="433" t="inlineStr">
        <is>
          <t>Mô tả loại cơ cấu</t>
        </is>
      </c>
      <c r="M10" s="334">
        <f>"COMMENT ON COLUMN PG_GOLD."&amp;G10&amp;"."&amp;H10&amp;" IS '"&amp;K10&amp;"';"</f>
        <v/>
      </c>
    </row>
    <row r="11" ht="14.25" customHeight="1" s="335">
      <c r="A11" s="334" t="inlineStr">
        <is>
          <t>PG_SILVER</t>
        </is>
      </c>
      <c r="B11" s="334" t="inlineStr">
        <is>
          <t>CV</t>
        </is>
      </c>
      <c r="C11" s="334" t="inlineStr">
        <is>
          <t>SYS_EFF_DT</t>
        </is>
      </c>
      <c r="D11" s="334" t="inlineStr">
        <is>
          <t>1:1</t>
        </is>
      </c>
      <c r="E11" s="433" t="inlineStr">
        <is>
          <t>Dimension Loan Restructure Type</t>
        </is>
      </c>
      <c r="F11" s="433" t="inlineStr">
        <is>
          <t>System Effective Date</t>
        </is>
      </c>
      <c r="G11" s="558" t="inlineStr">
        <is>
          <t>DIM_RSTC_TP</t>
        </is>
      </c>
      <c r="H11" s="415" t="inlineStr">
        <is>
          <t>SYS_EFF_DT</t>
        </is>
      </c>
      <c r="I11" s="415" t="inlineStr">
        <is>
          <t>DATE</t>
        </is>
      </c>
      <c r="K11" s="415" t="inlineStr">
        <is>
          <t>Ngày hiệu lực bản ghi</t>
        </is>
      </c>
      <c r="M11" s="415">
        <f>"COMMENT ON COLUMN PG_GOLD."&amp;G11&amp;"."&amp;H11&amp;" IS '"&amp;K11&amp;"';"</f>
        <v/>
      </c>
    </row>
    <row r="12" ht="14.25" customHeight="1" s="335">
      <c r="A12" s="334" t="inlineStr">
        <is>
          <t>PG_SILVER</t>
        </is>
      </c>
      <c r="B12" s="334" t="inlineStr">
        <is>
          <t>CV</t>
        </is>
      </c>
      <c r="C12" s="334" t="inlineStr">
        <is>
          <t>SYS_EXP_DT</t>
        </is>
      </c>
      <c r="D12" s="334" t="inlineStr">
        <is>
          <t>1:1</t>
        </is>
      </c>
      <c r="E12" s="433" t="inlineStr">
        <is>
          <t>Dimension Loan Restructure Type</t>
        </is>
      </c>
      <c r="F12" s="433" t="inlineStr">
        <is>
          <t>System Expiry Date</t>
        </is>
      </c>
      <c r="G12" s="558" t="inlineStr">
        <is>
          <t>DIM_RSTC_TP</t>
        </is>
      </c>
      <c r="H12" s="415" t="inlineStr">
        <is>
          <t>SYS_EXP_DT</t>
        </is>
      </c>
      <c r="I12" s="415" t="inlineStr">
        <is>
          <t>DATE</t>
        </is>
      </c>
      <c r="K12" s="415" t="inlineStr">
        <is>
          <t>Ngày hết hiệu lực bản ghi</t>
        </is>
      </c>
      <c r="M12" s="415">
        <f>"COMMENT ON COLUMN PG_GOLD."&amp;G12&amp;"."&amp;H12&amp;" IS '"&amp;K12&amp;"';"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tabColor rgb="FFA64D79"/>
    <outlinePr summaryBelow="1" summaryRight="1"/>
    <pageSetUpPr fitToPage="0"/>
  </sheetPr>
  <dimension ref="A1:N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2" customWidth="1" style="334" min="1" max="1"/>
    <col width="11.67" customWidth="1" style="334" min="2" max="2"/>
    <col width="19.56" customWidth="1" style="334" min="3" max="3"/>
    <col width="53.66" customWidth="1" style="334" min="4" max="4"/>
    <col width="19.56" customWidth="1" style="334" min="5" max="5"/>
    <col width="29" customWidth="1" style="334" min="6" max="6"/>
    <col width="20" customWidth="1" style="334" min="8" max="8"/>
    <col width="34" customWidth="1" style="334" min="11" max="11"/>
    <col width="55" customWidth="1" style="334" min="14" max="14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50" t="inlineStr">
        <is>
          <t>Short table</t>
        </is>
      </c>
      <c r="D2" s="450" t="inlineStr">
        <is>
          <t>Main Table</t>
        </is>
      </c>
      <c r="E2" s="450" t="inlineStr">
        <is>
          <t>Type join</t>
        </is>
      </c>
      <c r="F2" s="450" t="inlineStr">
        <is>
          <t>Condition JOIN</t>
        </is>
      </c>
      <c r="G2" s="450" t="inlineStr">
        <is>
          <t>Condition where</t>
        </is>
      </c>
      <c r="H2" s="432" t="n"/>
      <c r="I2" s="432" t="n"/>
      <c r="J2" s="432" t="n"/>
      <c r="K2" s="432" t="n"/>
    </row>
    <row r="3" ht="14.25" customHeight="1" s="335">
      <c r="A3" s="433" t="inlineStr">
        <is>
          <t>PG_SILVER</t>
        </is>
      </c>
      <c r="B3" s="415" t="inlineStr">
        <is>
          <t>CST</t>
        </is>
      </c>
      <c r="C3" s="433" t="inlineStr">
        <is>
          <t>cst</t>
        </is>
      </c>
      <c r="D3" s="443" t="inlineStr">
        <is>
          <t>main</t>
        </is>
      </c>
      <c r="E3" s="435" t="n"/>
      <c r="F3" s="433" t="n"/>
      <c r="G3" s="640" t="inlineStr">
        <is>
          <t>WHERE cst.SYS_EXP_DT IS NULL</t>
        </is>
      </c>
      <c r="H3" s="435" t="n"/>
      <c r="I3" s="435" t="n"/>
      <c r="J3" s="435" t="n"/>
      <c r="K3" s="435" t="n"/>
    </row>
    <row r="4" ht="14.25" customHeight="1" s="335">
      <c r="A4" s="433" t="inlineStr">
        <is>
          <t>PG_SILVER</t>
        </is>
      </c>
      <c r="B4" s="433" t="inlineStr">
        <is>
          <t>IDV_PRFL</t>
        </is>
      </c>
      <c r="C4" s="433" t="inlineStr">
        <is>
          <t>idv</t>
        </is>
      </c>
      <c r="D4" s="443" t="inlineStr">
        <is>
          <t>sub</t>
        </is>
      </c>
      <c r="E4" s="433" t="inlineStr">
        <is>
          <t>left</t>
        </is>
      </c>
      <c r="F4" s="441" t="inlineStr">
        <is>
          <t>cst.cst_id = idv.cst_id AND idv.SYS_EXP_DT IS NULL</t>
        </is>
      </c>
      <c r="G4" s="435" t="n"/>
      <c r="H4" s="435" t="n"/>
      <c r="I4" s="435" t="n"/>
      <c r="J4" s="435" t="n"/>
      <c r="K4" s="435" t="n"/>
    </row>
    <row r="5" ht="14.25" customHeight="1" s="335">
      <c r="A5" s="433" t="inlineStr">
        <is>
          <t>PG_SILVER</t>
        </is>
      </c>
      <c r="B5" s="433" t="inlineStr">
        <is>
          <t>ORG_PRFL</t>
        </is>
      </c>
      <c r="C5" s="433" t="inlineStr">
        <is>
          <t>org</t>
        </is>
      </c>
      <c r="D5" s="443" t="inlineStr">
        <is>
          <t>sub</t>
        </is>
      </c>
      <c r="E5" s="433" t="inlineStr">
        <is>
          <t>left</t>
        </is>
      </c>
      <c r="F5" s="441" t="inlineStr">
        <is>
          <t>cst.cst_id = org.cst_id AND org.SYS_EXP_DT IS NULL</t>
        </is>
      </c>
      <c r="G5" s="435" t="n"/>
      <c r="H5" s="500" t="n"/>
      <c r="I5" s="500" t="n"/>
      <c r="J5" s="500" t="n"/>
      <c r="K5" s="500" t="n"/>
    </row>
    <row r="6" ht="14.25" customHeight="1" s="335">
      <c r="A6" s="500" t="n"/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</row>
    <row r="7" ht="14.25" customHeight="1" s="335">
      <c r="A7" s="432" t="inlineStr">
        <is>
          <t>Nguồn</t>
        </is>
      </c>
      <c r="B7" s="432" t="inlineStr">
        <is>
          <t>Bảng nguồn</t>
        </is>
      </c>
      <c r="C7" s="432" t="inlineStr">
        <is>
          <t>Cột nguồn</t>
        </is>
      </c>
      <c r="D7" s="432" t="inlineStr">
        <is>
          <t>Transform</t>
        </is>
      </c>
      <c r="E7" s="432" t="inlineStr">
        <is>
          <t>Entity</t>
        </is>
      </c>
      <c r="F7" s="432" t="inlineStr">
        <is>
          <t>Attribute</t>
        </is>
      </c>
      <c r="G7" s="432" t="inlineStr">
        <is>
          <t>Bảng đích</t>
        </is>
      </c>
      <c r="H7" s="432" t="inlineStr">
        <is>
          <t>Cột đích</t>
        </is>
      </c>
      <c r="I7" s="432" t="inlineStr">
        <is>
          <t>Kiểu dữ liệu</t>
        </is>
      </c>
      <c r="J7" s="432" t="inlineStr">
        <is>
          <t>Độ dài</t>
        </is>
      </c>
      <c r="K7" s="432" t="inlineStr">
        <is>
          <t>Diễn giải</t>
        </is>
      </c>
      <c r="L7" s="432" t="inlineStr">
        <is>
          <t>Glossary</t>
        </is>
      </c>
      <c r="M7" s="432" t="inlineStr">
        <is>
          <t>DDL Comment</t>
        </is>
      </c>
      <c r="N7" s="413" t="inlineStr">
        <is>
          <t>Ghi chú kỹ thuật &amp; Business Rule</t>
        </is>
      </c>
    </row>
    <row r="8" ht="14.25" customHeight="1" s="335">
      <c r="A8" s="433" t="inlineStr">
        <is>
          <t>PG_SILVER</t>
        </is>
      </c>
      <c r="B8" s="415" t="inlineStr">
        <is>
          <t>CST</t>
        </is>
      </c>
      <c r="C8" s="558" t="inlineStr">
        <is>
          <t>CST_ID</t>
        </is>
      </c>
      <c r="D8" s="334" t="inlineStr">
        <is>
          <t>CONCAT(TO_CHAR(ETL_CHANGE_DATE, 'YYYYMMDD'), cst.CST_ID)</t>
        </is>
      </c>
      <c r="E8" s="433" t="inlineStr">
        <is>
          <t>Dimension Customer</t>
        </is>
      </c>
      <c r="F8" s="334" t="inlineStr">
        <is>
          <t>Dimension key</t>
        </is>
      </c>
      <c r="G8" s="558" t="inlineStr">
        <is>
          <t>DIM_CST</t>
        </is>
      </c>
      <c r="H8" s="575" t="inlineStr">
        <is>
          <t>DIM_KEY</t>
        </is>
      </c>
      <c r="I8" s="415" t="inlineStr">
        <is>
          <t>CHAR</t>
        </is>
      </c>
      <c r="J8" s="438" t="n">
        <v>40</v>
      </c>
      <c r="K8" s="438" t="inlineStr">
        <is>
          <t>Key của bảng</t>
        </is>
      </c>
      <c r="M8" s="334">
        <f>"COMMENT ON COLUMN PG_GOLD."&amp;G8&amp;"."&amp;H8&amp;" IS '"&amp;K8&amp;"';"</f>
        <v/>
      </c>
      <c r="N8" t="inlineStr">
        <is>
          <t>Biến `ETL_CHANGE_DATE` được tính bằng `COALESCE(SYS_UDT_DT, SYS_EFF_DT, ${ETL_DATE})`.</t>
        </is>
      </c>
    </row>
    <row r="9" ht="14.25" customHeight="1" s="335">
      <c r="A9" s="433" t="inlineStr">
        <is>
          <t>PG_SILVER</t>
        </is>
      </c>
      <c r="B9" s="415" t="inlineStr">
        <is>
          <t>CST</t>
        </is>
      </c>
      <c r="C9" s="558" t="inlineStr">
        <is>
          <t>CST_ID</t>
        </is>
      </c>
      <c r="D9" s="433" t="inlineStr">
        <is>
          <t>1:1</t>
        </is>
      </c>
      <c r="E9" s="433" t="inlineStr">
        <is>
          <t>Dimension Customer</t>
        </is>
      </c>
      <c r="F9" s="433" t="inlineStr">
        <is>
          <t>Customer ID</t>
        </is>
      </c>
      <c r="G9" s="558" t="inlineStr">
        <is>
          <t>DIM_CST</t>
        </is>
      </c>
      <c r="H9" s="558" t="inlineStr">
        <is>
          <t>CST_ID</t>
        </is>
      </c>
      <c r="I9" s="415" t="inlineStr">
        <is>
          <t>CHAR</t>
        </is>
      </c>
      <c r="J9" s="415" t="n">
        <v>32</v>
      </c>
      <c r="K9" s="415" t="inlineStr">
        <is>
          <t>Unique key trên DWH</t>
        </is>
      </c>
      <c r="M9" s="334">
        <f>"COMMENT ON COLUMN PG_GOLD."&amp;G9&amp;"."&amp;H9&amp;" IS '"&amp;K9&amp;"';"</f>
        <v/>
      </c>
    </row>
    <row r="10" ht="14.25" customHeight="1" s="335">
      <c r="A10" s="433" t="inlineStr">
        <is>
          <t>PG_SILVER</t>
        </is>
      </c>
      <c r="B10" s="415" t="inlineStr">
        <is>
          <t>CST</t>
        </is>
      </c>
      <c r="C10" s="558" t="inlineStr">
        <is>
          <t>CST_CODE</t>
        </is>
      </c>
      <c r="D10" s="433" t="inlineStr">
        <is>
          <t>1:1</t>
        </is>
      </c>
      <c r="E10" s="433" t="inlineStr">
        <is>
          <t>Dimension Customer</t>
        </is>
      </c>
      <c r="F10" s="433" t="inlineStr">
        <is>
          <t>Customer Code</t>
        </is>
      </c>
      <c r="G10" s="558" t="inlineStr">
        <is>
          <t>DIM_CST</t>
        </is>
      </c>
      <c r="H10" s="558" t="inlineStr">
        <is>
          <t>CST_CODE</t>
        </is>
      </c>
      <c r="I10" s="415" t="inlineStr">
        <is>
          <t>VARCHAR2</t>
        </is>
      </c>
      <c r="J10" s="415" t="n">
        <v>20</v>
      </c>
      <c r="K10" s="433" t="inlineStr">
        <is>
          <t>Mã khách hàng</t>
        </is>
      </c>
      <c r="M10" s="334">
        <f>"COMMENT ON COLUMN PG_GOLD."&amp;G10&amp;"."&amp;H10&amp;" IS '"&amp;K10&amp;"';"</f>
        <v/>
      </c>
    </row>
    <row r="11" ht="14.25" customHeight="1" s="335">
      <c r="A11" s="433" t="inlineStr">
        <is>
          <t>PG_SILVER</t>
        </is>
      </c>
      <c r="B11" s="415" t="inlineStr">
        <is>
          <t>CST</t>
        </is>
      </c>
      <c r="C11" s="558" t="inlineStr">
        <is>
          <t>CST_NM</t>
        </is>
      </c>
      <c r="D11" s="433" t="inlineStr">
        <is>
          <t>1:1</t>
        </is>
      </c>
      <c r="E11" s="433" t="inlineStr">
        <is>
          <t>Dimension Customer</t>
        </is>
      </c>
      <c r="F11" s="433" t="inlineStr">
        <is>
          <t>Customer Name</t>
        </is>
      </c>
      <c r="G11" s="558" t="inlineStr">
        <is>
          <t>DIM_CST</t>
        </is>
      </c>
      <c r="H11" s="558" t="inlineStr">
        <is>
          <t>CST_NM</t>
        </is>
      </c>
      <c r="I11" s="415" t="inlineStr">
        <is>
          <t>VARCHAR2</t>
        </is>
      </c>
      <c r="J11" s="415" t="n">
        <v>255</v>
      </c>
      <c r="K11" s="433" t="inlineStr">
        <is>
          <t>Tên khách hàng</t>
        </is>
      </c>
      <c r="M11" s="334">
        <f>"COMMENT ON COLUMN PG_GOLD."&amp;G11&amp;"."&amp;H11&amp;" IS '"&amp;K11&amp;"';"</f>
        <v/>
      </c>
    </row>
    <row r="12" ht="14.25" customHeight="1" s="335">
      <c r="A12" s="433" t="inlineStr">
        <is>
          <t>PG_SILVER</t>
        </is>
      </c>
      <c r="B12" s="415" t="inlineStr">
        <is>
          <t>CST</t>
        </is>
      </c>
      <c r="C12" s="415" t="inlineStr">
        <is>
          <t>SCTR_CODE</t>
        </is>
      </c>
      <c r="D12" s="433" t="inlineStr">
        <is>
          <t>1:1</t>
        </is>
      </c>
      <c r="E12" s="433" t="inlineStr">
        <is>
          <t>Dimension Customer</t>
        </is>
      </c>
      <c r="F12" s="433" t="inlineStr">
        <is>
          <t>Sector Code</t>
        </is>
      </c>
      <c r="G12" s="558" t="inlineStr">
        <is>
          <t>DIM_CST</t>
        </is>
      </c>
      <c r="H12" s="415" t="inlineStr">
        <is>
          <t>SCTR_CODE</t>
        </is>
      </c>
      <c r="I12" s="415" t="inlineStr">
        <is>
          <t>VARCHAR2</t>
        </is>
      </c>
      <c r="J12" s="415" t="n">
        <v>40</v>
      </c>
      <c r="K12" s="415" t="inlineStr">
        <is>
          <t>Mã phân loại hình khách hàng</t>
        </is>
      </c>
      <c r="M12" s="334">
        <f>"COMMENT ON COLUMN PG_GOLD."&amp;G12&amp;"."&amp;H12&amp;" IS '"&amp;K12&amp;"';"</f>
        <v/>
      </c>
    </row>
    <row r="13" ht="82.5" customHeight="1" s="335">
      <c r="A13" s="433" t="inlineStr">
        <is>
          <t>PG_SILVER</t>
        </is>
      </c>
      <c r="B13" s="433" t="inlineStr">
        <is>
          <t>IDV_PRFL, ORG_PRFL</t>
        </is>
      </c>
      <c r="C13" s="415" t="inlineStr">
        <is>
          <t>IDY_LV1_CL_CODE</t>
        </is>
      </c>
      <c r="D13" s="441" t="inlineStr">
        <is>
          <t>NVL(idv.IDY_LV1_CL_CODE, org.IDY_LV1_CL_CODE)</t>
        </is>
      </c>
      <c r="E13" s="433" t="inlineStr">
        <is>
          <t>Dimension Customer</t>
        </is>
      </c>
      <c r="F13" s="433" t="inlineStr">
        <is>
          <t>Industry LV1 Classification Code</t>
        </is>
      </c>
      <c r="G13" s="558" t="inlineStr">
        <is>
          <t>DIM_CST</t>
        </is>
      </c>
      <c r="H13" s="415" t="inlineStr">
        <is>
          <t>IDY_LV1_CL_CODE</t>
        </is>
      </c>
      <c r="I13" s="415" t="inlineStr">
        <is>
          <t>VARCHAR2</t>
        </is>
      </c>
      <c r="J13" s="415" t="n">
        <v>20</v>
      </c>
      <c r="K13" s="415" t="inlineStr">
        <is>
          <t>Mã ngành nghê kinh tế cha</t>
        </is>
      </c>
      <c r="M13" s="334">
        <f>"COMMENT ON COLUMN PG_GOLD."&amp;G13&amp;"."&amp;H13&amp;" IS '"&amp;K13&amp;"';"</f>
        <v/>
      </c>
      <c r="N13" s="414" t="inlineStr">
        <is>
          <t>Sửa thành `cst.cst_id = idv.cst_id AND idv.SYS_EXP_DT IS NULL` và `cst.cst_id = org.cst_id AND org.SYS_EXP_DT IS NULL`.</t>
        </is>
      </c>
    </row>
    <row r="14" ht="14.25" customHeight="1" s="335">
      <c r="A14" s="433" t="inlineStr">
        <is>
          <t>PG_SILVER</t>
        </is>
      </c>
      <c r="B14" s="433" t="inlineStr">
        <is>
          <t>IDV_PRFL, ORG_PRFL</t>
        </is>
      </c>
      <c r="C14" s="415" t="inlineStr">
        <is>
          <t>IDY_LV2_CL_CODE</t>
        </is>
      </c>
      <c r="D14" s="433" t="inlineStr">
        <is>
          <t>NVL(idv.IDY_LV2_CL_CODE, org.IDY_LV2_CL_CODE)</t>
        </is>
      </c>
      <c r="E14" s="433" t="inlineStr">
        <is>
          <t>Dimension Customer</t>
        </is>
      </c>
      <c r="F14" s="433" t="inlineStr">
        <is>
          <t>Industry LV2 Classification Code</t>
        </is>
      </c>
      <c r="G14" s="558" t="inlineStr">
        <is>
          <t>DIM_CST</t>
        </is>
      </c>
      <c r="H14" s="415" t="inlineStr">
        <is>
          <t>IDY_LV2_CL_CODE</t>
        </is>
      </c>
      <c r="I14" s="415" t="inlineStr">
        <is>
          <t>VARCHAR2</t>
        </is>
      </c>
      <c r="J14" s="415" t="n">
        <v>20</v>
      </c>
      <c r="K14" s="415" t="inlineStr">
        <is>
          <t>Ngành nghề kinh tế</t>
        </is>
      </c>
      <c r="M14" s="334">
        <f>"COMMENT ON COLUMN PG_GOLD."&amp;G14&amp;"."&amp;H14&amp;" IS '"&amp;K14&amp;"';"</f>
        <v/>
      </c>
    </row>
    <row r="15" ht="14.25" customHeight="1" s="335">
      <c r="A15" s="334" t="inlineStr">
        <is>
          <t>PG_SILVER</t>
        </is>
      </c>
      <c r="B15" s="334" t="inlineStr">
        <is>
          <t>CST</t>
        </is>
      </c>
      <c r="C15" s="334" t="inlineStr">
        <is>
          <t>SYS_EFF_DT</t>
        </is>
      </c>
      <c r="D15" s="433" t="inlineStr">
        <is>
          <t>1:1</t>
        </is>
      </c>
      <c r="E15" s="433" t="inlineStr">
        <is>
          <t>Dimension Customer</t>
        </is>
      </c>
      <c r="F15" s="433" t="inlineStr">
        <is>
          <t>System Effective Date</t>
        </is>
      </c>
      <c r="G15" s="558" t="inlineStr">
        <is>
          <t>DIM_CST</t>
        </is>
      </c>
      <c r="H15" s="415" t="inlineStr">
        <is>
          <t>SYS_EFF_DT</t>
        </is>
      </c>
      <c r="I15" s="415" t="inlineStr">
        <is>
          <t>DATE</t>
        </is>
      </c>
      <c r="K15" s="415" t="inlineStr">
        <is>
          <t>Ngày hiệu lực bản ghi</t>
        </is>
      </c>
      <c r="M15" s="415">
        <f>"COMMENT ON COLUMN PG_GOLD."&amp;G15&amp;"."&amp;H15&amp;" IS '"&amp;K15&amp;"';"</f>
        <v/>
      </c>
    </row>
    <row r="16" ht="14.25" customHeight="1" s="335">
      <c r="A16" s="334" t="inlineStr">
        <is>
          <t>PG_SILVER</t>
        </is>
      </c>
      <c r="B16" s="334" t="inlineStr">
        <is>
          <t>CST</t>
        </is>
      </c>
      <c r="C16" s="334" t="inlineStr">
        <is>
          <t>SYS_EXP_DT</t>
        </is>
      </c>
      <c r="D16" s="433" t="inlineStr">
        <is>
          <t>1:1</t>
        </is>
      </c>
      <c r="E16" s="433" t="inlineStr">
        <is>
          <t>Dimension Customer</t>
        </is>
      </c>
      <c r="F16" s="433" t="inlineStr">
        <is>
          <t>System Expiry Date</t>
        </is>
      </c>
      <c r="G16" s="558" t="inlineStr">
        <is>
          <t>DIM_CST</t>
        </is>
      </c>
      <c r="H16" s="415" t="inlineStr">
        <is>
          <t>SYS_EXP_DT</t>
        </is>
      </c>
      <c r="I16" s="415" t="inlineStr">
        <is>
          <t>DATE</t>
        </is>
      </c>
      <c r="K16" s="415" t="inlineStr">
        <is>
          <t>Ngày hết hiệu lực bản ghi</t>
        </is>
      </c>
      <c r="M16" s="415">
        <f>"COMMENT ON COLUMN PG_GOLD."&amp;G16&amp;"."&amp;H16&amp;" IS '"&amp;K16&amp;"';"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tabColor rgb="FFA64D79"/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38.44" customWidth="1" style="334" min="2" max="2"/>
    <col width="21.44" customWidth="1" style="334" min="3" max="3"/>
    <col width="57.33" customWidth="1" style="334" min="4" max="4"/>
    <col width="37.34" customWidth="1" style="334" min="5" max="5"/>
    <col width="29" customWidth="1" style="334" min="6" max="6"/>
    <col width="20" customWidth="1" style="334" min="8" max="8"/>
    <col width="34" customWidth="1" style="334" min="11" max="11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PG_SILVER</t>
        </is>
      </c>
      <c r="B3" s="433" t="inlineStr">
        <is>
          <t>CV</t>
        </is>
      </c>
      <c r="C3" s="433" t="inlineStr">
        <is>
          <t>cv</t>
        </is>
      </c>
      <c r="D3" s="443" t="inlineStr">
        <is>
          <t>WHERE CL_SCM_CODE = 'FNC_ST'</t>
        </is>
      </c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415" t="n"/>
      <c r="B4" s="415" t="n"/>
      <c r="C4" s="433" t="n"/>
      <c r="D4" s="443" t="n"/>
      <c r="E4" s="435" t="n"/>
      <c r="F4" s="435" t="n"/>
      <c r="G4" s="435" t="n"/>
      <c r="H4" s="435" t="n"/>
      <c r="I4" s="435" t="n"/>
      <c r="J4" s="435" t="n"/>
      <c r="K4" s="435" t="n"/>
    </row>
    <row r="5" ht="14.25" customHeight="1" s="335">
      <c r="A5" s="500" t="n"/>
      <c r="B5" s="500" t="n"/>
      <c r="C5" s="500" t="n"/>
      <c r="D5" s="500" t="n"/>
      <c r="E5" s="500" t="n"/>
      <c r="F5" s="500" t="n"/>
      <c r="G5" s="500" t="n"/>
      <c r="H5" s="500" t="n"/>
      <c r="I5" s="500" t="n"/>
      <c r="J5" s="500" t="n"/>
      <c r="K5" s="500" t="n"/>
    </row>
    <row r="6" ht="14.25" customHeight="1" s="335">
      <c r="A6" s="432" t="inlineStr">
        <is>
          <t>Nguồn</t>
        </is>
      </c>
      <c r="B6" s="432" t="inlineStr">
        <is>
          <t>Bảng nguồn</t>
        </is>
      </c>
      <c r="C6" s="432" t="inlineStr">
        <is>
          <t>Cột nguồn</t>
        </is>
      </c>
      <c r="D6" s="432" t="inlineStr">
        <is>
          <t>Transform</t>
        </is>
      </c>
      <c r="E6" s="432" t="inlineStr">
        <is>
          <t>Entity</t>
        </is>
      </c>
      <c r="F6" s="432" t="inlineStr">
        <is>
          <t>Attribute</t>
        </is>
      </c>
      <c r="G6" s="432" t="inlineStr">
        <is>
          <t>Bảng đích</t>
        </is>
      </c>
      <c r="H6" s="432" t="inlineStr">
        <is>
          <t>Cột đích</t>
        </is>
      </c>
      <c r="I6" s="432" t="inlineStr">
        <is>
          <t>Kiểu dữ liệu</t>
        </is>
      </c>
      <c r="J6" s="432" t="inlineStr">
        <is>
          <t>Độ dài</t>
        </is>
      </c>
      <c r="K6" s="432" t="inlineStr">
        <is>
          <t>Diễn giải</t>
        </is>
      </c>
      <c r="L6" s="432" t="inlineStr">
        <is>
          <t>Glossary</t>
        </is>
      </c>
      <c r="M6" s="432" t="inlineStr">
        <is>
          <t>DDL Comment</t>
        </is>
      </c>
      <c r="N6" s="432" t="inlineStr">
        <is>
          <t>Ghi chú kỹ thuật &amp; Business Rule</t>
        </is>
      </c>
    </row>
    <row r="7" ht="14.25" customHeight="1" s="335">
      <c r="A7" s="334" t="inlineStr">
        <is>
          <t>PG_SILVER</t>
        </is>
      </c>
      <c r="B7" s="438" t="inlineStr">
        <is>
          <t>CV</t>
        </is>
      </c>
      <c r="C7" s="334" t="inlineStr">
        <is>
          <t>CL_ID</t>
        </is>
      </c>
      <c r="D7" s="334" t="inlineStr">
        <is>
          <t>CONCAT(TO_CHAR(ETL_CHANGE_DATE, 'YYYYMMDD'), cv.CL_ID)</t>
        </is>
      </c>
      <c r="E7" s="433" t="inlineStr">
        <is>
          <t>Dimension Financial Status</t>
        </is>
      </c>
      <c r="F7" s="334" t="inlineStr">
        <is>
          <t>Dimension key</t>
        </is>
      </c>
      <c r="G7" s="558" t="inlineStr">
        <is>
          <t>DIM_FNC_ST</t>
        </is>
      </c>
      <c r="H7" s="575" t="inlineStr">
        <is>
          <t>DIM_KEY</t>
        </is>
      </c>
      <c r="I7" s="415" t="inlineStr">
        <is>
          <t>CHAR</t>
        </is>
      </c>
      <c r="J7" s="438" t="n">
        <v>40</v>
      </c>
      <c r="K7" s="438" t="inlineStr">
        <is>
          <t>Key của bảng</t>
        </is>
      </c>
      <c r="M7" s="334">
        <f>"COMMENT ON COLUMN PG_GOLD."&amp;G7&amp;"."&amp;H7&amp;" IS '"&amp;K7&amp;"';"</f>
        <v/>
      </c>
      <c r="N7" t="inlineStr">
        <is>
          <t>Biến `ETL_CHANGE_DATE` được tính bằng `COALESCE(SYS_UDT_DT, SYS_EFF_DT, ${ETL_DATE})`.</t>
        </is>
      </c>
    </row>
    <row r="8" ht="14.25" customHeight="1" s="335">
      <c r="A8" s="433" t="inlineStr">
        <is>
          <t>PG_SILVER</t>
        </is>
      </c>
      <c r="B8" s="433" t="inlineStr">
        <is>
          <t>CV</t>
        </is>
      </c>
      <c r="C8" s="433" t="inlineStr">
        <is>
          <t>CL_ID</t>
        </is>
      </c>
      <c r="D8" s="433" t="inlineStr">
        <is>
          <t>1:1</t>
        </is>
      </c>
      <c r="E8" s="433" t="inlineStr">
        <is>
          <t>Dimension Financial Status</t>
        </is>
      </c>
      <c r="F8" s="433" t="inlineStr">
        <is>
          <t>Financial Status ID</t>
        </is>
      </c>
      <c r="G8" s="558" t="inlineStr">
        <is>
          <t>DIM_FNC_ST</t>
        </is>
      </c>
      <c r="H8" s="558" t="inlineStr">
        <is>
          <t>FNC_ST_ID</t>
        </is>
      </c>
      <c r="I8" s="415" t="inlineStr">
        <is>
          <t>CHAR</t>
        </is>
      </c>
      <c r="J8" s="415" t="n">
        <v>32</v>
      </c>
      <c r="K8" s="415" t="inlineStr">
        <is>
          <t>Mã duy nhất của nhóm nợ trên DWH</t>
        </is>
      </c>
      <c r="M8" s="334">
        <f>"COMMENT ON COLUMN PG_GOLD."&amp;G8&amp;"."&amp;H8&amp;" IS '"&amp;K8&amp;"';"</f>
        <v/>
      </c>
    </row>
    <row r="9" ht="14.25" customHeight="1" s="335">
      <c r="A9" s="433" t="inlineStr">
        <is>
          <t>PG_SILVER</t>
        </is>
      </c>
      <c r="B9" s="433" t="inlineStr">
        <is>
          <t>CV</t>
        </is>
      </c>
      <c r="C9" s="433" t="inlineStr">
        <is>
          <t>CL_CODE</t>
        </is>
      </c>
      <c r="D9" s="433" t="inlineStr">
        <is>
          <t>1:1</t>
        </is>
      </c>
      <c r="E9" s="433" t="inlineStr">
        <is>
          <t>Dimension Financial Status</t>
        </is>
      </c>
      <c r="F9" s="433" t="inlineStr">
        <is>
          <t>Financial Status Code</t>
        </is>
      </c>
      <c r="G9" s="558" t="inlineStr">
        <is>
          <t>DIM_FNC_ST</t>
        </is>
      </c>
      <c r="H9" s="558" t="inlineStr">
        <is>
          <t>FNC_ST_CODE</t>
        </is>
      </c>
      <c r="I9" s="415" t="inlineStr">
        <is>
          <t>VARCHAR2</t>
        </is>
      </c>
      <c r="J9" s="415" t="n">
        <v>20</v>
      </c>
      <c r="K9" s="433" t="inlineStr">
        <is>
          <t>Mã nhóm nợ</t>
        </is>
      </c>
      <c r="M9" s="334">
        <f>"COMMENT ON COLUMN PG_GOLD."&amp;G9&amp;"."&amp;H9&amp;" IS '"&amp;K9&amp;"';"</f>
        <v/>
      </c>
    </row>
    <row r="10" ht="14.25" customHeight="1" s="335">
      <c r="A10" s="433" t="inlineStr">
        <is>
          <t>PG_SILVER</t>
        </is>
      </c>
      <c r="B10" s="433" t="inlineStr">
        <is>
          <t>CV</t>
        </is>
      </c>
      <c r="C10" s="433" t="inlineStr">
        <is>
          <t>CL_DSC</t>
        </is>
      </c>
      <c r="D10" s="433" t="inlineStr">
        <is>
          <t>1:1</t>
        </is>
      </c>
      <c r="E10" s="433" t="inlineStr">
        <is>
          <t>Dimension Financial Status</t>
        </is>
      </c>
      <c r="F10" s="433" t="inlineStr">
        <is>
          <t>Financial Status Description</t>
        </is>
      </c>
      <c r="G10" s="558" t="inlineStr">
        <is>
          <t>DIM_FNC_ST</t>
        </is>
      </c>
      <c r="H10" s="558" t="inlineStr">
        <is>
          <t>FNC_ST_DSC</t>
        </is>
      </c>
      <c r="I10" s="415" t="inlineStr">
        <is>
          <t>VARCHAR2</t>
        </is>
      </c>
      <c r="J10" s="415" t="n">
        <v>1000</v>
      </c>
      <c r="K10" s="433" t="inlineStr">
        <is>
          <t>Mô tả nhóm nợ</t>
        </is>
      </c>
      <c r="M10" s="334">
        <f>"COMMENT ON COLUMN PG_GOLD."&amp;G10&amp;"."&amp;H10&amp;" IS '"&amp;K10&amp;"';"</f>
        <v/>
      </c>
    </row>
    <row r="11" ht="14.25" customHeight="1" s="335">
      <c r="A11" s="334" t="inlineStr">
        <is>
          <t>PG_SILVER</t>
        </is>
      </c>
      <c r="B11" s="334" t="inlineStr">
        <is>
          <t>CV</t>
        </is>
      </c>
      <c r="C11" s="334" t="inlineStr">
        <is>
          <t>SYS_EFF_DT</t>
        </is>
      </c>
      <c r="D11" s="334" t="inlineStr">
        <is>
          <t>1:1</t>
        </is>
      </c>
      <c r="E11" s="433" t="inlineStr">
        <is>
          <t>Dimension Financial Status</t>
        </is>
      </c>
      <c r="F11" s="433" t="inlineStr">
        <is>
          <t>System Effective Date</t>
        </is>
      </c>
      <c r="G11" s="558" t="inlineStr">
        <is>
          <t>DIM_FNC_ST</t>
        </is>
      </c>
      <c r="H11" s="415" t="inlineStr">
        <is>
          <t>SYS_EFF_DT</t>
        </is>
      </c>
      <c r="I11" s="415" t="inlineStr">
        <is>
          <t>DATE</t>
        </is>
      </c>
      <c r="K11" s="415" t="inlineStr">
        <is>
          <t>Ngày hiệu lực bản ghi</t>
        </is>
      </c>
      <c r="M11" s="415">
        <f>"COMMENT ON COLUMN PG_GOLD."&amp;G11&amp;"."&amp;H11&amp;" IS '"&amp;K11&amp;"';"</f>
        <v/>
      </c>
    </row>
    <row r="12" ht="14.25" customHeight="1" s="335">
      <c r="A12" s="334" t="inlineStr">
        <is>
          <t>PG_SILVER</t>
        </is>
      </c>
      <c r="B12" s="334" t="inlineStr">
        <is>
          <t>CV</t>
        </is>
      </c>
      <c r="C12" s="334" t="inlineStr">
        <is>
          <t>SYS_EXP_DT</t>
        </is>
      </c>
      <c r="D12" s="334" t="inlineStr">
        <is>
          <t>1:1</t>
        </is>
      </c>
      <c r="E12" s="433" t="inlineStr">
        <is>
          <t>Dimension Financial Status</t>
        </is>
      </c>
      <c r="F12" s="433" t="inlineStr">
        <is>
          <t>System Expiry Date</t>
        </is>
      </c>
      <c r="G12" s="558" t="inlineStr">
        <is>
          <t>DIM_FNC_ST</t>
        </is>
      </c>
      <c r="H12" s="415" t="inlineStr">
        <is>
          <t>SYS_EXP_DT</t>
        </is>
      </c>
      <c r="I12" s="415" t="inlineStr">
        <is>
          <t>DATE</t>
        </is>
      </c>
      <c r="K12" s="415" t="inlineStr">
        <is>
          <t>Ngày hết hiệu lực bản ghi</t>
        </is>
      </c>
      <c r="M12" s="415">
        <f>"COMMENT ON COLUMN PG_GOLD."&amp;G12&amp;"."&amp;H12&amp;" IS '"&amp;K12&amp;"';"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tabColor rgb="FFA64D79"/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2" customWidth="1" style="334" min="2" max="3"/>
    <col width="51.67" customWidth="1" style="334" min="4" max="4"/>
    <col width="37.34" customWidth="1" style="334" min="5" max="5"/>
    <col width="29" customWidth="1" style="334" min="6" max="6"/>
    <col width="20" customWidth="1" style="334" min="8" max="8"/>
    <col width="34" customWidth="1" style="334" min="11" max="11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PG_SILVER</t>
        </is>
      </c>
      <c r="B3" s="433" t="inlineStr">
        <is>
          <t>PD</t>
        </is>
      </c>
      <c r="C3" s="433" t="inlineStr">
        <is>
          <t>pd</t>
        </is>
      </c>
      <c r="D3" s="443" t="n"/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415" t="n"/>
      <c r="B4" s="415" t="n"/>
      <c r="C4" s="433" t="n"/>
      <c r="D4" s="443" t="n"/>
      <c r="E4" s="435" t="n"/>
      <c r="F4" s="435" t="n"/>
      <c r="G4" s="435" t="n"/>
      <c r="H4" s="435" t="n"/>
      <c r="I4" s="435" t="n"/>
      <c r="J4" s="435" t="n"/>
      <c r="K4" s="435" t="n"/>
    </row>
    <row r="5" ht="14.25" customHeight="1" s="335">
      <c r="A5" s="500" t="n"/>
      <c r="B5" s="500" t="n"/>
      <c r="C5" s="500" t="n"/>
      <c r="D5" s="500" t="n"/>
      <c r="E5" s="500" t="n"/>
      <c r="F5" s="500" t="n"/>
      <c r="G5" s="500" t="n"/>
      <c r="H5" s="500" t="n"/>
      <c r="I5" s="500" t="n"/>
      <c r="J5" s="500" t="n"/>
      <c r="K5" s="500" t="n"/>
    </row>
    <row r="6" ht="14.25" customHeight="1" s="335">
      <c r="A6" s="432" t="inlineStr">
        <is>
          <t>Nguồn</t>
        </is>
      </c>
      <c r="B6" s="432" t="inlineStr">
        <is>
          <t>Bảng nguồn</t>
        </is>
      </c>
      <c r="C6" s="432" t="inlineStr">
        <is>
          <t>Cột nguồn</t>
        </is>
      </c>
      <c r="D6" s="432" t="inlineStr">
        <is>
          <t>Transform</t>
        </is>
      </c>
      <c r="E6" s="432" t="inlineStr">
        <is>
          <t>Entity</t>
        </is>
      </c>
      <c r="F6" s="432" t="inlineStr">
        <is>
          <t>Attribute</t>
        </is>
      </c>
      <c r="G6" s="432" t="inlineStr">
        <is>
          <t>Bảng đích</t>
        </is>
      </c>
      <c r="H6" s="432" t="inlineStr">
        <is>
          <t>Cột đích</t>
        </is>
      </c>
      <c r="I6" s="432" t="inlineStr">
        <is>
          <t>Kiểu dữ liệu</t>
        </is>
      </c>
      <c r="J6" s="432" t="inlineStr">
        <is>
          <t>Độ dài</t>
        </is>
      </c>
      <c r="K6" s="432" t="inlineStr">
        <is>
          <t>Diễn giải</t>
        </is>
      </c>
      <c r="L6" s="432" t="inlineStr">
        <is>
          <t>Glossary</t>
        </is>
      </c>
      <c r="M6" s="432" t="inlineStr">
        <is>
          <t>DDL Comment</t>
        </is>
      </c>
      <c r="N6" s="432" t="inlineStr">
        <is>
          <t>Ghi chú kỹ thuật &amp; Business Rule</t>
        </is>
      </c>
    </row>
    <row r="7" ht="14.25" customHeight="1" s="335">
      <c r="A7" s="433" t="inlineStr">
        <is>
          <t>PG_SILVER</t>
        </is>
      </c>
      <c r="B7" s="433" t="inlineStr">
        <is>
          <t>PD</t>
        </is>
      </c>
      <c r="C7" s="558" t="inlineStr">
        <is>
          <t>PD_ID</t>
        </is>
      </c>
      <c r="D7" s="334" t="inlineStr">
        <is>
          <t>CONCAT(TO_CHAR(ETL_CHANGE_DATE, 'YYYYMMDD'), pd.PD_ID)</t>
        </is>
      </c>
      <c r="E7" s="433" t="inlineStr">
        <is>
          <t>Dimension Product</t>
        </is>
      </c>
      <c r="F7" s="334" t="inlineStr">
        <is>
          <t>Dimension key</t>
        </is>
      </c>
      <c r="G7" s="558" t="inlineStr">
        <is>
          <t>DIM_PD</t>
        </is>
      </c>
      <c r="H7" s="575" t="inlineStr">
        <is>
          <t>DIM_KEY</t>
        </is>
      </c>
      <c r="I7" s="415" t="inlineStr">
        <is>
          <t>CHAR</t>
        </is>
      </c>
      <c r="J7" s="438" t="n">
        <v>40</v>
      </c>
      <c r="K7" s="438" t="inlineStr">
        <is>
          <t>Key của bảng</t>
        </is>
      </c>
      <c r="M7" s="334">
        <f>"COMMENT ON COLUMN PG_GOLD."&amp;G7&amp;"."&amp;H7&amp;" IS '"&amp;K7&amp;"';"</f>
        <v/>
      </c>
      <c r="N7" t="inlineStr">
        <is>
          <t>Biến `ETL_CHANGE_DATE` được tính bằng `COALESCE(SYS_UDT_DT, SYS_EFF_DT, ${ETL_DATE})`.</t>
        </is>
      </c>
    </row>
    <row r="8" ht="14.25" customHeight="1" s="335">
      <c r="A8" s="433" t="inlineStr">
        <is>
          <t>PG_SILVER</t>
        </is>
      </c>
      <c r="B8" s="433" t="inlineStr">
        <is>
          <t>PD</t>
        </is>
      </c>
      <c r="C8" s="558" t="inlineStr">
        <is>
          <t>PD_ID</t>
        </is>
      </c>
      <c r="D8" s="433" t="inlineStr">
        <is>
          <t>1:1</t>
        </is>
      </c>
      <c r="E8" s="433" t="inlineStr">
        <is>
          <t>Dimension Product</t>
        </is>
      </c>
      <c r="F8" s="433" t="inlineStr">
        <is>
          <t>Product ID</t>
        </is>
      </c>
      <c r="G8" s="558" t="inlineStr">
        <is>
          <t>DIM_PD</t>
        </is>
      </c>
      <c r="H8" s="558" t="inlineStr">
        <is>
          <t>PD_ID</t>
        </is>
      </c>
      <c r="I8" s="415" t="inlineStr">
        <is>
          <t>CHAR</t>
        </is>
      </c>
      <c r="J8" s="415" t="n">
        <v>32</v>
      </c>
      <c r="K8" s="415" t="inlineStr">
        <is>
          <t>Unique key trên DWH</t>
        </is>
      </c>
      <c r="M8" s="334">
        <f>"COMMENT ON COLUMN PG_GOLD."&amp;G8&amp;"."&amp;H8&amp;" IS '"&amp;K8&amp;"';"</f>
        <v/>
      </c>
    </row>
    <row r="9" ht="14.25" customHeight="1" s="335">
      <c r="A9" s="433" t="inlineStr">
        <is>
          <t>PG_SILVER</t>
        </is>
      </c>
      <c r="B9" s="433" t="inlineStr">
        <is>
          <t>PD</t>
        </is>
      </c>
      <c r="C9" s="558" t="inlineStr">
        <is>
          <t>PD_CODE</t>
        </is>
      </c>
      <c r="D9" s="433" t="inlineStr">
        <is>
          <t>1:1</t>
        </is>
      </c>
      <c r="E9" s="433" t="inlineStr">
        <is>
          <t>Dimension Product</t>
        </is>
      </c>
      <c r="F9" s="433" t="inlineStr">
        <is>
          <t>Product Code</t>
        </is>
      </c>
      <c r="G9" s="558" t="inlineStr">
        <is>
          <t>DIM_PD</t>
        </is>
      </c>
      <c r="H9" s="558" t="inlineStr">
        <is>
          <t>PD_CODE</t>
        </is>
      </c>
      <c r="I9" s="415" t="inlineStr">
        <is>
          <t>VARCHAR2</t>
        </is>
      </c>
      <c r="J9" s="415" t="n">
        <v>32</v>
      </c>
      <c r="K9" s="433" t="inlineStr">
        <is>
          <t>Mã sản phẩm</t>
        </is>
      </c>
      <c r="M9" s="334">
        <f>"COMMENT ON COLUMN PG_GOLD."&amp;G9&amp;"."&amp;H9&amp;" IS '"&amp;K9&amp;"';"</f>
        <v/>
      </c>
    </row>
    <row r="10" ht="14.25" customHeight="1" s="335">
      <c r="A10" s="433" t="inlineStr">
        <is>
          <t>PG_SILVER</t>
        </is>
      </c>
      <c r="B10" s="433" t="inlineStr">
        <is>
          <t>PD</t>
        </is>
      </c>
      <c r="C10" s="558" t="inlineStr">
        <is>
          <t>PD_NM</t>
        </is>
      </c>
      <c r="D10" s="433" t="inlineStr">
        <is>
          <t>1:1</t>
        </is>
      </c>
      <c r="E10" s="433" t="inlineStr">
        <is>
          <t>Dimension Product</t>
        </is>
      </c>
      <c r="F10" s="433" t="inlineStr">
        <is>
          <t>Product Name</t>
        </is>
      </c>
      <c r="G10" s="558" t="inlineStr">
        <is>
          <t>DIM_PD</t>
        </is>
      </c>
      <c r="H10" s="558" t="inlineStr">
        <is>
          <t>PD_NM</t>
        </is>
      </c>
      <c r="I10" s="415" t="inlineStr">
        <is>
          <t>VARCHAR2</t>
        </is>
      </c>
      <c r="J10" s="415" t="n">
        <v>255</v>
      </c>
      <c r="K10" s="433" t="inlineStr">
        <is>
          <t>Tên sản phẩm</t>
        </is>
      </c>
      <c r="M10" s="334">
        <f>"COMMENT ON COLUMN PG_GOLD."&amp;G10&amp;"."&amp;H10&amp;" IS '"&amp;K10&amp;"';"</f>
        <v/>
      </c>
    </row>
    <row r="11" ht="14.25" customHeight="1" s="335">
      <c r="A11" s="334" t="inlineStr">
        <is>
          <t>PG_SILVER</t>
        </is>
      </c>
      <c r="B11" s="334" t="inlineStr">
        <is>
          <t>PD</t>
        </is>
      </c>
      <c r="C11" s="334" t="inlineStr">
        <is>
          <t>SYS_EFF_DT</t>
        </is>
      </c>
      <c r="D11" s="334" t="inlineStr">
        <is>
          <t>1:1</t>
        </is>
      </c>
      <c r="E11" s="433" t="inlineStr">
        <is>
          <t>Dimension Product</t>
        </is>
      </c>
      <c r="F11" s="433" t="inlineStr">
        <is>
          <t>System Effective Date</t>
        </is>
      </c>
      <c r="G11" s="558" t="inlineStr">
        <is>
          <t>DIM_PD</t>
        </is>
      </c>
      <c r="H11" s="415" t="inlineStr">
        <is>
          <t>SYS_EFF_DT</t>
        </is>
      </c>
      <c r="I11" s="415" t="inlineStr">
        <is>
          <t>DATE</t>
        </is>
      </c>
      <c r="K11" s="415" t="inlineStr">
        <is>
          <t>Ngày hiệu lực bản ghi</t>
        </is>
      </c>
      <c r="M11" s="415">
        <f>"COMMENT ON COLUMN PG_GOLD."&amp;G11&amp;"."&amp;H11&amp;" IS '"&amp;K11&amp;"';"</f>
        <v/>
      </c>
    </row>
    <row r="12" ht="14.25" customHeight="1" s="335">
      <c r="A12" s="334" t="inlineStr">
        <is>
          <t>PG_SILVER</t>
        </is>
      </c>
      <c r="B12" s="334" t="inlineStr">
        <is>
          <t>PD</t>
        </is>
      </c>
      <c r="C12" s="334" t="inlineStr">
        <is>
          <t>SYS_EXP_DT</t>
        </is>
      </c>
      <c r="D12" s="334" t="inlineStr">
        <is>
          <t>1:1</t>
        </is>
      </c>
      <c r="E12" s="433" t="inlineStr">
        <is>
          <t>Dimension Product</t>
        </is>
      </c>
      <c r="F12" s="433" t="inlineStr">
        <is>
          <t>System Expiry Date</t>
        </is>
      </c>
      <c r="G12" s="558" t="inlineStr">
        <is>
          <t>DIM_PD</t>
        </is>
      </c>
      <c r="H12" s="415" t="inlineStr">
        <is>
          <t>SYS_EXP_DT</t>
        </is>
      </c>
      <c r="I12" s="415" t="inlineStr">
        <is>
          <t>DATE</t>
        </is>
      </c>
      <c r="K12" s="415" t="inlineStr">
        <is>
          <t>Ngày hết hiệu lực bản ghi</t>
        </is>
      </c>
      <c r="M12" s="415">
        <f>"COMMENT ON COLUMN PG_GOLD."&amp;G12&amp;"."&amp;H12&amp;" IS '"&amp;K12&amp;"';"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tabColor rgb="FFA64D79"/>
    <outlinePr summaryBelow="1" summaryRight="1"/>
    <pageSetUpPr fitToPage="0"/>
  </sheetPr>
  <dimension ref="A1:N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7.88" customWidth="1" style="334" min="1" max="1"/>
    <col width="28.44" customWidth="1" style="334" min="2" max="2"/>
    <col width="23.88" customWidth="1" style="334" min="3" max="3"/>
    <col width="77.56" customWidth="1" style="334" min="4" max="4"/>
    <col width="55" customWidth="1" style="334" min="5" max="5"/>
    <col width="34.56" customWidth="1" style="334" min="6" max="6"/>
    <col width="25.56" customWidth="1" style="334" min="8" max="8"/>
    <col width="34" customWidth="1" style="334" min="11" max="11"/>
    <col width="21.33" customWidth="1" style="334" min="12" max="12"/>
    <col width="55" customWidth="1" style="334" min="14" max="14"/>
  </cols>
  <sheetData>
    <row r="1" ht="14.25" customHeight="1" s="335">
      <c r="A1" s="432" t="inlineStr">
        <is>
          <t>TYPE : SNAPSHOT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13" t="inlineStr">
        <is>
          <t>Ghi chú kỹ thuật &amp; Business Rule</t>
        </is>
      </c>
      <c r="F2" s="432" t="n"/>
      <c r="G2" s="432" t="n"/>
      <c r="H2" s="432" t="n"/>
      <c r="I2" s="432" t="n"/>
      <c r="J2" s="432" t="n"/>
      <c r="K2" s="432" t="n"/>
    </row>
    <row r="3" ht="27" customHeight="1" s="335">
      <c r="A3" s="462" t="inlineStr">
        <is>
          <t>PG_SILVER</t>
        </is>
      </c>
      <c r="B3" s="462" t="inlineStr">
        <is>
          <t>LOAN_AR</t>
        </is>
      </c>
      <c r="C3" s="433" t="inlineStr">
        <is>
          <t>a</t>
        </is>
      </c>
      <c r="D3" s="445" t="inlineStr">
        <is>
          <t>WHERE a.SYS_EXP_DT IS NULL</t>
        </is>
      </c>
      <c r="E3" s="414" t="inlineStr">
        <is>
          <t>Bổ sung `WHERE a.SYS_EXP_DT IS NULL`.</t>
        </is>
      </c>
      <c r="F3" s="435" t="n"/>
      <c r="G3" s="435" t="n"/>
      <c r="H3" s="435" t="n"/>
      <c r="I3" s="435" t="n"/>
      <c r="J3" s="435" t="n"/>
      <c r="K3" s="435" t="n"/>
    </row>
    <row r="4" ht="14.25" customHeight="1" s="335">
      <c r="A4" s="560" t="inlineStr">
        <is>
          <t>PG_SILVER</t>
        </is>
      </c>
      <c r="B4" s="560" t="inlineStr">
        <is>
          <t>AR_BAL</t>
        </is>
      </c>
      <c r="C4" s="455" t="inlineStr">
        <is>
          <t>b</t>
        </is>
      </c>
      <c r="D4" s="641" t="inlineStr">
        <is>
          <t>(join) (SELECT DISTINCT AR_ID, CDR_DT, MUD_CODE FROM PG_SILVER.AR_BAL WHERE CDR_DT = ${ETL_DATE}) b on a.AR_ID = b.AR_ID</t>
        </is>
      </c>
      <c r="E4" s="414" t="inlineStr">
        <is>
          <t>Khử trùng `(SELECT DISTINCT AR_ID, CDR_DT, MUD_CODE FROM PG_SILVER.AR_BAL WHERE CDR_DT = ${ETL_DATE})` vì `AR_BAL` có nhiều dòng theo `GL_ITM_CODE` (`2%`, `394%`, `94%`) trên mỗi `AR_ID`; nếu join trực tiếp sẽ làm nhân bản số dòng và nhân gấp bội dư nợ `OTSND_AMT_LCY`.</t>
        </is>
      </c>
      <c r="F4" s="642" t="n"/>
      <c r="G4" s="642" t="n"/>
      <c r="H4" s="642" t="n"/>
      <c r="I4" s="642" t="n"/>
      <c r="J4" s="642" t="n"/>
      <c r="K4" s="642" t="n"/>
      <c r="L4" s="452" t="n"/>
      <c r="M4" s="452" t="n"/>
      <c r="N4" s="452" t="n"/>
    </row>
    <row r="5" ht="41.25" customHeight="1" s="335">
      <c r="A5" s="462" t="inlineStr">
        <is>
          <t>PG_SILVER</t>
        </is>
      </c>
      <c r="B5" s="433" t="inlineStr">
        <is>
          <t>LOAN_AR_PRFL</t>
        </is>
      </c>
      <c r="C5" s="433" t="inlineStr">
        <is>
          <t>c</t>
        </is>
      </c>
      <c r="D5" s="445" t="inlineStr">
        <is>
          <t>(left join) on a.AR_ID = c.AR_ID AND c.SYS_EXP_DT IS NULL</t>
        </is>
      </c>
      <c r="E5" s="414" t="inlineStr">
        <is>
          <t>Bổ sung `AND c.SYS_EXP_DT IS NULL`.</t>
        </is>
      </c>
      <c r="F5" s="435" t="n"/>
      <c r="G5" s="435" t="n"/>
      <c r="H5" s="435" t="n"/>
      <c r="I5" s="435" t="n"/>
      <c r="J5" s="435" t="n"/>
      <c r="K5" s="435" t="n"/>
    </row>
    <row r="6" ht="41.25" customHeight="1" s="335">
      <c r="A6" s="462" t="inlineStr">
        <is>
          <t>PG_SILVER</t>
        </is>
      </c>
      <c r="B6" s="433" t="inlineStr">
        <is>
          <t>AR_RATE_HIST</t>
        </is>
      </c>
      <c r="C6" s="433" t="inlineStr">
        <is>
          <t>d</t>
        </is>
      </c>
      <c r="D6" s="445" t="inlineStr">
        <is>
          <t>(left join) on a.AR_ID = d.AR_ID AND d.SYS_EXP_DT IS NULL</t>
        </is>
      </c>
      <c r="E6" s="414" t="inlineStr">
        <is>
          <t>Bổ sung `AND d.SYS_EXP_DT IS NULL`.</t>
        </is>
      </c>
      <c r="F6" s="435" t="n"/>
      <c r="G6" s="435" t="n"/>
      <c r="H6" s="435" t="n"/>
      <c r="I6" s="435" t="n"/>
      <c r="J6" s="435" t="n"/>
      <c r="K6" s="435" t="n"/>
    </row>
    <row r="7" ht="152.25" customHeight="1" s="335">
      <c r="A7" s="462" t="inlineStr">
        <is>
          <t>PG_SILVER</t>
        </is>
      </c>
      <c r="B7" s="433" t="inlineStr">
        <is>
          <t>AR_DLQ_SMY</t>
        </is>
      </c>
      <c r="C7" s="433" t="inlineStr">
        <is>
          <t>e</t>
        </is>
      </c>
      <c r="D7" s="463" t="inlineStr">
        <is>
          <t>(left join) (SELECT
  ORIG_AR_ID
  ,MAX(${ETL_DATE} - e.PNP_PAST_DUE_DT) + 1 AS SO_NGAY_QH_GOC
  ,MAX(${ETL_DATE} - e.INT_PAST_DUE_DT) + 1 AS SO_NGAY_QH_LAI
  ,GREATEST(NVL(MAX(${ETL_DATE} - e.PNP_PAST_DUE_DT) + 1, 0), NVL(MAX(${ETL_DATE} - e.INT_PAST_DUE_DT) + 1, 0)) AS SONGAY_QHAN_CAONHAT
  ,MAX(NVL(e.ADDITION_DYS_IN_ARS, 0)) AS SNQH_CHUYENDOI
FROM PG_SILVER.AR_DLQ_SMY e
WHERE e.CDR_DT = ${ETL_DATE}
GROUP BY ORIG_AR_ID) e
on e.ORIG_AR_ID = a.AR_ID</t>
        </is>
      </c>
      <c r="E7" s="414" t="inlineStr">
        <is>
          <t>Đổi `SUM` thành `MAX` và sửa lại dấu ngoặc đơn.</t>
        </is>
      </c>
      <c r="F7" s="435" t="n"/>
      <c r="G7" s="435" t="n"/>
      <c r="H7" s="435" t="n"/>
      <c r="I7" s="435" t="n"/>
      <c r="J7" s="435" t="n"/>
      <c r="K7" s="435" t="n"/>
    </row>
    <row r="8" ht="54.75" customHeight="1" s="335">
      <c r="A8" s="462" t="inlineStr">
        <is>
          <t>PG_SILVER</t>
        </is>
      </c>
      <c r="B8" s="564" t="inlineStr">
        <is>
          <t>EXG_RATE</t>
        </is>
      </c>
      <c r="C8" s="433" t="inlineStr">
        <is>
          <t>g</t>
        </is>
      </c>
      <c r="D8" s="445" t="inlineStr">
        <is>
          <t>(left join) on a.CCY_CODE = g.FRST_CCY_CODE AND g.SNPST_DT = ${ETL_DATE}</t>
        </is>
      </c>
      <c r="E8" s="414" t="inlineStr">
        <is>
          <t>Đổi thành `PG_SILVER.EXG_RATE` (Task 30) và lọc `g.SNPST_DT = ${ETL_DATE}`.</t>
        </is>
      </c>
      <c r="F8" s="435" t="n"/>
      <c r="G8" s="435" t="n"/>
      <c r="H8" s="435" t="n"/>
      <c r="I8" s="435" t="n"/>
      <c r="J8" s="435" t="n"/>
      <c r="K8" s="435" t="n"/>
    </row>
    <row r="9" ht="114.75" customHeight="1" s="335">
      <c r="A9" s="462" t="inlineStr">
        <is>
          <t>PG_SILVER</t>
        </is>
      </c>
      <c r="B9" s="415" t="inlineStr">
        <is>
          <t>AST_AR_INT_SMY</t>
        </is>
      </c>
      <c r="C9" s="433" t="inlineStr">
        <is>
          <t>h</t>
        </is>
      </c>
      <c r="D9" s="443" t="inlineStr">
        <is>
          <t>(left join) (SELECT
  ORIG_AR_ID
  ,SUM(TOT_INT_PAID_AMT_FCY) AS TOT_INT_PAID_AMT_FCY
  ,SUM(TOT_INT_DUE_AMT_FCY) AS TOT_INT_DUE_AMT_FCY
  ,SUM(TOT_INT_ODUE_AMT_FCY) AS TOT_INT_ODUE_AMT_FCY
FROM PG_SILVER.AST_AR_INT_SMY
WHERE CDR_DT = ${ETL_DATE}
GROUP BY ORIG_AR_ID) h
on a.AR_ID = h.ORIG_AR_ID</t>
        </is>
      </c>
      <c r="E9" s="435" t="n"/>
      <c r="F9" s="435" t="n"/>
      <c r="G9" s="435" t="n"/>
      <c r="H9" s="435" t="n"/>
      <c r="I9" s="435" t="n"/>
      <c r="J9" s="435" t="n"/>
      <c r="K9" s="435" t="n"/>
    </row>
    <row r="10" ht="57" customHeight="1" s="335">
      <c r="A10" s="462" t="inlineStr">
        <is>
          <t>PG_SILVER</t>
        </is>
      </c>
      <c r="B10" s="433" t="inlineStr">
        <is>
          <t>AR_TVR_SMY</t>
        </is>
      </c>
      <c r="C10" s="433" t="inlineStr">
        <is>
          <t>k</t>
        </is>
      </c>
      <c r="D10" s="443" t="inlineStr">
        <is>
          <t>(left join) (SELECT
  ORIG_AR_ID
  ,SUM(CLS_BAL_LCY) AS CLS_BAL_LCY
FROM PG_SILVER.AR_TVR_SMY
WHERE CDR_DT = ${ETL_DATE}
GROUP BY ORIG_AR_ID) k
on a.AR_ID = k.ORIG_AR_ID</t>
        </is>
      </c>
      <c r="E10" s="435" t="n"/>
      <c r="F10" s="435" t="n"/>
      <c r="G10" s="435" t="n"/>
      <c r="H10" s="435" t="n"/>
      <c r="I10" s="435" t="n"/>
      <c r="J10" s="435" t="n"/>
      <c r="K10" s="435" t="n"/>
    </row>
    <row r="11" ht="27" customHeight="1" s="335">
      <c r="A11" s="462" t="inlineStr">
        <is>
          <t>PG_SILVER</t>
        </is>
      </c>
      <c r="B11" s="433" t="inlineStr">
        <is>
          <t>IDV_PRFL</t>
        </is>
      </c>
      <c r="C11" s="433" t="inlineStr">
        <is>
          <t>l</t>
        </is>
      </c>
      <c r="D11" s="445" t="inlineStr">
        <is>
          <t>(left join) on a.CST_ID = l.CST_ID AND l.SYS_EXP_DT IS NULL</t>
        </is>
      </c>
      <c r="E11" s="414" t="inlineStr">
        <is>
          <t>Bổ sung `AND l.SYS_EXP_DT IS NULL`.</t>
        </is>
      </c>
      <c r="F11" s="435" t="n"/>
      <c r="G11" s="435" t="n"/>
      <c r="H11" s="435" t="n"/>
      <c r="I11" s="435" t="n"/>
      <c r="J11" s="435" t="n"/>
      <c r="K11" s="435" t="n"/>
    </row>
    <row r="12" ht="27" customHeight="1" s="335">
      <c r="A12" s="462" t="inlineStr">
        <is>
          <t>PG_SILVER</t>
        </is>
      </c>
      <c r="B12" s="433" t="inlineStr">
        <is>
          <t>ORG_PRFL</t>
        </is>
      </c>
      <c r="C12" s="433" t="inlineStr">
        <is>
          <t>m</t>
        </is>
      </c>
      <c r="D12" s="445" t="inlineStr">
        <is>
          <t>(left join) on a.CST_ID = m.CST_ID AND m.SYS_EXP_DT IS NULL</t>
        </is>
      </c>
      <c r="E12" s="414" t="inlineStr">
        <is>
          <t>Bổ sung `AND m.SYS_EXP_DT IS NULL`.</t>
        </is>
      </c>
      <c r="F12" s="435" t="n"/>
      <c r="G12" s="435" t="n"/>
      <c r="H12" s="435" t="n"/>
      <c r="I12" s="435" t="n"/>
      <c r="J12" s="435" t="n"/>
      <c r="K12" s="435" t="n"/>
    </row>
    <row r="13" ht="41.25" customHeight="1" s="335">
      <c r="A13" s="462" t="inlineStr">
        <is>
          <t>PG_GOLD</t>
        </is>
      </c>
      <c r="B13" s="433" t="inlineStr">
        <is>
          <t>DIM_LOAN_AR</t>
        </is>
      </c>
      <c r="C13" s="433" t="inlineStr">
        <is>
          <t>dim_ar</t>
        </is>
      </c>
      <c r="D13" s="445" t="inlineStr">
        <is>
          <t>(join) on a.AR_ID = dim_ar.AR_ID AND dim_ar.SYS_EXP_DT IS NULL</t>
        </is>
      </c>
      <c r="E13" s="414" t="inlineStr">
        <is>
          <t>Bổ sung `SYS_EXP_DT IS NULL`.</t>
        </is>
      </c>
      <c r="F13" s="435" t="n"/>
      <c r="G13" s="435" t="n"/>
      <c r="H13" s="435" t="n"/>
      <c r="I13" s="435" t="n"/>
      <c r="J13" s="435" t="n"/>
      <c r="K13" s="435" t="n"/>
    </row>
    <row r="14" ht="41.25" customHeight="1" s="335">
      <c r="A14" s="462" t="inlineStr">
        <is>
          <t>PG_GOLD</t>
        </is>
      </c>
      <c r="B14" s="433" t="inlineStr">
        <is>
          <t>DIM_CST</t>
        </is>
      </c>
      <c r="C14" s="433" t="inlineStr">
        <is>
          <t>dim_cst</t>
        </is>
      </c>
      <c r="D14" s="445" t="inlineStr">
        <is>
          <t>(join) on a.CST_ID = dim_cst.CST_ID AND dim_cst.SYS_EXP_DT IS NULL</t>
        </is>
      </c>
      <c r="E14" s="414" t="inlineStr">
        <is>
          <t>Bổ sung `SYS_EXP_DT IS NULL`.</t>
        </is>
      </c>
      <c r="F14" s="435" t="n"/>
      <c r="G14" s="435" t="n"/>
      <c r="H14" s="435" t="n"/>
      <c r="I14" s="435" t="n"/>
      <c r="J14" s="435" t="n"/>
      <c r="K14" s="435" t="n"/>
    </row>
    <row r="15" ht="41.25" customHeight="1" s="335">
      <c r="A15" s="462" t="inlineStr">
        <is>
          <t>PG_GOLD</t>
        </is>
      </c>
      <c r="B15" s="433" t="inlineStr">
        <is>
          <t>DIM_PD</t>
        </is>
      </c>
      <c r="C15" s="433" t="inlineStr">
        <is>
          <t>dim_pd</t>
        </is>
      </c>
      <c r="D15" s="445" t="inlineStr">
        <is>
          <t>(left join) on a.PD_CODE = dim_pd.PD_CODE AND dim_pd.SYS_EXP_DT IS NULL</t>
        </is>
      </c>
      <c r="E15" s="414" t="inlineStr">
        <is>
          <t>Bổ sung `SYS_EXP_DT IS NULL`.</t>
        </is>
      </c>
      <c r="F15" s="435" t="n"/>
      <c r="G15" s="435" t="n"/>
      <c r="H15" s="435" t="n"/>
      <c r="I15" s="435" t="n"/>
      <c r="J15" s="435" t="n"/>
      <c r="K15" s="435" t="n"/>
    </row>
    <row r="16" ht="41.25" customHeight="1" s="335">
      <c r="A16" s="462" t="inlineStr">
        <is>
          <t>PG_GOLD</t>
        </is>
      </c>
      <c r="B16" s="433" t="inlineStr">
        <is>
          <t>DIM_OU</t>
        </is>
      </c>
      <c r="C16" s="433" t="inlineStr">
        <is>
          <t>dim_ou</t>
        </is>
      </c>
      <c r="D16" s="445" t="inlineStr">
        <is>
          <t>(left join) on c.OU_CODE = dim_ou.OU_CODE AND dim_ou.SYS_EXP_DT IS NULL</t>
        </is>
      </c>
      <c r="E16" s="414" t="inlineStr">
        <is>
          <t>Bổ sung `SYS_EXP_DT IS NULL`.</t>
        </is>
      </c>
      <c r="F16" s="435" t="n"/>
      <c r="G16" s="435" t="n"/>
      <c r="H16" s="435" t="n"/>
      <c r="I16" s="435" t="n"/>
      <c r="J16" s="435" t="n"/>
      <c r="K16" s="435" t="n"/>
    </row>
    <row r="17" ht="41.25" customHeight="1" s="335">
      <c r="A17" s="462" t="inlineStr">
        <is>
          <t>PG_GOLD</t>
        </is>
      </c>
      <c r="B17" s="462" t="inlineStr">
        <is>
          <t>DIM_CCY</t>
        </is>
      </c>
      <c r="C17" s="433" t="inlineStr">
        <is>
          <t>dim_ccy</t>
        </is>
      </c>
      <c r="D17" s="445" t="inlineStr">
        <is>
          <t>(left join) on a.CCY_CODE = dim_ccy.CCY_CODE AND dim_ccy.SYS_EXP_DT IS NULL</t>
        </is>
      </c>
      <c r="E17" s="414" t="inlineStr">
        <is>
          <t>Bổ sung `SYS_EXP_DT IS NULL`.</t>
        </is>
      </c>
      <c r="F17" s="435" t="n"/>
      <c r="G17" s="435" t="n"/>
      <c r="H17" s="435" t="n"/>
      <c r="I17" s="435" t="n"/>
      <c r="J17" s="435" t="n"/>
      <c r="K17" s="435" t="n"/>
    </row>
    <row r="18" ht="54.75" customHeight="1" s="335">
      <c r="A18" s="462" t="inlineStr">
        <is>
          <t>PG_GOLD</t>
        </is>
      </c>
      <c r="B18" s="564" t="inlineStr">
        <is>
          <t>DIM_LMT</t>
        </is>
      </c>
      <c r="C18" s="433" t="inlineStr">
        <is>
          <t>dim_lmt</t>
        </is>
      </c>
      <c r="D18" s="445" t="inlineStr">
        <is>
          <t>(left join) on a.LMT_ID = dim_lmt.LMT_ID AND dim_lmt.SYS_EXP_DT IS NULL</t>
        </is>
      </c>
      <c r="E18" s="414" t="inlineStr">
        <is>
          <t>Bổ sung `SYS_EXP_DT IS NULL` + đổi tên `DIM_LIMIT` -&gt; `DIM_LMT` (Task 21).</t>
        </is>
      </c>
      <c r="F18" s="435" t="n"/>
      <c r="G18" s="435" t="n"/>
      <c r="H18" s="435" t="n"/>
      <c r="I18" s="435" t="n"/>
      <c r="J18" s="435" t="n"/>
      <c r="K18" s="435" t="n"/>
    </row>
    <row r="19" ht="41.25" customHeight="1" s="335">
      <c r="A19" s="462" t="inlineStr">
        <is>
          <t>PG_GOLD</t>
        </is>
      </c>
      <c r="B19" s="433" t="inlineStr">
        <is>
          <t>DIM_RSTC_TP</t>
        </is>
      </c>
      <c r="C19" s="433" t="inlineStr">
        <is>
          <t>dim_rstc</t>
        </is>
      </c>
      <c r="D19" s="445" t="inlineStr">
        <is>
          <t>(left join) on c.DBT_RSTC_TP_CODE = dim_rstc.RSTC_TP_CODE AND dim_rstc.SYS_EXP_DT IS NULL</t>
        </is>
      </c>
      <c r="E19" s="414" t="inlineStr">
        <is>
          <t>Bổ sung `SYS_EXP_DT IS NULL`.</t>
        </is>
      </c>
      <c r="F19" s="435" t="n"/>
      <c r="G19" s="435" t="n"/>
      <c r="H19" s="435" t="n"/>
      <c r="I19" s="435" t="n"/>
      <c r="J19" s="435" t="n"/>
      <c r="K19" s="435" t="n"/>
    </row>
    <row r="20" ht="41.25" customHeight="1" s="335">
      <c r="A20" s="462" t="inlineStr">
        <is>
          <t>PG_GOLD</t>
        </is>
      </c>
      <c r="B20" s="433" t="inlineStr">
        <is>
          <t>DIM_FNC_ST</t>
        </is>
      </c>
      <c r="C20" s="433" t="inlineStr">
        <is>
          <t>dim_fnc_1</t>
        </is>
      </c>
      <c r="D20" s="445" t="inlineStr">
        <is>
          <t>(left join) on c.FNC_ST_CODE = dim_fnc_1.FNC_ST_CODE AND dim_fnc_1.SYS_EXP_DT IS NULL</t>
        </is>
      </c>
      <c r="E20" s="414" t="inlineStr">
        <is>
          <t>Bổ sung `SYS_EXP_DT IS NULL`.</t>
        </is>
      </c>
      <c r="F20" s="435" t="n"/>
      <c r="G20" s="435" t="n"/>
      <c r="H20" s="435" t="n"/>
      <c r="I20" s="435" t="n"/>
      <c r="J20" s="435" t="n"/>
      <c r="K20" s="435" t="n"/>
    </row>
    <row r="21" ht="41.25" customHeight="1" s="335">
      <c r="A21" s="462" t="inlineStr">
        <is>
          <t>PG_GOLD</t>
        </is>
      </c>
      <c r="B21" s="433" t="inlineStr">
        <is>
          <t>DIM_FNC_ST</t>
        </is>
      </c>
      <c r="C21" s="433" t="inlineStr">
        <is>
          <t>dim_fnc_2</t>
        </is>
      </c>
      <c r="D21" s="445" t="inlineStr">
        <is>
          <t>(left join) on NVL(l.CST_FNC_ST_CODE, m.CST_FNC_ST_CODE) = dim_fnc_2.FNC_ST_CODE AND dim_fnc_2.SYS_EXP_DT IS NULL</t>
        </is>
      </c>
      <c r="E21" s="414" t="inlineStr">
        <is>
          <t>Bổ sung `SYS_EXP_DT IS NULL`.</t>
        </is>
      </c>
      <c r="F21" s="435" t="n"/>
      <c r="G21" s="435" t="n"/>
      <c r="H21" s="435" t="n"/>
      <c r="I21" s="435" t="n"/>
      <c r="J21" s="435" t="n"/>
      <c r="K21" s="435" t="n"/>
    </row>
    <row r="22" ht="14.25" customHeight="1" s="335">
      <c r="A22" s="500" t="n"/>
      <c r="B22" s="500" t="n"/>
      <c r="C22" s="500" t="n"/>
      <c r="D22" s="500" t="n"/>
      <c r="E22" s="500" t="n"/>
      <c r="F22" s="500" t="n"/>
      <c r="G22" s="500" t="n"/>
      <c r="H22" s="500" t="n"/>
      <c r="I22" s="500" t="n"/>
      <c r="J22" s="500" t="n"/>
      <c r="K22" s="500" t="n"/>
    </row>
    <row r="23" ht="14.25" customHeight="1" s="335">
      <c r="A23" s="432" t="inlineStr">
        <is>
          <t>Nguồn</t>
        </is>
      </c>
      <c r="B23" s="432" t="inlineStr">
        <is>
          <t>Bảng nguồn</t>
        </is>
      </c>
      <c r="C23" s="432" t="inlineStr">
        <is>
          <t>Cột nguồn</t>
        </is>
      </c>
      <c r="D23" s="432" t="inlineStr">
        <is>
          <t>Transform</t>
        </is>
      </c>
      <c r="E23" s="432" t="inlineStr">
        <is>
          <t>Entity</t>
        </is>
      </c>
      <c r="F23" s="432" t="inlineStr">
        <is>
          <t>Attribute</t>
        </is>
      </c>
      <c r="G23" s="432" t="inlineStr">
        <is>
          <t>Bảng đích</t>
        </is>
      </c>
      <c r="H23" s="432" t="inlineStr">
        <is>
          <t>Cột đích</t>
        </is>
      </c>
      <c r="I23" s="432" t="inlineStr">
        <is>
          <t>Kiểu dữ liệu</t>
        </is>
      </c>
      <c r="J23" s="432" t="inlineStr">
        <is>
          <t>Độ dài</t>
        </is>
      </c>
      <c r="K23" s="432" t="inlineStr">
        <is>
          <t>Diễn giải</t>
        </is>
      </c>
      <c r="L23" s="432" t="inlineStr">
        <is>
          <t>Glossary</t>
        </is>
      </c>
      <c r="M23" s="432" t="inlineStr">
        <is>
          <t>DDL Comment</t>
        </is>
      </c>
      <c r="N23" s="413" t="inlineStr">
        <is>
          <t>Ghi chú kỹ thuật &amp; Business Rule</t>
        </is>
      </c>
    </row>
    <row r="24" ht="14.25" customHeight="1" s="335">
      <c r="A24" s="433" t="inlineStr">
        <is>
          <t>PG_SILVER</t>
        </is>
      </c>
      <c r="B24" s="415" t="inlineStr">
        <is>
          <t>AR_BAL</t>
        </is>
      </c>
      <c r="C24" s="433" t="inlineStr">
        <is>
          <t>CDR_DT</t>
        </is>
      </c>
      <c r="D24" s="433" t="inlineStr">
        <is>
          <t>${ETL_DATE}</t>
        </is>
      </c>
      <c r="E24" s="433" t="inlineStr">
        <is>
          <t>Fact Loan Arrangement</t>
        </is>
      </c>
      <c r="F24" s="433" t="inlineStr">
        <is>
          <t>Calendar Date Dimension Key</t>
        </is>
      </c>
      <c r="G24" s="558" t="inlineStr">
        <is>
          <t>FCT_LOAN_AR</t>
        </is>
      </c>
      <c r="H24" s="558" t="inlineStr">
        <is>
          <t>CDR_DT_DIM_KEY</t>
        </is>
      </c>
      <c r="I24" s="415" t="inlineStr">
        <is>
          <t>DATE</t>
        </is>
      </c>
      <c r="J24" s="415" t="n"/>
      <c r="K24" s="415" t="inlineStr">
        <is>
          <t>Chiều ngày dữ liệu</t>
        </is>
      </c>
      <c r="M24" s="334">
        <f>"COMMENT ON COLUMN PG_GOLD."&amp;G24&amp;"."&amp;H24&amp;" IS '"&amp;K24&amp;"';"</f>
        <v/>
      </c>
    </row>
    <row r="25" ht="14.25" customHeight="1" s="335">
      <c r="A25" s="462" t="inlineStr">
        <is>
          <t>PG_GOLD</t>
        </is>
      </c>
      <c r="B25" s="433" t="inlineStr">
        <is>
          <t>DIM_LOAN_AR</t>
        </is>
      </c>
      <c r="C25" s="433" t="inlineStr">
        <is>
          <t>DIM_KEY</t>
        </is>
      </c>
      <c r="D25" s="433" t="inlineStr">
        <is>
          <t>dim_ar.DIM_KEY</t>
        </is>
      </c>
      <c r="E25" s="433" t="inlineStr">
        <is>
          <t>Fact Loan Arrangement</t>
        </is>
      </c>
      <c r="F25" s="433" t="inlineStr">
        <is>
          <t>Loan Arrangement Dimension Key</t>
        </is>
      </c>
      <c r="G25" s="558" t="inlineStr">
        <is>
          <t>FCT_LOAN_AR</t>
        </is>
      </c>
      <c r="H25" s="558" t="inlineStr">
        <is>
          <t>LOAN_AR_DIM_KEY</t>
        </is>
      </c>
      <c r="I25" s="415" t="inlineStr">
        <is>
          <t>CHAR</t>
        </is>
      </c>
      <c r="J25" s="415" t="n">
        <v>40</v>
      </c>
      <c r="K25" s="415" t="inlineStr">
        <is>
          <t>Chiều Hợp đồng vay</t>
        </is>
      </c>
      <c r="M25" s="334">
        <f>"COMMENT ON COLUMN PG_GOLD."&amp;G25&amp;"."&amp;H25&amp;" IS '"&amp;K25&amp;"';"</f>
        <v/>
      </c>
    </row>
    <row r="26" ht="14.25" customHeight="1" s="335">
      <c r="A26" s="462" t="inlineStr">
        <is>
          <t>PG_GOLD</t>
        </is>
      </c>
      <c r="B26" s="433" t="inlineStr">
        <is>
          <t>DIM_CST</t>
        </is>
      </c>
      <c r="C26" s="433" t="inlineStr">
        <is>
          <t>DIM_KEY</t>
        </is>
      </c>
      <c r="D26" s="433" t="inlineStr">
        <is>
          <t>dim_cst.DIM_KEY</t>
        </is>
      </c>
      <c r="E26" s="433" t="inlineStr">
        <is>
          <t>Fact Loan Arrangement</t>
        </is>
      </c>
      <c r="F26" s="433" t="inlineStr">
        <is>
          <t>Customer Dimension Key</t>
        </is>
      </c>
      <c r="G26" s="558" t="inlineStr">
        <is>
          <t>FCT_LOAN_AR</t>
        </is>
      </c>
      <c r="H26" s="558" t="inlineStr">
        <is>
          <t>CST_DIM_KEY</t>
        </is>
      </c>
      <c r="I26" s="415" t="inlineStr">
        <is>
          <t>CHAR</t>
        </is>
      </c>
      <c r="J26" s="415" t="n">
        <v>40</v>
      </c>
      <c r="K26" s="433" t="inlineStr">
        <is>
          <t>Chiều Khách hàng</t>
        </is>
      </c>
      <c r="M26" s="334">
        <f>"COMMENT ON COLUMN PG_GOLD."&amp;G26&amp;"."&amp;H26&amp;" IS '"&amp;K26&amp;"';"</f>
        <v/>
      </c>
    </row>
    <row r="27" ht="14.25" customHeight="1" s="335">
      <c r="A27" s="462" t="inlineStr">
        <is>
          <t>PG_GOLD</t>
        </is>
      </c>
      <c r="B27" s="433" t="inlineStr">
        <is>
          <t>DIM_PD</t>
        </is>
      </c>
      <c r="C27" s="433" t="inlineStr">
        <is>
          <t>DIM_KEY</t>
        </is>
      </c>
      <c r="D27" s="433" t="inlineStr">
        <is>
          <t>dim_pd.DIM_KEY</t>
        </is>
      </c>
      <c r="E27" s="433" t="inlineStr">
        <is>
          <t>Fact Loan Arrangement</t>
        </is>
      </c>
      <c r="F27" s="433" t="inlineStr">
        <is>
          <t>Product Dimension Key</t>
        </is>
      </c>
      <c r="G27" s="558" t="inlineStr">
        <is>
          <t>FCT_LOAN_AR</t>
        </is>
      </c>
      <c r="H27" s="558" t="inlineStr">
        <is>
          <t>PD_DIM_KEY</t>
        </is>
      </c>
      <c r="I27" s="415" t="inlineStr">
        <is>
          <t>CHAR</t>
        </is>
      </c>
      <c r="J27" s="415" t="n">
        <v>40</v>
      </c>
      <c r="K27" s="433" t="inlineStr">
        <is>
          <t>Chiều Sản phẩm</t>
        </is>
      </c>
      <c r="M27" s="334">
        <f>"COMMENT ON COLUMN PG_GOLD."&amp;G27&amp;"."&amp;H27&amp;" IS '"&amp;K27&amp;"';"</f>
        <v/>
      </c>
    </row>
    <row r="28" ht="14.25" customHeight="1" s="335">
      <c r="A28" s="462" t="inlineStr">
        <is>
          <t>PG_GOLD</t>
        </is>
      </c>
      <c r="B28" s="433" t="inlineStr">
        <is>
          <t>DIM_OU</t>
        </is>
      </c>
      <c r="C28" s="433" t="inlineStr">
        <is>
          <t>DIM_KEY</t>
        </is>
      </c>
      <c r="D28" s="433" t="inlineStr">
        <is>
          <t>dim_ou.DIM_KEY</t>
        </is>
      </c>
      <c r="E28" s="433" t="inlineStr">
        <is>
          <t>Fact Loan Arrangement</t>
        </is>
      </c>
      <c r="F28" s="433" t="inlineStr">
        <is>
          <t>Organization Unit Dimension Key</t>
        </is>
      </c>
      <c r="G28" s="558" t="inlineStr">
        <is>
          <t>FCT_LOAN_AR</t>
        </is>
      </c>
      <c r="H28" s="415" t="inlineStr">
        <is>
          <t>OU_DIM_KEY</t>
        </is>
      </c>
      <c r="I28" s="415" t="inlineStr">
        <is>
          <t>CHAR</t>
        </is>
      </c>
      <c r="J28" s="415" t="n">
        <v>40</v>
      </c>
      <c r="K28" s="433" t="inlineStr">
        <is>
          <t>Chiều chi nhánh</t>
        </is>
      </c>
      <c r="M28" s="334">
        <f>"COMMENT ON COLUMN PG_GOLD."&amp;G28&amp;"."&amp;H28&amp;" IS '"&amp;K28&amp;"';"</f>
        <v/>
      </c>
    </row>
    <row r="29" ht="14.25" customHeight="1" s="335">
      <c r="A29" s="462" t="inlineStr">
        <is>
          <t>PG_GOLD</t>
        </is>
      </c>
      <c r="B29" s="462" t="inlineStr">
        <is>
          <t>DIM_CCY</t>
        </is>
      </c>
      <c r="C29" s="433" t="inlineStr">
        <is>
          <t>DIM_KEY</t>
        </is>
      </c>
      <c r="D29" s="433" t="inlineStr">
        <is>
          <t>dim_ccy.DIM_KEY</t>
        </is>
      </c>
      <c r="E29" s="433" t="inlineStr">
        <is>
          <t>Fact Loan Arrangement</t>
        </is>
      </c>
      <c r="F29" s="433" t="inlineStr">
        <is>
          <t>Currency Dimension Key</t>
        </is>
      </c>
      <c r="G29" s="558" t="inlineStr">
        <is>
          <t>FCT_LOAN_AR</t>
        </is>
      </c>
      <c r="H29" s="415" t="inlineStr">
        <is>
          <t>CCY_DIM_KEY</t>
        </is>
      </c>
      <c r="I29" s="415" t="inlineStr">
        <is>
          <t>CHAR</t>
        </is>
      </c>
      <c r="J29" s="415" t="n">
        <v>40</v>
      </c>
      <c r="K29" s="433" t="inlineStr">
        <is>
          <t>Chiều loại tiền</t>
        </is>
      </c>
      <c r="M29" s="334">
        <f>"COMMENT ON COLUMN PG_GOLD."&amp;G29&amp;"."&amp;H29&amp;" IS '"&amp;K29&amp;"';"</f>
        <v/>
      </c>
    </row>
    <row r="30" ht="27" customHeight="1" s="335">
      <c r="A30" s="462" t="inlineStr">
        <is>
          <t>PG_GOLD</t>
        </is>
      </c>
      <c r="B30" s="564" t="inlineStr">
        <is>
          <t>DIM_LMT</t>
        </is>
      </c>
      <c r="C30" s="433" t="inlineStr">
        <is>
          <t>DIM_KEY</t>
        </is>
      </c>
      <c r="D30" s="433" t="inlineStr">
        <is>
          <t>dim_lmt.DIM_KEY</t>
        </is>
      </c>
      <c r="E30" s="433" t="inlineStr">
        <is>
          <t>Fact Loan Arrangement</t>
        </is>
      </c>
      <c r="F30" s="433" t="inlineStr">
        <is>
          <t>Limit Dimension Key</t>
        </is>
      </c>
      <c r="G30" s="558" t="inlineStr">
        <is>
          <t>FCT_LOAN_AR</t>
        </is>
      </c>
      <c r="H30" s="433" t="inlineStr">
        <is>
          <t>LMT_DIM_KEY</t>
        </is>
      </c>
      <c r="I30" s="415" t="inlineStr">
        <is>
          <t>CHAR</t>
        </is>
      </c>
      <c r="J30" s="415" t="n">
        <v>40</v>
      </c>
      <c r="K30" s="433" t="inlineStr">
        <is>
          <t>Chiều hạn mức</t>
        </is>
      </c>
      <c r="M30" s="334">
        <f>"COMMENT ON COLUMN PG_GOLD."&amp;G30&amp;"."&amp;H30&amp;" IS '"&amp;K30&amp;"';"</f>
        <v/>
      </c>
      <c r="N30" s="414" t="inlineStr">
        <is>
          <t>Đổi thành `DIM_LMT`.</t>
        </is>
      </c>
    </row>
    <row r="31" ht="14.25" customHeight="1" s="335">
      <c r="A31" s="462" t="inlineStr">
        <is>
          <t>PG_GOLD</t>
        </is>
      </c>
      <c r="B31" s="433" t="inlineStr">
        <is>
          <t>DIM_RSTC_TP</t>
        </is>
      </c>
      <c r="C31" s="433" t="inlineStr">
        <is>
          <t>DIM_KEY</t>
        </is>
      </c>
      <c r="D31" s="433" t="inlineStr">
        <is>
          <t>dim_rstc.DIM_KEY</t>
        </is>
      </c>
      <c r="E31" s="433" t="inlineStr">
        <is>
          <t>Fact Loan Arrangement</t>
        </is>
      </c>
      <c r="F31" s="433" t="inlineStr">
        <is>
          <t>Loan Restructure Type Dimension Key</t>
        </is>
      </c>
      <c r="G31" s="558" t="inlineStr">
        <is>
          <t>FCT_LOAN_AR</t>
        </is>
      </c>
      <c r="H31" s="433" t="inlineStr">
        <is>
          <t>LOAN_RSTC_TP_DIM_KEY</t>
        </is>
      </c>
      <c r="I31" s="415" t="inlineStr">
        <is>
          <t>CHAR</t>
        </is>
      </c>
      <c r="J31" s="415" t="n">
        <v>40</v>
      </c>
      <c r="K31" s="433" t="inlineStr">
        <is>
          <t>Chiều loại tái cấu trúc</t>
        </is>
      </c>
      <c r="M31" s="334">
        <f>"COMMENT ON COLUMN PG_GOLD."&amp;G31&amp;"."&amp;H31&amp;" IS '"&amp;K31&amp;"';"</f>
        <v/>
      </c>
    </row>
    <row r="32" ht="14.25" customHeight="1" s="335">
      <c r="A32" s="462" t="inlineStr">
        <is>
          <t>PG_GOLD</t>
        </is>
      </c>
      <c r="B32" s="433" t="inlineStr">
        <is>
          <t>DIM_FNC_ST</t>
        </is>
      </c>
      <c r="C32" s="433" t="inlineStr">
        <is>
          <t>DIM_KEY</t>
        </is>
      </c>
      <c r="D32" s="433" t="inlineStr">
        <is>
          <t>dim_fnc_1.DIM_KEY</t>
        </is>
      </c>
      <c r="E32" s="433" t="inlineStr">
        <is>
          <t>Fact Loan Arrangement</t>
        </is>
      </c>
      <c r="F32" s="433" t="inlineStr">
        <is>
          <t>Loan Arrangement Financial Status Dimension Key</t>
        </is>
      </c>
      <c r="G32" s="558" t="inlineStr">
        <is>
          <t>FCT_LOAN_AR</t>
        </is>
      </c>
      <c r="H32" s="433" t="inlineStr">
        <is>
          <t>LOAN_AR_FNC_ST_DIM_KEY</t>
        </is>
      </c>
      <c r="I32" s="415" t="inlineStr">
        <is>
          <t>CHAR</t>
        </is>
      </c>
      <c r="J32" s="415" t="n">
        <v>40</v>
      </c>
      <c r="K32" s="433" t="inlineStr">
        <is>
          <t>Chiều nhóm nợ hợp đồng vay</t>
        </is>
      </c>
      <c r="M32" s="334">
        <f>"COMMENT ON COLUMN PG_GOLD."&amp;G32&amp;"."&amp;H32&amp;" IS '"&amp;K32&amp;"';"</f>
        <v/>
      </c>
    </row>
    <row r="33" ht="14.25" customHeight="1" s="335">
      <c r="A33" s="462" t="inlineStr">
        <is>
          <t>PG_GOLD</t>
        </is>
      </c>
      <c r="B33" s="433" t="inlineStr">
        <is>
          <t>DIM_FNC_ST</t>
        </is>
      </c>
      <c r="C33" s="433" t="inlineStr">
        <is>
          <t>DIM_KEY</t>
        </is>
      </c>
      <c r="D33" s="433" t="inlineStr">
        <is>
          <t>dim_fnc_2.DIM_KEY</t>
        </is>
      </c>
      <c r="E33" s="433" t="inlineStr">
        <is>
          <t>Fact Loan Arrangement</t>
        </is>
      </c>
      <c r="F33" s="433" t="inlineStr">
        <is>
          <t>Customer Financial Status Dimension Key</t>
        </is>
      </c>
      <c r="G33" s="558" t="inlineStr">
        <is>
          <t>FCT_LOAN_AR</t>
        </is>
      </c>
      <c r="H33" s="433" t="inlineStr">
        <is>
          <t>CST_FNC_ST_DIM_KEY</t>
        </is>
      </c>
      <c r="I33" s="415" t="inlineStr">
        <is>
          <t>CHAR</t>
        </is>
      </c>
      <c r="J33" s="415" t="n">
        <v>40</v>
      </c>
      <c r="K33" s="433" t="inlineStr">
        <is>
          <t>Chiều nhóm nợ khách hàng</t>
        </is>
      </c>
      <c r="M33" s="334">
        <f>"COMMENT ON COLUMN PG_GOLD."&amp;G33&amp;"."&amp;H33&amp;" IS '"&amp;K33&amp;"';"</f>
        <v/>
      </c>
    </row>
    <row r="34" ht="14.25" customHeight="1" s="335">
      <c r="A34" s="560" t="inlineStr">
        <is>
          <t>PG_SILVER</t>
        </is>
      </c>
      <c r="B34" s="456" t="inlineStr">
        <is>
          <t>AR_BAL</t>
        </is>
      </c>
      <c r="C34" s="643" t="inlineStr">
        <is>
          <t>MUD_CODE</t>
        </is>
      </c>
      <c r="D34" s="455" t="inlineStr">
        <is>
          <t>1:1</t>
        </is>
      </c>
      <c r="E34" s="455" t="inlineStr">
        <is>
          <t>Fact Loan Arrangement</t>
        </is>
      </c>
      <c r="F34" s="455" t="inlineStr">
        <is>
          <t>Module Code</t>
        </is>
      </c>
      <c r="G34" s="643" t="inlineStr">
        <is>
          <t>FCT_LOAN_AR</t>
        </is>
      </c>
      <c r="H34" s="455" t="inlineStr">
        <is>
          <t>MUD_CODE</t>
        </is>
      </c>
      <c r="I34" s="455" t="inlineStr">
        <is>
          <t>VARCHAR2</t>
        </is>
      </c>
      <c r="J34" s="455" t="n">
        <v>20</v>
      </c>
      <c r="K34" s="455" t="inlineStr">
        <is>
          <t>Mã phân hệ</t>
        </is>
      </c>
      <c r="M34" s="455">
        <f>"COMMENT ON COLUMN PG_GOLD."&amp;G34&amp;"."&amp;H34&amp;" IS '"&amp;K34&amp;"';"</f>
        <v/>
      </c>
      <c r="N34" s="452" t="n"/>
    </row>
    <row r="35" ht="14.25" customHeight="1" s="335">
      <c r="A35" s="462" t="inlineStr">
        <is>
          <t>PG_SILVER</t>
        </is>
      </c>
      <c r="B35" s="433" t="inlineStr">
        <is>
          <t>AR_RATE_HIST</t>
        </is>
      </c>
      <c r="C35" s="433" t="inlineStr">
        <is>
          <t>PNY_RATE</t>
        </is>
      </c>
      <c r="D35" s="433" t="inlineStr">
        <is>
          <t>1:1</t>
        </is>
      </c>
      <c r="E35" s="433" t="inlineStr">
        <is>
          <t>Fact Loan Arrangement</t>
        </is>
      </c>
      <c r="F35" s="433" t="inlineStr">
        <is>
          <t>Penalty Rate</t>
        </is>
      </c>
      <c r="G35" s="558" t="inlineStr">
        <is>
          <t>FCT_LOAN_AR</t>
        </is>
      </c>
      <c r="H35" s="433" t="inlineStr">
        <is>
          <t>PNY_RATE</t>
        </is>
      </c>
      <c r="I35" s="433" t="inlineStr">
        <is>
          <t>NUMBER</t>
        </is>
      </c>
      <c r="J35" s="433" t="n">
        <v>25.7</v>
      </c>
      <c r="K35" s="433" t="inlineStr">
        <is>
          <t>Lãi phạt penalty rate</t>
        </is>
      </c>
      <c r="M35" s="334">
        <f>"COMMENT ON COLUMN PG_GOLD."&amp;G35&amp;"."&amp;H35&amp;" IS '"&amp;K35&amp;"';"</f>
        <v/>
      </c>
    </row>
    <row r="36" ht="14.25" customHeight="1" s="335">
      <c r="A36" s="462" t="inlineStr">
        <is>
          <t>PG_SILVER</t>
        </is>
      </c>
      <c r="B36" s="433" t="inlineStr">
        <is>
          <t>AR_RATE_HIST</t>
        </is>
      </c>
      <c r="C36" s="433" t="inlineStr">
        <is>
          <t>ODUE_INT_RATE</t>
        </is>
      </c>
      <c r="D36" s="433" t="inlineStr">
        <is>
          <t>1:1</t>
        </is>
      </c>
      <c r="E36" s="433" t="inlineStr">
        <is>
          <t>Fact Loan Arrangement</t>
        </is>
      </c>
      <c r="F36" s="433" t="inlineStr">
        <is>
          <t>Overdue Interest Rate</t>
        </is>
      </c>
      <c r="G36" s="558" t="inlineStr">
        <is>
          <t>FCT_LOAN_AR</t>
        </is>
      </c>
      <c r="H36" s="433" t="inlineStr">
        <is>
          <t>ODUE_INT_RATE</t>
        </is>
      </c>
      <c r="I36" s="433" t="inlineStr">
        <is>
          <t>NUMBER</t>
        </is>
      </c>
      <c r="J36" s="433" t="n">
        <v>25.7</v>
      </c>
      <c r="K36" s="433" t="inlineStr">
        <is>
          <t>Lãi suất cho quá hạn</t>
        </is>
      </c>
      <c r="M36" s="334">
        <f>"COMMENT ON COLUMN PG_GOLD."&amp;G36&amp;"."&amp;H36&amp;" IS '"&amp;K36&amp;"';"</f>
        <v/>
      </c>
    </row>
    <row r="37" ht="14.25" customHeight="1" s="335">
      <c r="A37" s="462" t="inlineStr">
        <is>
          <t>PG_SILVER</t>
        </is>
      </c>
      <c r="B37" s="415" t="inlineStr">
        <is>
          <t>AST_AR_INT_SMY</t>
        </is>
      </c>
      <c r="C37" s="433" t="inlineStr">
        <is>
          <t>TOT_INT_DUE_AMT_FCY, TOT_INT_ODUE_AMT_FCY</t>
        </is>
      </c>
      <c r="D37" s="433" t="inlineStr">
        <is>
          <t>NVL(h.TOT_INT_DUE_AMT_FCY, 0) + NVL(h.TOT_INT_ODUE_AMT_FCY, 0)</t>
        </is>
      </c>
      <c r="E37" s="433" t="inlineStr">
        <is>
          <t>Fact Loan Arrangement</t>
        </is>
      </c>
      <c r="F37" s="433" t="inlineStr">
        <is>
          <t>Total Interest Arrears Amount FCY</t>
        </is>
      </c>
      <c r="G37" s="558" t="inlineStr">
        <is>
          <t>FCT_LOAN_AR</t>
        </is>
      </c>
      <c r="H37" s="433" t="inlineStr">
        <is>
          <t>TOT_INT_ARS_FCY</t>
        </is>
      </c>
      <c r="I37" s="433" t="inlineStr">
        <is>
          <t>NUMBER</t>
        </is>
      </c>
      <c r="J37" s="433" t="n">
        <v>32.5</v>
      </c>
      <c r="K37" s="433" t="inlineStr">
        <is>
          <t>Tổng lãi phải trả</t>
        </is>
      </c>
      <c r="M37" s="334">
        <f>"COMMENT ON COLUMN PG_GOLD."&amp;G37&amp;"."&amp;H37&amp;" IS '"&amp;K37&amp;"';"</f>
        <v/>
      </c>
    </row>
    <row r="38" ht="14.25" customHeight="1" s="335">
      <c r="A38" s="462" t="inlineStr">
        <is>
          <t>PG_SILVER</t>
        </is>
      </c>
      <c r="B38" s="415" t="inlineStr">
        <is>
          <t>AST_AR_INT_SMY</t>
        </is>
      </c>
      <c r="C38" s="433" t="inlineStr">
        <is>
          <t>TOT_INT_PAID_AMT_FCY</t>
        </is>
      </c>
      <c r="D38" s="433" t="inlineStr">
        <is>
          <t>NVL(h.TOT_INT_PAID_AMT_FCY, 0)</t>
        </is>
      </c>
      <c r="E38" s="433" t="inlineStr">
        <is>
          <t>Fact Loan Arrangement</t>
        </is>
      </c>
      <c r="F38" s="433" t="inlineStr">
        <is>
          <t>Total Interest Paid Amount FCY</t>
        </is>
      </c>
      <c r="G38" s="558" t="inlineStr">
        <is>
          <t>FCT_LOAN_AR</t>
        </is>
      </c>
      <c r="H38" s="433" t="inlineStr">
        <is>
          <t>TOT_INT_PAID_AMT_FCY</t>
        </is>
      </c>
      <c r="I38" s="433" t="inlineStr">
        <is>
          <t>NUMBER</t>
        </is>
      </c>
      <c r="J38" s="433" t="n">
        <v>32.5</v>
      </c>
      <c r="K38" s="433" t="inlineStr">
        <is>
          <t>Tổng lãi đã trả</t>
        </is>
      </c>
      <c r="M38" s="334">
        <f>"COMMENT ON COLUMN PG_GOLD."&amp;G38&amp;"."&amp;H38&amp;" IS '"&amp;K38&amp;"';"</f>
        <v/>
      </c>
    </row>
    <row r="39" ht="27" customHeight="1" s="335">
      <c r="A39" s="462" t="inlineStr">
        <is>
          <t>PG_SILVER</t>
        </is>
      </c>
      <c r="B39" s="433" t="inlineStr">
        <is>
          <t>AR_DLQ_SMY</t>
        </is>
      </c>
      <c r="C39" s="433" t="inlineStr">
        <is>
          <t>PNP_PAST_DUE_DT</t>
        </is>
      </c>
      <c r="D39" s="441" t="inlineStr">
        <is>
          <t>NVL(e.SO_NGAY_QH_GOC, 0)</t>
        </is>
      </c>
      <c r="E39" s="433" t="inlineStr">
        <is>
          <t>Fact Loan Arrangement</t>
        </is>
      </c>
      <c r="F39" s="433" t="inlineStr">
        <is>
          <t>days in principal arrears</t>
        </is>
      </c>
      <c r="G39" s="558" t="inlineStr">
        <is>
          <t>FCT_LOAN_AR</t>
        </is>
      </c>
      <c r="H39" s="433" t="inlineStr">
        <is>
          <t>DYS_IN_PNP_ARS</t>
        </is>
      </c>
      <c r="I39" s="433" t="inlineStr">
        <is>
          <t>NUMBER</t>
        </is>
      </c>
      <c r="J39" s="433" t="n">
        <v>32</v>
      </c>
      <c r="K39" s="433" t="inlineStr">
        <is>
          <t>Số ngày quá hạn gốc</t>
        </is>
      </c>
      <c r="M39" s="334">
        <f>"COMMENT ON COLUMN PG_GOLD."&amp;G39&amp;"."&amp;H39&amp;" IS '"&amp;K39&amp;"';"</f>
        <v/>
      </c>
      <c r="N39" s="414" t="inlineStr">
        <is>
          <t>Tính `SO_NGAY_QH_GOC` bằng hàm `MAX(...)` thay vì `SUM(...)`.</t>
        </is>
      </c>
    </row>
    <row r="40" ht="27" customHeight="1" s="335">
      <c r="A40" s="462" t="inlineStr">
        <is>
          <t>PG_SILVER</t>
        </is>
      </c>
      <c r="B40" s="433" t="inlineStr">
        <is>
          <t>AR_DLQ_SMY</t>
        </is>
      </c>
      <c r="C40" s="433" t="inlineStr">
        <is>
          <t>INT_PAST_DUE_DT</t>
        </is>
      </c>
      <c r="D40" s="441" t="inlineStr">
        <is>
          <t>NVL(e.SO_NGAY_QH_LAI, 0)</t>
        </is>
      </c>
      <c r="E40" s="433" t="inlineStr">
        <is>
          <t>Fact Loan Arrangement</t>
        </is>
      </c>
      <c r="F40" s="433" t="inlineStr">
        <is>
          <t>days in interest arrears</t>
        </is>
      </c>
      <c r="G40" s="558" t="inlineStr">
        <is>
          <t>FCT_LOAN_AR</t>
        </is>
      </c>
      <c r="H40" s="433" t="inlineStr">
        <is>
          <t>DYS_IN_INT_ARS</t>
        </is>
      </c>
      <c r="I40" s="433" t="inlineStr">
        <is>
          <t>NUMBER</t>
        </is>
      </c>
      <c r="J40" s="433" t="n">
        <v>32</v>
      </c>
      <c r="K40" s="433" t="inlineStr">
        <is>
          <t>Số ngày quá hạn lãi</t>
        </is>
      </c>
      <c r="M40" s="334">
        <f>"COMMENT ON COLUMN PG_GOLD."&amp;G40&amp;"."&amp;H40&amp;" IS '"&amp;K40&amp;"';"</f>
        <v/>
      </c>
      <c r="N40" s="414" t="inlineStr">
        <is>
          <t>Tính `SO_NGAY_QH_LAI` bằng hàm `MAX(...)` thay vì `SUM(...)`.</t>
        </is>
      </c>
    </row>
    <row r="41" ht="27" customHeight="1" s="335">
      <c r="A41" s="462" t="inlineStr">
        <is>
          <t>PG_SILVER</t>
        </is>
      </c>
      <c r="B41" s="433" t="inlineStr">
        <is>
          <t>AR_DLQ_SMY</t>
        </is>
      </c>
      <c r="C41" s="433" t="inlineStr">
        <is>
          <t>PNP_PAST_DUE_DT, INT_PAST_DUE_DT, ADDITION_DYS_IN_ARS</t>
        </is>
      </c>
      <c r="D41" s="441" t="inlineStr">
        <is>
          <t>NVL(e.SONGAY_QHAN_CAONHAT, 0) + NVL(e.SNQH_CHUYENDOI, 0)</t>
        </is>
      </c>
      <c r="E41" s="433" t="inlineStr">
        <is>
          <t>Fact Loan Arrangement</t>
        </is>
      </c>
      <c r="F41" s="433" t="inlineStr">
        <is>
          <t>Maximum days in arrears</t>
        </is>
      </c>
      <c r="G41" s="558" t="inlineStr">
        <is>
          <t>FCT_LOAN_AR</t>
        </is>
      </c>
      <c r="H41" s="433" t="inlineStr">
        <is>
          <t>MX_DYS_IN_ARS</t>
        </is>
      </c>
      <c r="I41" s="433" t="inlineStr">
        <is>
          <t>NUMBER</t>
        </is>
      </c>
      <c r="J41" s="433" t="n">
        <v>32</v>
      </c>
      <c r="K41" s="433" t="inlineStr">
        <is>
          <t>Số ngày quá hạn cao nhất</t>
        </is>
      </c>
      <c r="M41" s="334">
        <f>"COMMENT ON COLUMN PG_GOLD."&amp;G41&amp;"."&amp;H41&amp;" IS '"&amp;K41&amp;"';"</f>
        <v/>
      </c>
      <c r="N41" s="414" t="inlineStr">
        <is>
          <t>Tính số ngày quá hạn cao nhất từ GREATEST(MAX(PNP_PAST_DUE_DT), MAX(INT_PAST_DUE_DT)) + 1 tại subquery e.</t>
        </is>
      </c>
    </row>
    <row r="42" ht="14.25" customHeight="1" s="335">
      <c r="A42" s="462" t="inlineStr">
        <is>
          <t>PG_SILVER</t>
        </is>
      </c>
      <c r="B42" s="433" t="inlineStr">
        <is>
          <t>AR_DLQ_SMY</t>
        </is>
      </c>
      <c r="C42" s="433" t="inlineStr">
        <is>
          <t>ADDITION_DYS_IN_ARS</t>
        </is>
      </c>
      <c r="D42" s="433" t="inlineStr">
        <is>
          <t>NVL(e.SNQH_CHUYENDOI, 0)</t>
        </is>
      </c>
      <c r="E42" s="433" t="inlineStr">
        <is>
          <t>Fact Loan Arrangement</t>
        </is>
      </c>
      <c r="F42" s="433" t="inlineStr">
        <is>
          <t>Addition days in arrears</t>
        </is>
      </c>
      <c r="G42" s="558" t="inlineStr">
        <is>
          <t>FCT_LOAN_AR</t>
        </is>
      </c>
      <c r="H42" s="433" t="inlineStr">
        <is>
          <t>ADDITION_DYS_IN_ARS</t>
        </is>
      </c>
      <c r="I42" s="433" t="inlineStr">
        <is>
          <t>NUMBER</t>
        </is>
      </c>
      <c r="J42" s="433" t="n">
        <v>32</v>
      </c>
      <c r="K42" s="433" t="inlineStr">
        <is>
          <t>Số ngày quá hạn chuyển đổi</t>
        </is>
      </c>
      <c r="M42" s="334">
        <f>"COMMENT ON COLUMN PG_GOLD."&amp;G42&amp;"."&amp;H42&amp;" IS '"&amp;K42&amp;"';"</f>
        <v/>
      </c>
    </row>
    <row r="43" ht="14.25" customHeight="1" s="335">
      <c r="A43" s="462" t="inlineStr">
        <is>
          <t>PG_SILVER</t>
        </is>
      </c>
      <c r="B43" s="433" t="inlineStr">
        <is>
          <t>AR_TVR_SMY</t>
        </is>
      </c>
      <c r="C43" s="433" t="inlineStr">
        <is>
          <t>CLS_BAL_LCY</t>
        </is>
      </c>
      <c r="D43" s="433" t="inlineStr">
        <is>
          <t>NVL(k.CLS_BAL_LCY, 0)</t>
        </is>
      </c>
      <c r="E43" s="433" t="inlineStr">
        <is>
          <t>Fact Loan Arrangement</t>
        </is>
      </c>
      <c r="F43" s="433" t="inlineStr">
        <is>
          <t>Outstanding Amount LCY</t>
        </is>
      </c>
      <c r="G43" s="558" t="inlineStr">
        <is>
          <t>FCT_LOAN_AR</t>
        </is>
      </c>
      <c r="H43" s="433" t="inlineStr">
        <is>
          <t>OTSND_AMT_LCY</t>
        </is>
      </c>
      <c r="I43" s="433" t="inlineStr">
        <is>
          <t>NUMBER</t>
        </is>
      </c>
      <c r="J43" s="433" t="n">
        <v>32.5</v>
      </c>
      <c r="K43" s="433" t="inlineStr">
        <is>
          <t>Dư nợ quy đổi</t>
        </is>
      </c>
      <c r="M43" s="334">
        <f>"COMMENT ON COLUMN PG_GOLD."&amp;G43&amp;"."&amp;H43&amp;" IS '"&amp;K43&amp;"';"</f>
        <v/>
      </c>
    </row>
    <row r="44" ht="27" customHeight="1" s="335">
      <c r="A44" s="462" t="inlineStr">
        <is>
          <t>PG_SILVER</t>
        </is>
      </c>
      <c r="B44" s="441" t="inlineStr">
        <is>
          <t>EXG_RATE</t>
        </is>
      </c>
      <c r="C44" s="415" t="inlineStr">
        <is>
          <t>MID_RATE</t>
        </is>
      </c>
      <c r="D44" s="415" t="inlineStr">
        <is>
          <t>1:1</t>
        </is>
      </c>
      <c r="E44" s="433" t="inlineStr">
        <is>
          <t>Fact Loan Arrangement</t>
        </is>
      </c>
      <c r="F44" s="433" t="inlineStr">
        <is>
          <t>Exchange Rate To Local Currency</t>
        </is>
      </c>
      <c r="G44" s="558" t="inlineStr">
        <is>
          <t>FCT_LOAN_AR</t>
        </is>
      </c>
      <c r="H44" s="433" t="inlineStr">
        <is>
          <t>EXG_RATE_TO_LCL_CCY</t>
        </is>
      </c>
      <c r="I44" s="433" t="inlineStr">
        <is>
          <t>NUMBER</t>
        </is>
      </c>
      <c r="J44" s="433" t="n">
        <v>25.7</v>
      </c>
      <c r="K44" s="433" t="inlineStr">
        <is>
          <t>Tỷ giá</t>
        </is>
      </c>
      <c r="M44" s="334">
        <f>"COMMENT ON COLUMN PG_GOLD."&amp;G44&amp;"."&amp;H44&amp;" IS '"&amp;K44&amp;"';"</f>
        <v/>
      </c>
      <c r="N44" s="414" t="inlineStr">
        <is>
          <t>Đổi thành `EXG_RATE`.</t>
        </is>
      </c>
    </row>
    <row r="45" ht="14.25" customHeight="1" s="335">
      <c r="A45" s="462" t="inlineStr">
        <is>
          <t>PG_SILVER</t>
        </is>
      </c>
      <c r="B45" s="433" t="inlineStr">
        <is>
          <t>LOAN_AR_PRFL</t>
        </is>
      </c>
      <c r="C45" s="433" t="inlineStr">
        <is>
          <t>NBR_OF_DBT_RSTC</t>
        </is>
      </c>
      <c r="D45" s="433" t="inlineStr">
        <is>
          <t>1:1</t>
        </is>
      </c>
      <c r="E45" s="433" t="inlineStr">
        <is>
          <t>Fact Loan Arrangement</t>
        </is>
      </c>
      <c r="F45" s="433" t="inlineStr">
        <is>
          <t>Number of debt restructurings</t>
        </is>
      </c>
      <c r="G45" s="558" t="inlineStr">
        <is>
          <t>FCT_LOAN_AR</t>
        </is>
      </c>
      <c r="H45" s="433" t="inlineStr">
        <is>
          <t>NBR_OF_DBT_RSTC</t>
        </is>
      </c>
      <c r="I45" s="433" t="inlineStr">
        <is>
          <t>NUMBER</t>
        </is>
      </c>
      <c r="J45" s="433" t="n">
        <v>22</v>
      </c>
      <c r="K45" s="433" t="inlineStr">
        <is>
          <t>Số lần cơ cấu</t>
        </is>
      </c>
      <c r="M45" s="334">
        <f>"COMMENT ON COLUMN PG_GOLD."&amp;G45&amp;"."&amp;H45&amp;" IS '"&amp;K45&amp;"';"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N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40.44" customWidth="1" style="334" min="1" max="1"/>
    <col width="14.88" customWidth="1" style="334" min="2" max="2"/>
    <col width="42.34" customWidth="1" style="334" min="3" max="3"/>
    <col width="37" customWidth="1" style="334" min="4" max="4"/>
    <col width="22.56" customWidth="1" style="334" min="5" max="5"/>
    <col width="19.67" customWidth="1" style="334" min="6" max="6"/>
    <col width="14.33" customWidth="1" style="334" min="7" max="7"/>
    <col width="20.11" customWidth="1" style="334" min="8" max="8"/>
    <col width="9.44" customWidth="1" style="334" min="10" max="10"/>
    <col width="34" customWidth="1" style="334" min="11" max="11"/>
  </cols>
  <sheetData>
    <row r="1" ht="14.25" customHeight="1" s="335">
      <c r="A1" s="432" t="inlineStr">
        <is>
          <t>TYPE : SCD TYPE 1 (LOOKUP MASTER)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42.75" customHeight="1" s="335">
      <c r="A3" s="433" t="inlineStr">
        <is>
          <t>PG_BRONZE</t>
        </is>
      </c>
      <c r="B3" s="433" t="inlineStr">
        <is>
          <t>FLEXBO_PGBLD_RT_CONTRACT_UDFIELD_HIST</t>
        </is>
      </c>
      <c r="C3" s="433" t="inlineStr">
        <is>
          <t>ud</t>
        </is>
      </c>
      <c r="D3" s="443" t="inlineStr">
        <is>
          <t>WHERE ud.CO_CAU_NO IS NOT NULL -- Bắt buộc dùng SELECT DISTINCT ud.CO_CAU_NO (hoặc GROUP BY ud.CO_CAU_NO) để khử trùng trước khi tạo danh mục LOAN_RSTC_TP; Nhánh 2 (UNION ALL dòng 14): SELECT DISTINCT cust.ASSET_CLASS FROM PG_BRONZE.T24CORE_CUSTOMER cust WHERE cust.ASSET_CLASS IS NOT NULL</t>
        </is>
      </c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500" t="n"/>
      <c r="B4" s="500" t="n"/>
      <c r="C4" s="500" t="n"/>
      <c r="D4" s="500" t="n"/>
      <c r="E4" s="500" t="n"/>
      <c r="F4" s="500" t="n"/>
      <c r="G4" s="500" t="n"/>
      <c r="H4" s="500" t="n"/>
      <c r="I4" s="500" t="n"/>
      <c r="J4" s="500" t="n"/>
      <c r="K4" s="500" t="n"/>
    </row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32" t="inlineStr">
        <is>
          <t>Bắt buộc dùng SELECT DISTINCT ud.CO_CAU_NO (hoặc kết hợp bảng Seed Lookup 12 mã chuẩn ở dòng 26-38) để không bị nhân bản hàng nghìn dòng trùng CL_ID.</t>
        </is>
      </c>
    </row>
    <row r="6" ht="14.25" customHeight="1" s="335">
      <c r="A6" s="433" t="inlineStr">
        <is>
          <t>PG_BRONZE</t>
        </is>
      </c>
      <c r="B6" s="433" t="inlineStr">
        <is>
          <t>FLEXBO_PGBLD_RT_CONTRACT_UDFIELD_HIST</t>
        </is>
      </c>
      <c r="C6" s="433" t="inlineStr">
        <is>
          <t>CO_CAU_NO</t>
        </is>
      </c>
      <c r="D6" s="433" t="inlineStr">
        <is>
          <t>fn_hash("T24_CL_LOAN_RSTC_TP", ud.CO_CAU_NO)</t>
        </is>
      </c>
      <c r="E6" s="433" t="inlineStr">
        <is>
          <t>Classification Value</t>
        </is>
      </c>
      <c r="F6" s="433" t="inlineStr">
        <is>
          <t>Classification ID</t>
        </is>
      </c>
      <c r="G6" s="433" t="inlineStr">
        <is>
          <t>CV</t>
        </is>
      </c>
      <c r="H6" s="433" t="inlineStr">
        <is>
          <t>CL_ID</t>
        </is>
      </c>
      <c r="I6" s="415" t="inlineStr">
        <is>
          <t>CHAR</t>
        </is>
      </c>
      <c r="J6" s="415" t="n">
        <v>32</v>
      </c>
      <c r="K6" s="415" t="inlineStr">
        <is>
          <t>Mã duy nhất của CL</t>
        </is>
      </c>
      <c r="M6" s="334">
        <f>"COMMENT ON COLUMN PG_SILVER."&amp;G6&amp;"."&amp;H6&amp;" IS '"&amp;K6&amp;"';"</f>
        <v/>
      </c>
    </row>
    <row r="7" ht="14.25" customHeight="1" s="335">
      <c r="A7" s="433" t="inlineStr">
        <is>
          <t>PG_BRONZE</t>
        </is>
      </c>
      <c r="B7" s="433" t="inlineStr">
        <is>
          <t>FLEXBO_PGBLD_RT_CONTRACT_UDFIELD_HIST</t>
        </is>
      </c>
      <c r="C7" s="433" t="inlineStr">
        <is>
          <t>CO_CAU_NO</t>
        </is>
      </c>
      <c r="D7" s="433" t="inlineStr">
        <is>
          <t>1:1</t>
        </is>
      </c>
      <c r="E7" s="433" t="inlineStr">
        <is>
          <t>Classification Value</t>
        </is>
      </c>
      <c r="F7" s="433" t="inlineStr">
        <is>
          <t>Classification Code</t>
        </is>
      </c>
      <c r="G7" s="433" t="inlineStr">
        <is>
          <t>CV</t>
        </is>
      </c>
      <c r="H7" s="433" t="inlineStr">
        <is>
          <t>CL_CODE</t>
        </is>
      </c>
      <c r="I7" s="415" t="inlineStr">
        <is>
          <t>VARCHAR2</t>
        </is>
      </c>
      <c r="J7" s="415" t="n">
        <v>20</v>
      </c>
      <c r="K7" s="433" t="inlineStr">
        <is>
          <t>Mã phân loại</t>
        </is>
      </c>
      <c r="M7" s="334">
        <f>"COMMENT ON COLUMN PG_SILVER."&amp;G7&amp;"."&amp;H7&amp;" IS '"&amp;K7&amp;"';"</f>
        <v/>
      </c>
    </row>
    <row r="8" ht="14.25" customHeight="1" s="335">
      <c r="A8" s="433" t="inlineStr">
        <is>
          <t>PG_BRONZE</t>
        </is>
      </c>
      <c r="B8" s="433" t="inlineStr">
        <is>
          <t>FLEXBO_PGBLD_RT_CONTRACT_UDFIELD_HIST</t>
        </is>
      </c>
      <c r="C8" s="433" t="inlineStr">
        <is>
          <t>CO_CAU_NO</t>
        </is>
      </c>
      <c r="D8" s="433" t="inlineStr">
        <is>
          <t>DECODE(ud.CO_CAU_NO, '1','1.Co cau theo thong tu 09', '2','2.Co cau theo quyet dinh 780', '3','3.Co cau khac (theo thong tu 02 hien hanh)', '4','4.Khong', '5','5.Co cau no do Covid-19', '6','6.Mien giam lai do Covid-19', '7','7.Co cau va mien giam lai do Covid-19')</t>
        </is>
      </c>
      <c r="E8" s="433" t="inlineStr">
        <is>
          <t>Classification Value</t>
        </is>
      </c>
      <c r="F8" s="433" t="inlineStr">
        <is>
          <t>Classification Description</t>
        </is>
      </c>
      <c r="G8" s="433" t="inlineStr">
        <is>
          <t>CV</t>
        </is>
      </c>
      <c r="H8" s="433" t="inlineStr">
        <is>
          <t>CL_DSC</t>
        </is>
      </c>
      <c r="I8" s="415" t="inlineStr">
        <is>
          <t>VARCHAR2</t>
        </is>
      </c>
      <c r="J8" s="415" t="n">
        <v>1000</v>
      </c>
      <c r="K8" s="433" t="inlineStr">
        <is>
          <t>mô tả</t>
        </is>
      </c>
      <c r="M8" s="334">
        <f>"COMMENT ON COLUMN PG_SILVER."&amp;G8&amp;"."&amp;H8&amp;" IS '"&amp;K8&amp;"';"</f>
        <v/>
      </c>
    </row>
    <row r="9" ht="14.25" customHeight="1" s="335">
      <c r="A9" s="334" t="inlineStr">
        <is>
          <t>PG_BRONZE</t>
        </is>
      </c>
      <c r="B9" s="334" t="inlineStr">
        <is>
          <t>FLEXBO_PGBLD_RT_CONTRACT_UDFIELD_HIST</t>
        </is>
      </c>
      <c r="C9" s="334" t="inlineStr">
        <is>
          <t>CO_CAU_NO</t>
        </is>
      </c>
      <c r="D9" s="433" t="inlineStr">
        <is>
          <t>'LOAN_RSTC_TP'</t>
        </is>
      </c>
      <c r="E9" s="433" t="inlineStr">
        <is>
          <t>Classification Value</t>
        </is>
      </c>
      <c r="F9" s="433" t="inlineStr">
        <is>
          <t>Classification Schema Code</t>
        </is>
      </c>
      <c r="G9" s="433" t="inlineStr">
        <is>
          <t>CV</t>
        </is>
      </c>
      <c r="H9" s="433" t="inlineStr">
        <is>
          <t>CL_SCM_CODE</t>
        </is>
      </c>
      <c r="I9" s="415" t="inlineStr">
        <is>
          <t>VARCHAR2</t>
        </is>
      </c>
      <c r="J9" s="415" t="n">
        <v>30</v>
      </c>
      <c r="K9" s="433" t="inlineStr">
        <is>
          <t>Nhóm phân loại</t>
        </is>
      </c>
      <c r="M9" s="433">
        <f>"COMMENT ON COLUMN PG_SILVER."&amp;G9&amp;"."&amp;H9&amp;" IS '"&amp;K9&amp;"';"</f>
        <v/>
      </c>
    </row>
    <row r="10" ht="14.25" customHeight="1" s="335">
      <c r="A10" s="334" t="inlineStr">
        <is>
          <t>PG_BRONZE</t>
        </is>
      </c>
      <c r="B10" s="334" t="inlineStr">
        <is>
          <t>FLEXBO_PGBLD_RT_CONTRACT_UDFIELD_HIST</t>
        </is>
      </c>
      <c r="C10" s="334" t="inlineStr">
        <is>
          <t>CO_CAU_NO</t>
        </is>
      </c>
      <c r="D10" s="433" t="inlineStr">
        <is>
          <t>'T24_CL_LOAN_RSTC_TP'</t>
        </is>
      </c>
      <c r="E10" s="433" t="inlineStr">
        <is>
          <t>Classification Value</t>
        </is>
      </c>
      <c r="F10" s="334" t="inlineStr">
        <is>
          <t>Source System Code</t>
        </is>
      </c>
      <c r="G10" s="433" t="inlineStr">
        <is>
          <t>CV</t>
        </is>
      </c>
      <c r="H10" s="415" t="inlineStr">
        <is>
          <t>SRC_STM_CODE</t>
        </is>
      </c>
      <c r="I10" s="415" t="inlineStr">
        <is>
          <t>VARCHAR2</t>
        </is>
      </c>
      <c r="J10" s="415" t="n">
        <v>20</v>
      </c>
      <c r="K10" s="433" t="inlineStr">
        <is>
          <t>Nguồn dữ liệu</t>
        </is>
      </c>
      <c r="M10" s="334">
        <f>"COMMENT ON COLUMN PG_SILVER."&amp;G10&amp;"."&amp;H10&amp;" IS '"&amp;K10&amp;"';"</f>
        <v/>
      </c>
    </row>
    <row r="11" ht="14.25" customHeight="1" s="335">
      <c r="A11" s="334" t="inlineStr">
        <is>
          <t>PG_BRONZE</t>
        </is>
      </c>
      <c r="B11" s="334" t="inlineStr">
        <is>
          <t>FLEXBO_PGBLD_RT_CONTRACT_UDFIELD_HIST</t>
        </is>
      </c>
      <c r="C11" s="334" t="inlineStr">
        <is>
          <t>CO_CAU_NO</t>
        </is>
      </c>
      <c r="D11" s="415" t="inlineStr">
        <is>
          <t>ETL_DATE if not exists CL_ID</t>
        </is>
      </c>
      <c r="E11" s="433" t="inlineStr">
        <is>
          <t>Classification Value</t>
        </is>
      </c>
      <c r="F11" s="415" t="inlineStr">
        <is>
          <t>System Effective Date</t>
        </is>
      </c>
      <c r="G11" s="433" t="inlineStr">
        <is>
          <t>CV</t>
        </is>
      </c>
      <c r="H11" s="415" t="inlineStr">
        <is>
          <t>SYS_EFF_DT</t>
        </is>
      </c>
      <c r="I11" s="415" t="inlineStr">
        <is>
          <t>DATE</t>
        </is>
      </c>
      <c r="J11" s="415" t="n"/>
      <c r="K11" s="415" t="inlineStr">
        <is>
          <t>Ngày bản ghi lần đầu tiên vào hệ thống</t>
        </is>
      </c>
      <c r="M11" s="334">
        <f>"COMMENT ON COLUMN PG_SILVER."&amp;G11&amp;"."&amp;H11&amp;" IS '"&amp;K11&amp;"';"</f>
        <v/>
      </c>
    </row>
    <row r="12" ht="14.25" customHeight="1" s="335">
      <c r="A12" s="334" t="inlineStr">
        <is>
          <t>PG_BRONZE</t>
        </is>
      </c>
      <c r="B12" s="334" t="inlineStr">
        <is>
          <t>FLEXBO_PGBLD_RT_CONTRACT_UDFIELD_HIST</t>
        </is>
      </c>
      <c r="C12" s="334" t="inlineStr">
        <is>
          <t>CO_CAU_NO</t>
        </is>
      </c>
      <c r="D12" s="415" t="inlineStr">
        <is>
          <t>ETL_DATE if CL_CODE was deleted</t>
        </is>
      </c>
      <c r="E12" s="433" t="inlineStr">
        <is>
          <t>Classification Value</t>
        </is>
      </c>
      <c r="F12" s="415" t="inlineStr">
        <is>
          <t>System Expiry Date</t>
        </is>
      </c>
      <c r="G12" s="433" t="inlineStr">
        <is>
          <t>CV</t>
        </is>
      </c>
      <c r="H12" s="415" t="inlineStr">
        <is>
          <t>SYS_EXP_DT</t>
        </is>
      </c>
      <c r="I12" s="415" t="inlineStr">
        <is>
          <t>DATE</t>
        </is>
      </c>
      <c r="J12" s="415" t="n"/>
      <c r="K12" s="415" t="inlineStr">
        <is>
          <t>Ngày hết hạn của bản ghi</t>
        </is>
      </c>
      <c r="M12" s="334">
        <f>"COMMENT ON COLUMN PG_SILVER."&amp;G12&amp;"."&amp;H12&amp;" IS '"&amp;K12&amp;"';"</f>
        <v/>
      </c>
    </row>
    <row r="13" ht="14.25" customHeight="1" s="335">
      <c r="A13" s="334" t="inlineStr">
        <is>
          <t>PG_BRONZE</t>
        </is>
      </c>
      <c r="B13" s="334" t="inlineStr">
        <is>
          <t>FLEXBO_PGBLD_RT_CONTRACT_UDFIELD_HIST</t>
        </is>
      </c>
      <c r="C13" s="334" t="inlineStr">
        <is>
          <t>CO_CAU_NO</t>
        </is>
      </c>
      <c r="D13" s="415" t="inlineStr">
        <is>
          <t>ETL_DATE</t>
        </is>
      </c>
      <c r="E13" s="433" t="inlineStr">
        <is>
          <t>Classification Value</t>
        </is>
      </c>
      <c r="F13" s="415" t="inlineStr">
        <is>
          <t>System Update Date</t>
        </is>
      </c>
      <c r="G13" s="433" t="inlineStr">
        <is>
          <t>CV</t>
        </is>
      </c>
      <c r="H13" s="415" t="inlineStr">
        <is>
          <t>SYS_UDT_DT</t>
        </is>
      </c>
      <c r="I13" s="415" t="inlineStr">
        <is>
          <t>DATE</t>
        </is>
      </c>
      <c r="J13" s="415" t="n"/>
      <c r="K13" s="415" t="inlineStr">
        <is>
          <t>Ngày update dữ liệu gần nhất</t>
        </is>
      </c>
      <c r="M13" s="334">
        <f>"COMMENT ON COLUMN PG_SILVER."&amp;G13&amp;"."&amp;H13&amp;" IS '"&amp;K13&amp;"';"</f>
        <v/>
      </c>
    </row>
    <row r="14" ht="14.25" customHeight="1" s="335">
      <c r="A14" s="334" t="inlineStr">
        <is>
          <t>UNION ALL</t>
        </is>
      </c>
    </row>
    <row r="16" ht="14.25" customHeight="1" s="335">
      <c r="A16" s="432" t="inlineStr">
        <is>
          <t>Nguồn</t>
        </is>
      </c>
      <c r="B16" s="432" t="inlineStr">
        <is>
          <t>Bảng nguồn</t>
        </is>
      </c>
      <c r="C16" s="432" t="inlineStr">
        <is>
          <t>Cột nguồn</t>
        </is>
      </c>
      <c r="D16" s="432" t="inlineStr">
        <is>
          <t>Transform</t>
        </is>
      </c>
      <c r="E16" s="432" t="inlineStr">
        <is>
          <t>Entity</t>
        </is>
      </c>
      <c r="F16" s="432" t="inlineStr">
        <is>
          <t>Attribute</t>
        </is>
      </c>
      <c r="G16" s="432" t="inlineStr">
        <is>
          <t>Bảng đích</t>
        </is>
      </c>
      <c r="H16" s="432" t="inlineStr">
        <is>
          <t>Cột đích</t>
        </is>
      </c>
      <c r="I16" s="432" t="inlineStr">
        <is>
          <t>Kiểu dữ liệu</t>
        </is>
      </c>
      <c r="J16" s="432" t="inlineStr">
        <is>
          <t>Độ dài</t>
        </is>
      </c>
      <c r="K16" s="432" t="inlineStr">
        <is>
          <t>Diễn giải</t>
        </is>
      </c>
      <c r="L16" s="432" t="inlineStr">
        <is>
          <t>Glossary</t>
        </is>
      </c>
      <c r="M16" s="432" t="inlineStr">
        <is>
          <t>DDL Comment</t>
        </is>
      </c>
      <c r="N16" s="432" t="inlineStr">
        <is>
          <t>Bắt buộc dùng SELECT DISTINCT cust.ASSET_CLASS để chỉ sinh 5 dòng danh mục Nhóm nợ (1..5), tránh duplicate CL_ID.</t>
        </is>
      </c>
    </row>
    <row r="17" ht="14.25" customHeight="1" s="335">
      <c r="A17" s="433" t="inlineStr">
        <is>
          <t>PG_BRONZE</t>
        </is>
      </c>
      <c r="B17" s="433" t="inlineStr">
        <is>
          <t>T24CORE_CUSTOMER</t>
        </is>
      </c>
      <c r="C17" s="433" t="inlineStr">
        <is>
          <t>ASSET_CLASS</t>
        </is>
      </c>
      <c r="D17" s="433" t="inlineStr">
        <is>
          <t>fn_hash("T24_CL_FNC_ST", ASSET_CLASS)</t>
        </is>
      </c>
      <c r="E17" s="433" t="inlineStr">
        <is>
          <t>Classification Value</t>
        </is>
      </c>
      <c r="F17" s="433" t="inlineStr">
        <is>
          <t>Classification ID</t>
        </is>
      </c>
      <c r="G17" s="433" t="inlineStr">
        <is>
          <t>CV</t>
        </is>
      </c>
      <c r="H17" s="433" t="inlineStr">
        <is>
          <t>CL_ID</t>
        </is>
      </c>
      <c r="I17" s="415" t="inlineStr">
        <is>
          <t>CHAR</t>
        </is>
      </c>
      <c r="J17" s="415" t="n">
        <v>32</v>
      </c>
      <c r="K17" s="415" t="inlineStr">
        <is>
          <t>Mã duy nhất của CL</t>
        </is>
      </c>
      <c r="M17" s="415">
        <f>"COMMENT ON COLUMN PG_SILVER."&amp;G17&amp;"."&amp;H17&amp;" IS '"&amp;K17&amp;"';"</f>
        <v/>
      </c>
    </row>
    <row r="18" ht="14.25" customHeight="1" s="335">
      <c r="A18" s="433" t="inlineStr">
        <is>
          <t>PG_BRONZE</t>
        </is>
      </c>
      <c r="B18" s="433" t="inlineStr">
        <is>
          <t>T24CORE_CUSTOMER</t>
        </is>
      </c>
      <c r="C18" s="433" t="inlineStr">
        <is>
          <t>ASSET_CLASS</t>
        </is>
      </c>
      <c r="D18" s="433" t="inlineStr">
        <is>
          <t>1:1</t>
        </is>
      </c>
      <c r="E18" s="433" t="inlineStr">
        <is>
          <t>Classification Value</t>
        </is>
      </c>
      <c r="F18" s="433" t="inlineStr">
        <is>
          <t>Classification Code</t>
        </is>
      </c>
      <c r="G18" s="433" t="inlineStr">
        <is>
          <t>CV</t>
        </is>
      </c>
      <c r="H18" s="433" t="inlineStr">
        <is>
          <t>CL_CODE</t>
        </is>
      </c>
      <c r="I18" s="415" t="inlineStr">
        <is>
          <t>VARCHAR2</t>
        </is>
      </c>
      <c r="J18" s="415" t="n">
        <v>20</v>
      </c>
      <c r="K18" s="433" t="inlineStr">
        <is>
          <t>Mã phân loại</t>
        </is>
      </c>
      <c r="M18" s="433">
        <f>"COMMENT ON COLUMN PG_SILVER."&amp;G18&amp;"."&amp;H18&amp;" IS '"&amp;K18&amp;"';"</f>
        <v/>
      </c>
    </row>
    <row r="19" ht="14.25" customHeight="1" s="335">
      <c r="A19" s="433" t="inlineStr">
        <is>
          <t>PG_BRONZE</t>
        </is>
      </c>
      <c r="B19" s="433" t="inlineStr">
        <is>
          <t>T24CORE_CUSTOMER</t>
        </is>
      </c>
      <c r="C19" s="433" t="inlineStr">
        <is>
          <t>ASSET_CLASS</t>
        </is>
      </c>
      <c r="D19" s="433" t="inlineStr">
        <is>
          <t>'Nhom no ' || ASSET_CLASS</t>
        </is>
      </c>
      <c r="E19" s="433" t="inlineStr">
        <is>
          <t>Classification Value</t>
        </is>
      </c>
      <c r="F19" s="433" t="inlineStr">
        <is>
          <t>Classification Description</t>
        </is>
      </c>
      <c r="G19" s="433" t="inlineStr">
        <is>
          <t>CV</t>
        </is>
      </c>
      <c r="H19" s="433" t="inlineStr">
        <is>
          <t>CL_DSC</t>
        </is>
      </c>
      <c r="I19" s="415" t="inlineStr">
        <is>
          <t>VARCHAR2</t>
        </is>
      </c>
      <c r="J19" s="415" t="n">
        <v>1000</v>
      </c>
      <c r="K19" s="433" t="inlineStr">
        <is>
          <t>mô tả</t>
        </is>
      </c>
      <c r="M19" s="433">
        <f>"COMMENT ON COLUMN PG_SILVER."&amp;G19&amp;"."&amp;H19&amp;" IS '"&amp;K19&amp;"';"</f>
        <v/>
      </c>
    </row>
    <row r="20" ht="14.25" customHeight="1" s="335">
      <c r="A20" s="334" t="inlineStr">
        <is>
          <t>PG_BRONZE</t>
        </is>
      </c>
      <c r="B20" s="334" t="inlineStr">
        <is>
          <t>T24CORE_CUSTOMER</t>
        </is>
      </c>
      <c r="C20" s="334" t="inlineStr">
        <is>
          <t>ASSET_CLASS</t>
        </is>
      </c>
      <c r="D20" s="433" t="inlineStr">
        <is>
          <t>'FNC_ST'</t>
        </is>
      </c>
      <c r="E20" s="433" t="inlineStr">
        <is>
          <t>Classification Value</t>
        </is>
      </c>
      <c r="F20" s="433" t="inlineStr">
        <is>
          <t>Classification Schema Code</t>
        </is>
      </c>
      <c r="G20" s="433" t="inlineStr">
        <is>
          <t>CV</t>
        </is>
      </c>
      <c r="H20" s="433" t="inlineStr">
        <is>
          <t>CL_SCM_CODE</t>
        </is>
      </c>
      <c r="I20" s="415" t="inlineStr">
        <is>
          <t>VARCHAR2</t>
        </is>
      </c>
      <c r="J20" s="415" t="n">
        <v>30</v>
      </c>
      <c r="K20" s="433" t="inlineStr">
        <is>
          <t>Nhóm phân loại</t>
        </is>
      </c>
      <c r="M20" s="433">
        <f>"COMMENT ON COLUMN PG_SILVER."&amp;G20&amp;"."&amp;H20&amp;" IS '"&amp;K20&amp;"';"</f>
        <v/>
      </c>
    </row>
    <row r="21" ht="14.25" customHeight="1" s="335">
      <c r="A21" s="334" t="inlineStr">
        <is>
          <t>PG_BRONZE</t>
        </is>
      </c>
      <c r="B21" s="334" t="inlineStr">
        <is>
          <t>T24CORE_CUSTOMER</t>
        </is>
      </c>
      <c r="C21" s="334" t="inlineStr">
        <is>
          <t>ASSET_CLASS</t>
        </is>
      </c>
      <c r="D21" s="433" t="inlineStr">
        <is>
          <t>'T24_CL_FNC_ST'</t>
        </is>
      </c>
      <c r="E21" s="433" t="inlineStr">
        <is>
          <t>Classification Value</t>
        </is>
      </c>
      <c r="F21" s="334" t="inlineStr">
        <is>
          <t>Source System Code</t>
        </is>
      </c>
      <c r="G21" s="433" t="inlineStr">
        <is>
          <t>CV</t>
        </is>
      </c>
      <c r="H21" s="415" t="inlineStr">
        <is>
          <t>SRC_STM_CODE</t>
        </is>
      </c>
      <c r="I21" s="415" t="inlineStr">
        <is>
          <t>VARCHAR2</t>
        </is>
      </c>
      <c r="J21" s="415" t="n">
        <v>20</v>
      </c>
      <c r="K21" s="433" t="inlineStr">
        <is>
          <t>Nguồn dữ liệu</t>
        </is>
      </c>
      <c r="M21" s="433">
        <f>"COMMENT ON COLUMN PG_SILVER."&amp;G21&amp;"."&amp;H21&amp;" IS '"&amp;K21&amp;"';"</f>
        <v/>
      </c>
    </row>
    <row r="22" ht="14.25" customHeight="1" s="335">
      <c r="A22" s="334" t="inlineStr">
        <is>
          <t>PG_BRONZE</t>
        </is>
      </c>
      <c r="B22" s="334" t="inlineStr">
        <is>
          <t>T24CORE_CUSTOMER</t>
        </is>
      </c>
      <c r="C22" s="334" t="inlineStr">
        <is>
          <t>ASSET_CLASS</t>
        </is>
      </c>
      <c r="D22" s="415" t="inlineStr">
        <is>
          <t>ETL_DATE if not exists CL_ID</t>
        </is>
      </c>
      <c r="E22" s="433" t="inlineStr">
        <is>
          <t>Classification Value</t>
        </is>
      </c>
      <c r="F22" s="415" t="inlineStr">
        <is>
          <t>System Effective Date</t>
        </is>
      </c>
      <c r="G22" s="433" t="inlineStr">
        <is>
          <t>CV</t>
        </is>
      </c>
      <c r="H22" s="415" t="inlineStr">
        <is>
          <t>SYS_EFF_DT</t>
        </is>
      </c>
      <c r="I22" s="415" t="inlineStr">
        <is>
          <t>DATE</t>
        </is>
      </c>
      <c r="J22" s="415" t="n"/>
      <c r="K22" s="415" t="inlineStr">
        <is>
          <t>Ngày bản ghi lần đầu tiên vào hệ thống</t>
        </is>
      </c>
      <c r="M22" s="415">
        <f>"COMMENT ON COLUMN PG_SILVER."&amp;G22&amp;"."&amp;H22&amp;" IS '"&amp;K22&amp;"';"</f>
        <v/>
      </c>
    </row>
    <row r="23" ht="14.25" customHeight="1" s="335">
      <c r="A23" s="334" t="inlineStr">
        <is>
          <t>PG_BRONZE</t>
        </is>
      </c>
      <c r="B23" s="334" t="inlineStr">
        <is>
          <t>T24CORE_CUSTOMER</t>
        </is>
      </c>
      <c r="C23" s="334" t="inlineStr">
        <is>
          <t>ASSET_CLASS</t>
        </is>
      </c>
      <c r="D23" s="415" t="inlineStr">
        <is>
          <t>ETL_DATE if CL_CODE was deleted</t>
        </is>
      </c>
      <c r="E23" s="433" t="inlineStr">
        <is>
          <t>Classification Value</t>
        </is>
      </c>
      <c r="F23" s="415" t="inlineStr">
        <is>
          <t>System Expiry Date</t>
        </is>
      </c>
      <c r="G23" s="433" t="inlineStr">
        <is>
          <t>CV</t>
        </is>
      </c>
      <c r="H23" s="415" t="inlineStr">
        <is>
          <t>SYS_EXP_DT</t>
        </is>
      </c>
      <c r="I23" s="415" t="inlineStr">
        <is>
          <t>DATE</t>
        </is>
      </c>
      <c r="J23" s="415" t="n"/>
      <c r="K23" s="415" t="inlineStr">
        <is>
          <t>Ngày hết hạn của bản ghi</t>
        </is>
      </c>
      <c r="M23" s="415">
        <f>"COMMENT ON COLUMN PG_SILVER."&amp;G23&amp;"."&amp;H23&amp;" IS '"&amp;K23&amp;"';"</f>
        <v/>
      </c>
    </row>
    <row r="24" ht="14.25" customHeight="1" s="335">
      <c r="A24" s="334" t="inlineStr">
        <is>
          <t>PG_BRONZE</t>
        </is>
      </c>
      <c r="B24" s="334" t="inlineStr">
        <is>
          <t>T24CORE_CUSTOMER</t>
        </is>
      </c>
      <c r="C24" s="334" t="inlineStr">
        <is>
          <t>ASSET_CLASS</t>
        </is>
      </c>
      <c r="D24" s="415" t="inlineStr">
        <is>
          <t>ETL_DATE</t>
        </is>
      </c>
      <c r="E24" s="433" t="inlineStr">
        <is>
          <t>Classification Value</t>
        </is>
      </c>
      <c r="F24" s="415" t="inlineStr">
        <is>
          <t>System Update Date</t>
        </is>
      </c>
      <c r="G24" s="433" t="inlineStr">
        <is>
          <t>CV</t>
        </is>
      </c>
      <c r="H24" s="415" t="inlineStr">
        <is>
          <t>SYS_UDT_DT</t>
        </is>
      </c>
      <c r="I24" s="415" t="inlineStr">
        <is>
          <t>DATE</t>
        </is>
      </c>
      <c r="J24" s="415" t="n"/>
      <c r="K24" s="415" t="inlineStr">
        <is>
          <t>Ngày update dữ liệu gần nhất</t>
        </is>
      </c>
      <c r="M24" s="415">
        <f>"COMMENT ON COLUMN PG_SILVER."&amp;G24&amp;"."&amp;H24&amp;" IS '"&amp;K24&amp;"';"</f>
        <v/>
      </c>
    </row>
    <row r="26" ht="14.25" customHeight="1" s="335">
      <c r="A26" s="433" t="inlineStr">
        <is>
          <t>CL_ID</t>
        </is>
      </c>
      <c r="B26" s="433" t="inlineStr">
        <is>
          <t>CL_CODE</t>
        </is>
      </c>
      <c r="C26" s="433" t="inlineStr">
        <is>
          <t>CL_DSC</t>
        </is>
      </c>
      <c r="D26" s="433" t="inlineStr">
        <is>
          <t>CL_SCM_CODE</t>
        </is>
      </c>
    </row>
    <row r="27" ht="14.25" customHeight="1" s="335">
      <c r="A27" s="433" t="inlineStr">
        <is>
          <t>fn_hash("T24_CL_LOAN_RSTC_TP", '1')</t>
        </is>
      </c>
      <c r="B27" s="644" t="n">
        <v>1</v>
      </c>
      <c r="C27" s="428" t="inlineStr">
        <is>
          <t>1.Co cau theo thong tu 09</t>
        </is>
      </c>
      <c r="D27" s="433" t="inlineStr">
        <is>
          <t>LOAN_RSTC_TP</t>
        </is>
      </c>
    </row>
    <row r="28" ht="14.25" customHeight="1" s="335">
      <c r="A28" s="433" t="inlineStr">
        <is>
          <t>fn_hash("T24_CL_LOAN_RSTC_TP", '2')</t>
        </is>
      </c>
      <c r="B28" s="644" t="n">
        <v>2</v>
      </c>
      <c r="C28" s="428" t="inlineStr">
        <is>
          <t>2.Co cau theo quyet dinh 780</t>
        </is>
      </c>
      <c r="D28" s="433" t="inlineStr">
        <is>
          <t>LOAN_RSTC_TP</t>
        </is>
      </c>
    </row>
    <row r="29" ht="14.25" customHeight="1" s="335">
      <c r="A29" s="433" t="inlineStr">
        <is>
          <t>fn_hash("T24_CL_LOAN_RSTC_TP", '3')</t>
        </is>
      </c>
      <c r="B29" s="644" t="n">
        <v>3</v>
      </c>
      <c r="C29" s="428" t="inlineStr">
        <is>
          <t>3.Co cau khac (theo thong tu 02 hien hanh)</t>
        </is>
      </c>
      <c r="D29" s="433" t="inlineStr">
        <is>
          <t>LOAN_RSTC_TP</t>
        </is>
      </c>
    </row>
    <row r="30" ht="14.25" customHeight="1" s="335">
      <c r="A30" s="433" t="inlineStr">
        <is>
          <t>fn_hash("T24_CL_LOAN_RSTC_TP", '4')</t>
        </is>
      </c>
      <c r="B30" s="644" t="n">
        <v>4</v>
      </c>
      <c r="C30" s="428" t="inlineStr">
        <is>
          <t>4.Khong</t>
        </is>
      </c>
      <c r="D30" s="433" t="inlineStr">
        <is>
          <t>LOAN_RSTC_TP</t>
        </is>
      </c>
    </row>
    <row r="31" ht="14.25" customHeight="1" s="335">
      <c r="A31" s="433" t="inlineStr">
        <is>
          <t>fn_hash("T24_CL_LOAN_RSTC_TP", '5')</t>
        </is>
      </c>
      <c r="B31" s="644" t="n">
        <v>5</v>
      </c>
      <c r="C31" s="428" t="inlineStr">
        <is>
          <t>5.Co cau no do Covid-19</t>
        </is>
      </c>
      <c r="D31" s="433" t="inlineStr">
        <is>
          <t>LOAN_RSTC_TP</t>
        </is>
      </c>
    </row>
    <row r="32" ht="14.25" customHeight="1" s="335">
      <c r="A32" s="433" t="inlineStr">
        <is>
          <t>fn_hash("T24_CL_LOAN_RSTC_TP", '6')</t>
        </is>
      </c>
      <c r="B32" s="644" t="n">
        <v>6</v>
      </c>
      <c r="C32" s="428" t="inlineStr">
        <is>
          <t>6.Mien giam lai do Covid-19</t>
        </is>
      </c>
      <c r="D32" s="433" t="inlineStr">
        <is>
          <t>LOAN_RSTC_TP</t>
        </is>
      </c>
    </row>
    <row r="33" ht="14.25" customHeight="1" s="335">
      <c r="A33" s="433" t="inlineStr">
        <is>
          <t>fn_hash("T24_CL_LOAN_RSTC_TP", '7')</t>
        </is>
      </c>
      <c r="B33" s="644" t="n">
        <v>7</v>
      </c>
      <c r="C33" s="428" t="inlineStr">
        <is>
          <t>7.Co cau va mien giam lai do Covid-19</t>
        </is>
      </c>
      <c r="D33" s="433" t="inlineStr">
        <is>
          <t>LOAN_RSTC_TP</t>
        </is>
      </c>
    </row>
    <row r="34" ht="14.25" customHeight="1" s="335">
      <c r="A34" s="433" t="inlineStr">
        <is>
          <t>fn_hash("T24_CL_FNC_ST", '1')</t>
        </is>
      </c>
      <c r="B34" s="645" t="n">
        <v>1</v>
      </c>
      <c r="C34" s="460" t="inlineStr">
        <is>
          <t>Nhom no 1</t>
        </is>
      </c>
      <c r="D34" s="433" t="inlineStr">
        <is>
          <t>FNC_ST</t>
        </is>
      </c>
    </row>
    <row r="35" ht="14.25" customHeight="1" s="335">
      <c r="A35" s="433" t="inlineStr">
        <is>
          <t>fn_hash("T24_CL_FNC_ST", '2')</t>
        </is>
      </c>
      <c r="B35" s="645" t="n">
        <v>2</v>
      </c>
      <c r="C35" s="460" t="inlineStr">
        <is>
          <t>Nhom no 2</t>
        </is>
      </c>
      <c r="D35" s="433" t="inlineStr">
        <is>
          <t>FNC_ST</t>
        </is>
      </c>
    </row>
    <row r="36" ht="14.25" customHeight="1" s="335">
      <c r="A36" s="433" t="inlineStr">
        <is>
          <t>fn_hash("T24_CL_FNC_ST", '3')</t>
        </is>
      </c>
      <c r="B36" s="645" t="n">
        <v>3</v>
      </c>
      <c r="C36" s="460" t="inlineStr">
        <is>
          <t>Nhom no 3</t>
        </is>
      </c>
      <c r="D36" s="433" t="inlineStr">
        <is>
          <t>FNC_ST</t>
        </is>
      </c>
    </row>
    <row r="37" ht="14.25" customHeight="1" s="335">
      <c r="A37" s="433" t="inlineStr">
        <is>
          <t>fn_hash("T24_CL_FNC_ST", '4')</t>
        </is>
      </c>
      <c r="B37" s="645" t="n">
        <v>4</v>
      </c>
      <c r="C37" s="460" t="inlineStr">
        <is>
          <t>Nhom no 4</t>
        </is>
      </c>
      <c r="D37" s="433" t="inlineStr">
        <is>
          <t>FNC_ST</t>
        </is>
      </c>
    </row>
    <row r="38" ht="14.25" customHeight="1" s="335">
      <c r="A38" s="433" t="inlineStr">
        <is>
          <t>fn_hash("T24_CL_FNC_ST", '5')</t>
        </is>
      </c>
      <c r="B38" s="433" t="n">
        <v>5</v>
      </c>
      <c r="C38" s="460" t="inlineStr">
        <is>
          <t>Nhom no 5</t>
        </is>
      </c>
      <c r="D38" s="433" t="inlineStr">
        <is>
          <t>FNC_ST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N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20.33" customWidth="1" style="334" min="2" max="2"/>
    <col width="19.56" customWidth="1" style="334" min="3" max="3"/>
    <col width="37" customWidth="1" style="334" min="4" max="4"/>
    <col width="17.44" customWidth="1" style="334" min="5" max="5"/>
    <col width="19.67" customWidth="1" style="334" min="6" max="6"/>
    <col width="9.880000000000001" customWidth="1" style="334" min="7" max="7"/>
    <col width="20.11" customWidth="1" style="334" min="8" max="8"/>
    <col width="9.44" customWidth="1" style="334" min="10" max="10"/>
    <col width="34" customWidth="1" style="334" min="11" max="11"/>
    <col width="55" customWidth="1" style="334" min="14" max="14"/>
  </cols>
  <sheetData>
    <row r="1" ht="14.25" customHeight="1" s="335">
      <c r="A1" s="432" t="inlineStr">
        <is>
          <t>TYPE : SCD TYPE 1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PG_BRONZE</t>
        </is>
      </c>
      <c r="B3" s="433" t="inlineStr">
        <is>
          <t>T24CORE_CURRENCY</t>
        </is>
      </c>
      <c r="C3" s="433" t="inlineStr">
        <is>
          <t>cur</t>
        </is>
      </c>
      <c r="D3" s="443" t="n"/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500" t="n"/>
      <c r="B4" s="500" t="n"/>
      <c r="C4" s="500" t="n"/>
      <c r="D4" s="500" t="n"/>
      <c r="E4" s="500" t="n"/>
      <c r="F4" s="500" t="n"/>
      <c r="G4" s="500" t="n"/>
      <c r="H4" s="500" t="n"/>
      <c r="I4" s="500" t="n"/>
      <c r="J4" s="500" t="n"/>
      <c r="K4" s="500" t="n"/>
    </row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13" t="inlineStr">
        <is>
          <t>Ghi chú kỹ thuật &amp; Business Rule</t>
        </is>
      </c>
    </row>
    <row r="6" ht="14.25" customHeight="1" s="335">
      <c r="A6" s="433" t="inlineStr">
        <is>
          <t>PG_BRONZE</t>
        </is>
      </c>
      <c r="B6" s="433" t="inlineStr">
        <is>
          <t>T24CORE_CURRENCY</t>
        </is>
      </c>
      <c r="C6" s="433" t="inlineStr">
        <is>
          <t>ID</t>
        </is>
      </c>
      <c r="D6" s="433" t="inlineStr">
        <is>
          <t>fn_hash("T24_CURRENCY",cur.ID)</t>
        </is>
      </c>
      <c r="E6" s="433" t="inlineStr">
        <is>
          <t>Currency</t>
        </is>
      </c>
      <c r="F6" s="433" t="inlineStr">
        <is>
          <t>Currency ID</t>
        </is>
      </c>
      <c r="G6" s="558" t="inlineStr">
        <is>
          <t>CCY</t>
        </is>
      </c>
      <c r="H6" s="558" t="inlineStr">
        <is>
          <t>CCY_ID</t>
        </is>
      </c>
      <c r="I6" s="415" t="inlineStr">
        <is>
          <t>CHAR</t>
        </is>
      </c>
      <c r="J6" s="415" t="n">
        <v>32</v>
      </c>
      <c r="K6" s="415" t="inlineStr">
        <is>
          <t>Mã duy nhất của loại tiền trên DWH</t>
        </is>
      </c>
      <c r="M6" s="334">
        <f>"COMMENT ON COLUMN PG_SILVER."&amp;G6&amp;"."&amp;H6&amp;" IS '"&amp;K6&amp;"';"</f>
        <v/>
      </c>
    </row>
    <row r="7" ht="14.25" customHeight="1" s="335">
      <c r="A7" s="433" t="inlineStr">
        <is>
          <t>PG_BRONZE</t>
        </is>
      </c>
      <c r="B7" s="433" t="inlineStr">
        <is>
          <t>T24CORE_CURRENCY</t>
        </is>
      </c>
      <c r="C7" s="433" t="inlineStr">
        <is>
          <t>ID</t>
        </is>
      </c>
      <c r="D7" s="433" t="inlineStr">
        <is>
          <t>1:1</t>
        </is>
      </c>
      <c r="E7" s="433" t="inlineStr">
        <is>
          <t>Currency</t>
        </is>
      </c>
      <c r="F7" s="433" t="inlineStr">
        <is>
          <t>Currency Code</t>
        </is>
      </c>
      <c r="G7" s="558" t="inlineStr">
        <is>
          <t>CCY</t>
        </is>
      </c>
      <c r="H7" s="558" t="inlineStr">
        <is>
          <t>CCY_CODE</t>
        </is>
      </c>
      <c r="I7" s="415" t="inlineStr">
        <is>
          <t>VARCHAR2</t>
        </is>
      </c>
      <c r="J7" s="415" t="n">
        <v>20</v>
      </c>
      <c r="K7" s="433" t="inlineStr">
        <is>
          <t>Mã loại tiền</t>
        </is>
      </c>
      <c r="M7" s="334">
        <f>"COMMENT ON COLUMN PG_SILVER."&amp;G7&amp;"."&amp;H7&amp;" IS '"&amp;K7&amp;"';"</f>
        <v/>
      </c>
    </row>
    <row r="8" ht="14.25" customHeight="1" s="335">
      <c r="A8" s="433" t="inlineStr">
        <is>
          <t>PG_BRONZE</t>
        </is>
      </c>
      <c r="B8" s="433" t="inlineStr">
        <is>
          <t>T24CORE_CURRENCY</t>
        </is>
      </c>
      <c r="C8" s="433" t="inlineStr">
        <is>
          <t>CCY_NAME</t>
        </is>
      </c>
      <c r="D8" s="433" t="inlineStr">
        <is>
          <t>1:1</t>
        </is>
      </c>
      <c r="E8" s="433" t="inlineStr">
        <is>
          <t>Currency</t>
        </is>
      </c>
      <c r="F8" s="433" t="inlineStr">
        <is>
          <t>Currency Name</t>
        </is>
      </c>
      <c r="G8" s="558" t="inlineStr">
        <is>
          <t>CCY</t>
        </is>
      </c>
      <c r="H8" s="558" t="inlineStr">
        <is>
          <t>CCY_NM</t>
        </is>
      </c>
      <c r="I8" s="415" t="inlineStr">
        <is>
          <t>VARCHAR2</t>
        </is>
      </c>
      <c r="J8" s="415" t="n">
        <v>300</v>
      </c>
      <c r="K8" s="433" t="inlineStr">
        <is>
          <t>Tên loại tiền</t>
        </is>
      </c>
      <c r="M8" s="334">
        <f>"COMMENT ON COLUMN PG_SILVER."&amp;G8&amp;"."&amp;H8&amp;" IS '"&amp;K8&amp;"';"</f>
        <v/>
      </c>
    </row>
    <row r="9" ht="14.25" customHeight="1" s="335">
      <c r="A9" s="433" t="inlineStr">
        <is>
          <t>PG_BRONZE</t>
        </is>
      </c>
      <c r="B9" s="433" t="inlineStr">
        <is>
          <t>T24CORE_CURRENCY</t>
        </is>
      </c>
      <c r="C9" s="433" t="inlineStr">
        <is>
          <t>NUMERIC_CCY_CODE</t>
        </is>
      </c>
      <c r="D9" s="433" t="inlineStr">
        <is>
          <t>1:1</t>
        </is>
      </c>
      <c r="E9" s="433" t="inlineStr">
        <is>
          <t>Currency</t>
        </is>
      </c>
      <c r="F9" s="433" t="inlineStr">
        <is>
          <t>Numeric Currency Code</t>
        </is>
      </c>
      <c r="G9" s="558" t="inlineStr">
        <is>
          <t>CCY</t>
        </is>
      </c>
      <c r="H9" s="558" t="inlineStr">
        <is>
          <t>NUMERIC_CCY_CODE</t>
        </is>
      </c>
      <c r="I9" s="415" t="inlineStr">
        <is>
          <t>VARCHAR2</t>
        </is>
      </c>
      <c r="J9" s="415" t="n">
        <v>20</v>
      </c>
      <c r="K9" s="433" t="inlineStr">
        <is>
          <t>Mã tiền tệ dạng số</t>
        </is>
      </c>
      <c r="M9" s="334">
        <f>"COMMENT ON COLUMN PG_SILVER."&amp;G9&amp;"."&amp;H9&amp;" IS '"&amp;K9&amp;"';"</f>
        <v/>
      </c>
    </row>
    <row r="10" ht="27" customHeight="1" s="335">
      <c r="A10" s="334" t="inlineStr">
        <is>
          <t>PG_BRONZE</t>
        </is>
      </c>
      <c r="B10" s="334" t="inlineStr">
        <is>
          <t>T24CORE_CURRENCY</t>
        </is>
      </c>
      <c r="C10" s="334" t="inlineStr">
        <is>
          <t>ID</t>
        </is>
      </c>
      <c r="D10" s="441" t="inlineStr">
        <is>
          <t>'T24_CURRENCY'</t>
        </is>
      </c>
      <c r="E10" s="558" t="inlineStr">
        <is>
          <t>Currency</t>
        </is>
      </c>
      <c r="F10" s="334" t="inlineStr">
        <is>
          <t>Source System Code</t>
        </is>
      </c>
      <c r="G10" s="558" t="inlineStr">
        <is>
          <t>CCY</t>
        </is>
      </c>
      <c r="H10" s="415" t="inlineStr">
        <is>
          <t>SRC_STM_CODE</t>
        </is>
      </c>
      <c r="I10" s="415" t="inlineStr">
        <is>
          <t>VARCHAR2</t>
        </is>
      </c>
      <c r="J10" s="415" t="n">
        <v>20</v>
      </c>
      <c r="K10" s="433" t="inlineStr">
        <is>
          <t>Mã nguồn dữ liệu</t>
        </is>
      </c>
      <c r="M10" s="334">
        <f>"COMMENT ON COLUMN PG_SILVER."&amp;G10&amp;"."&amp;H10&amp;" IS '"&amp;K10&amp;"';"</f>
        <v/>
      </c>
      <c r="N10" s="414" t="inlineStr">
        <is>
          <t>Sửa thành `'T24_CURRENCY'`.</t>
        </is>
      </c>
    </row>
    <row r="11" ht="14.25" customHeight="1" s="335">
      <c r="A11" s="334" t="inlineStr">
        <is>
          <t>PG_BRONZE</t>
        </is>
      </c>
      <c r="B11" s="334" t="inlineStr">
        <is>
          <t>T24CORE_CURRENCY</t>
        </is>
      </c>
      <c r="C11" s="334" t="inlineStr">
        <is>
          <t>ID</t>
        </is>
      </c>
      <c r="D11" s="415" t="inlineStr">
        <is>
          <t>ETL_DATE if not exists CCY_ID</t>
        </is>
      </c>
      <c r="E11" s="433" t="inlineStr">
        <is>
          <t>Currency</t>
        </is>
      </c>
      <c r="F11" s="415" t="inlineStr">
        <is>
          <t>System Effective Date</t>
        </is>
      </c>
      <c r="G11" s="558" t="inlineStr">
        <is>
          <t>CCY</t>
        </is>
      </c>
      <c r="H11" s="415" t="inlineStr">
        <is>
          <t>SYS_EFF_DT</t>
        </is>
      </c>
      <c r="I11" s="415" t="inlineStr">
        <is>
          <t>DATE</t>
        </is>
      </c>
      <c r="J11" s="415" t="n"/>
      <c r="K11" s="415" t="inlineStr">
        <is>
          <t>Ngày bản ghi lần đầu tiên vào hệ thống</t>
        </is>
      </c>
      <c r="M11" s="334">
        <f>"COMMENT ON COLUMN PG_SILVER."&amp;G11&amp;"."&amp;H11&amp;" IS '"&amp;K11&amp;"';"</f>
        <v/>
      </c>
    </row>
    <row r="12" ht="14.25" customHeight="1" s="335">
      <c r="A12" s="334" t="inlineStr">
        <is>
          <t>PG_BRONZE</t>
        </is>
      </c>
      <c r="B12" s="334" t="inlineStr">
        <is>
          <t>T24CORE_CURRENCY</t>
        </is>
      </c>
      <c r="C12" s="334" t="inlineStr">
        <is>
          <t>ID</t>
        </is>
      </c>
      <c r="D12" s="415" t="inlineStr">
        <is>
          <t>ETL_DATE if ID was deleted</t>
        </is>
      </c>
      <c r="E12" s="433" t="inlineStr">
        <is>
          <t>Currency</t>
        </is>
      </c>
      <c r="F12" s="415" t="inlineStr">
        <is>
          <t>System Expiry Date</t>
        </is>
      </c>
      <c r="G12" s="558" t="inlineStr">
        <is>
          <t>CCY</t>
        </is>
      </c>
      <c r="H12" s="415" t="inlineStr">
        <is>
          <t>SYS_EXP_DT</t>
        </is>
      </c>
      <c r="I12" s="415" t="inlineStr">
        <is>
          <t>DATE</t>
        </is>
      </c>
      <c r="J12" s="415" t="n"/>
      <c r="K12" s="415" t="inlineStr">
        <is>
          <t>Ngày hết hạn của bản ghi</t>
        </is>
      </c>
      <c r="M12" s="334">
        <f>"COMMENT ON COLUMN PG_SILVER."&amp;G12&amp;"."&amp;H12&amp;" IS '"&amp;K12&amp;"';"</f>
        <v/>
      </c>
    </row>
    <row r="13" ht="14.25" customHeight="1" s="335">
      <c r="A13" s="334" t="inlineStr">
        <is>
          <t>PG_BRONZE</t>
        </is>
      </c>
      <c r="B13" s="334" t="inlineStr">
        <is>
          <t>T24CORE_CURRENCY</t>
        </is>
      </c>
      <c r="C13" s="334" t="inlineStr">
        <is>
          <t>DATE_TIME</t>
        </is>
      </c>
      <c r="D13" s="415" t="inlineStr">
        <is>
          <t>ETL_DATE</t>
        </is>
      </c>
      <c r="E13" s="433" t="inlineStr">
        <is>
          <t>Currency</t>
        </is>
      </c>
      <c r="F13" s="415" t="inlineStr">
        <is>
          <t>System Update Date</t>
        </is>
      </c>
      <c r="G13" s="558" t="inlineStr">
        <is>
          <t>CCY</t>
        </is>
      </c>
      <c r="H13" s="415" t="inlineStr">
        <is>
          <t>SYS_UDT_DT</t>
        </is>
      </c>
      <c r="I13" s="415" t="inlineStr">
        <is>
          <t>DATE</t>
        </is>
      </c>
      <c r="J13" s="415" t="n"/>
      <c r="K13" s="415" t="inlineStr">
        <is>
          <t>Ngày update dữ liệu gần nhất</t>
        </is>
      </c>
      <c r="M13" s="334">
        <f>"COMMENT ON COLUMN PG_SILVER."&amp;G13&amp;"."&amp;H13&amp;" IS '"&amp;K13&amp;"';"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N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2" customWidth="1" style="334" min="1" max="1"/>
    <col width="21.56" customWidth="1" style="334" min="2" max="2"/>
    <col width="8.67" customWidth="1" style="334" min="3" max="3"/>
    <col width="25.11" customWidth="1" style="334" min="4" max="4"/>
    <col width="7.56" customWidth="1" style="334" min="5" max="5"/>
    <col width="20.56" customWidth="1" style="334" min="6" max="6"/>
    <col width="6.44" customWidth="1" style="334" min="7" max="7"/>
    <col width="20" customWidth="1" style="334" min="8" max="8"/>
    <col width="34" customWidth="1" style="334" min="11" max="11"/>
    <col width="55" customWidth="1" style="334" min="14" max="14"/>
  </cols>
  <sheetData>
    <row r="1" ht="14.25" customHeight="1" s="335">
      <c r="A1" s="432" t="inlineStr">
        <is>
          <t>TYPE : SCD TYPE 1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PG_BRONZE</t>
        </is>
      </c>
      <c r="B3" s="646" t="inlineStr">
        <is>
          <t>T24CORE_LIMIT</t>
        </is>
      </c>
      <c r="C3" s="433" t="inlineStr">
        <is>
          <t>l</t>
        </is>
      </c>
      <c r="D3" s="443" t="inlineStr">
        <is>
          <t>WHERE l.ETL_DATE = ${ETL_DATE} -- Bảng danh mục Hạn mức tín dụng</t>
        </is>
      </c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500" t="n"/>
      <c r="B4" s="500" t="n"/>
      <c r="C4" s="500" t="n"/>
      <c r="D4" s="500" t="n"/>
      <c r="E4" s="500" t="n"/>
      <c r="F4" s="500" t="n"/>
      <c r="G4" s="500" t="n"/>
      <c r="H4" s="500" t="n"/>
      <c r="I4" s="500" t="n"/>
      <c r="J4" s="500" t="n"/>
      <c r="K4" s="500" t="n"/>
    </row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13" t="inlineStr">
        <is>
          <t>Ghi chú kỹ thuật &amp; Business Rule</t>
        </is>
      </c>
    </row>
    <row r="6" ht="14.25" customHeight="1" s="335">
      <c r="A6" s="433" t="inlineStr">
        <is>
          <t>PG_BRONZE</t>
        </is>
      </c>
      <c r="B6" s="433" t="inlineStr">
        <is>
          <t>T24CORE_LIMIT</t>
        </is>
      </c>
      <c r="C6" s="433" t="inlineStr">
        <is>
          <t>RECID</t>
        </is>
      </c>
      <c r="D6" s="433" t="inlineStr">
        <is>
          <t>fn_hash("T24_LIMIT", l.RECID)</t>
        </is>
      </c>
      <c r="E6" s="433" t="inlineStr">
        <is>
          <t>Limit</t>
        </is>
      </c>
      <c r="F6" s="433" t="inlineStr">
        <is>
          <t>Limit ID</t>
        </is>
      </c>
      <c r="G6" s="558" t="inlineStr">
        <is>
          <t>LMT</t>
        </is>
      </c>
      <c r="H6" s="558" t="inlineStr">
        <is>
          <t>LMT_ID</t>
        </is>
      </c>
      <c r="I6" s="415" t="inlineStr">
        <is>
          <t>CHAR</t>
        </is>
      </c>
      <c r="J6" s="415" t="n">
        <v>32</v>
      </c>
      <c r="K6" s="415" t="inlineStr">
        <is>
          <t>ID của hạn mức</t>
        </is>
      </c>
      <c r="M6" s="334">
        <f>"COMMENT ON COLUMN PG_SILVER."&amp;G6&amp;"."&amp;H6&amp;" IS '"&amp;SUBSTITUTE(K6,"'","''")&amp;"';"</f>
        <v/>
      </c>
    </row>
    <row r="7" ht="14.25" customHeight="1" s="335">
      <c r="A7" s="433" t="inlineStr">
        <is>
          <t>PG_BRONZE</t>
        </is>
      </c>
      <c r="B7" s="433" t="inlineStr">
        <is>
          <t>T24CORE_LIMIT</t>
        </is>
      </c>
      <c r="C7" s="433" t="inlineStr">
        <is>
          <t>RECID</t>
        </is>
      </c>
      <c r="D7" s="433" t="inlineStr">
        <is>
          <t>1:1</t>
        </is>
      </c>
      <c r="E7" s="433" t="inlineStr">
        <is>
          <t>Limit</t>
        </is>
      </c>
      <c r="F7" s="433" t="inlineStr">
        <is>
          <t>Limit Code</t>
        </is>
      </c>
      <c r="G7" s="558" t="inlineStr">
        <is>
          <t>LMT</t>
        </is>
      </c>
      <c r="H7" s="558" t="inlineStr">
        <is>
          <t>LMT_CODE</t>
        </is>
      </c>
      <c r="I7" s="415" t="inlineStr">
        <is>
          <t>VARCHAR2</t>
        </is>
      </c>
      <c r="J7" s="415" t="n">
        <v>32</v>
      </c>
      <c r="K7" s="433" t="inlineStr">
        <is>
          <t>Mã hạn mức</t>
        </is>
      </c>
      <c r="M7" s="334">
        <f>"COMMENT ON COLUMN PG_SILVER."&amp;G7&amp;"."&amp;H7&amp;" IS '"&amp;SUBSTITUTE(K7,"'","''")&amp;"';"</f>
        <v/>
      </c>
    </row>
    <row r="8" ht="14.25" customHeight="1" s="335">
      <c r="A8" s="433" t="inlineStr">
        <is>
          <t>PG_BRONZE</t>
        </is>
      </c>
      <c r="B8" s="433" t="inlineStr">
        <is>
          <t>T24CORE_LIMIT</t>
        </is>
      </c>
      <c r="C8" s="433" t="inlineStr">
        <is>
          <t>LIMIT_PRODUCT</t>
        </is>
      </c>
      <c r="D8" s="433" t="inlineStr">
        <is>
          <t>1:1</t>
        </is>
      </c>
      <c r="E8" s="433" t="inlineStr">
        <is>
          <t>Limit</t>
        </is>
      </c>
      <c r="F8" s="433" t="inlineStr">
        <is>
          <t>Limit Description</t>
        </is>
      </c>
      <c r="G8" s="558" t="inlineStr">
        <is>
          <t>LMT</t>
        </is>
      </c>
      <c r="H8" s="558" t="inlineStr">
        <is>
          <t>LMT_DSC</t>
        </is>
      </c>
      <c r="I8" s="415" t="inlineStr">
        <is>
          <t>VARCHAR2</t>
        </is>
      </c>
      <c r="J8" s="415" t="n">
        <v>300</v>
      </c>
      <c r="K8" s="433" t="inlineStr">
        <is>
          <t>Mô tả hạn mức</t>
        </is>
      </c>
      <c r="M8" s="334">
        <f>"COMMENT ON COLUMN PG_SILVER."&amp;G8&amp;"."&amp;H8&amp;" IS '"&amp;SUBSTITUTE(K8,"'","''")&amp;"';"</f>
        <v/>
      </c>
      <c r="N8" s="334" t="inlineStr">
        <is>
          <t>Map 1:1 từ T24CORE_LIMIT.LIMIT_PRODUCT sang LMT_DSC.</t>
        </is>
      </c>
    </row>
    <row r="9" ht="27" customHeight="1" s="335">
      <c r="A9" s="433" t="inlineStr">
        <is>
          <t>PG_BRONZE</t>
        </is>
      </c>
      <c r="B9" s="433" t="inlineStr">
        <is>
          <t>T24CORE_LIMIT</t>
        </is>
      </c>
      <c r="C9" s="433" t="inlineStr">
        <is>
          <t>INTERNAL_AMOUNT</t>
        </is>
      </c>
      <c r="D9" s="433" t="inlineStr">
        <is>
          <t>1:1</t>
        </is>
      </c>
      <c r="E9" s="433" t="inlineStr">
        <is>
          <t>Limit</t>
        </is>
      </c>
      <c r="F9" s="433" t="inlineStr">
        <is>
          <t>Internal Limit Amount</t>
        </is>
      </c>
      <c r="G9" s="558" t="inlineStr">
        <is>
          <t>LMT</t>
        </is>
      </c>
      <c r="H9" s="558" t="inlineStr">
        <is>
          <t>INR_LMT_AMT</t>
        </is>
      </c>
      <c r="I9" s="415" t="inlineStr">
        <is>
          <t>NUMBER</t>
        </is>
      </c>
      <c r="J9" s="415" t="n">
        <v>25.5</v>
      </c>
      <c r="K9" s="433" t="inlineStr">
        <is>
          <t>Số tiền hạn mức nội bộ được cấp</t>
        </is>
      </c>
      <c r="L9" s="334" t="inlineStr">
        <is>
          <t>INR_LMT_AMT</t>
        </is>
      </c>
      <c r="M9" s="334">
        <f>"COMMENT ON COLUMN PG_SILVER."&amp;G9&amp;"."&amp;H9&amp;" IS '"&amp;SUBSTITUTE(K9,"'","''")&amp;"';"</f>
        <v/>
      </c>
      <c r="N9" s="334" t="inlineStr">
        <is>
          <t>Bổ sung ánh xạ 1:1 từ T24CORE_LIMIT.INTERNAL_AMOUNT</t>
        </is>
      </c>
    </row>
    <row r="10" ht="14.25" customHeight="1" s="335">
      <c r="A10" s="433" t="inlineStr">
        <is>
          <t>PG_BRONZE</t>
        </is>
      </c>
      <c r="B10" s="433" t="inlineStr">
        <is>
          <t>T24CORE_LIMIT</t>
        </is>
      </c>
      <c r="C10" s="433" t="inlineStr">
        <is>
          <t>MAXIMUM_TOTAL</t>
        </is>
      </c>
      <c r="D10" s="433" t="inlineStr">
        <is>
          <t>1:1</t>
        </is>
      </c>
      <c r="E10" s="433" t="inlineStr">
        <is>
          <t>Limit</t>
        </is>
      </c>
      <c r="F10" s="433" t="inlineStr">
        <is>
          <t>Maximum Total Limit</t>
        </is>
      </c>
      <c r="G10" s="558" t="inlineStr">
        <is>
          <t>LMT</t>
        </is>
      </c>
      <c r="H10" s="558" t="inlineStr">
        <is>
          <t>MAX_TOT_LMT</t>
        </is>
      </c>
      <c r="I10" s="415" t="inlineStr">
        <is>
          <t>NUMBER</t>
        </is>
      </c>
      <c r="J10" s="415" t="n">
        <v>25.5</v>
      </c>
      <c r="K10" s="433" t="inlineStr">
        <is>
          <t>Tổng hạn mức tối đa được phê duyệt</t>
        </is>
      </c>
      <c r="L10" s="334" t="inlineStr">
        <is>
          <t>MAX_TOT_LMT</t>
        </is>
      </c>
      <c r="M10" s="334">
        <f>"COMMENT ON COLUMN PG_SILVER."&amp;G10&amp;"."&amp;H10&amp;" IS '"&amp;SUBSTITUTE(K10,"'","''")&amp;"';"</f>
        <v/>
      </c>
      <c r="N10" s="334" t="inlineStr">
        <is>
          <t>Bổ sung ánh xạ 1:1 từ T24CORE_LIMIT.MAXIMUM_TOTAL</t>
        </is>
      </c>
    </row>
    <row r="11" ht="14.25" customHeight="1" s="335">
      <c r="A11" s="433" t="inlineStr">
        <is>
          <t>PG_BRONZE</t>
        </is>
      </c>
      <c r="B11" s="433" t="inlineStr">
        <is>
          <t>T24CORE_LIMIT</t>
        </is>
      </c>
      <c r="C11" s="433" t="inlineStr">
        <is>
          <t>ONLINE_LIMIT_DATE</t>
        </is>
      </c>
      <c r="D11" s="433" t="inlineStr">
        <is>
          <t>1:1</t>
        </is>
      </c>
      <c r="E11" s="433" t="inlineStr">
        <is>
          <t>Limit</t>
        </is>
      </c>
      <c r="F11" s="433" t="inlineStr">
        <is>
          <t>Online Limit Effective Date</t>
        </is>
      </c>
      <c r="G11" s="558" t="inlineStr">
        <is>
          <t>LMT</t>
        </is>
      </c>
      <c r="H11" s="558" t="inlineStr">
        <is>
          <t>ONL_LMT_DT</t>
        </is>
      </c>
      <c r="I11" s="415" t="inlineStr">
        <is>
          <t>DATE</t>
        </is>
      </c>
      <c r="J11" s="415" t="n"/>
      <c r="K11" s="433" t="inlineStr">
        <is>
          <t>Ngày hiệu lực hạn mức trực tuyến</t>
        </is>
      </c>
      <c r="L11" s="334" t="inlineStr">
        <is>
          <t>ONL_LMT_DT</t>
        </is>
      </c>
      <c r="M11" s="334">
        <f>"COMMENT ON COLUMN PG_SILVER."&amp;G11&amp;"."&amp;H11&amp;" IS '"&amp;SUBSTITUTE(K11,"'","''")&amp;"';"</f>
        <v/>
      </c>
      <c r="N11" s="334" t="inlineStr">
        <is>
          <t>Bổ sung ánh xạ 1:1 từ T24CORE_LIMIT.ONLINE_LIMIT_DATE</t>
        </is>
      </c>
    </row>
    <row r="12" ht="14.25" customHeight="1" s="335">
      <c r="A12" s="433" t="inlineStr">
        <is>
          <t>PG_BRONZE</t>
        </is>
      </c>
      <c r="B12" s="433" t="inlineStr">
        <is>
          <t>T24CORE_LIMIT</t>
        </is>
      </c>
      <c r="C12" s="433" t="inlineStr">
        <is>
          <t>EXPIRY_DATE</t>
        </is>
      </c>
      <c r="D12" s="433" t="inlineStr">
        <is>
          <t>1:1</t>
        </is>
      </c>
      <c r="E12" s="433" t="inlineStr">
        <is>
          <t>Limit</t>
        </is>
      </c>
      <c r="F12" s="433" t="inlineStr">
        <is>
          <t>Limit Expiry Date</t>
        </is>
      </c>
      <c r="G12" s="558" t="inlineStr">
        <is>
          <t>LMT</t>
        </is>
      </c>
      <c r="H12" s="558" t="inlineStr">
        <is>
          <t>LMT_EXP_DT</t>
        </is>
      </c>
      <c r="I12" s="415" t="inlineStr">
        <is>
          <t>DATE</t>
        </is>
      </c>
      <c r="J12" s="415" t="n"/>
      <c r="K12" s="433" t="inlineStr">
        <is>
          <t>Ngày hết hạn hạn mức tín dụng</t>
        </is>
      </c>
      <c r="L12" s="334" t="inlineStr">
        <is>
          <t>LMT_EXP_DT</t>
        </is>
      </c>
      <c r="M12" s="334">
        <f>"COMMENT ON COLUMN PG_SILVER."&amp;G12&amp;"."&amp;H12&amp;" IS '"&amp;SUBSTITUTE(K12,"'","''")&amp;"';"</f>
        <v/>
      </c>
      <c r="N12" s="334" t="inlineStr">
        <is>
          <t>Bổ sung ánh xạ 1:1 từ T24CORE_LIMIT.EXPIRY_DATE</t>
        </is>
      </c>
    </row>
    <row r="13" ht="14.25" customHeight="1" s="335">
      <c r="A13" s="433" t="inlineStr">
        <is>
          <t>PG_BRONZE</t>
        </is>
      </c>
      <c r="B13" s="433" t="inlineStr">
        <is>
          <t>T24CORE_LIMIT</t>
        </is>
      </c>
      <c r="C13" s="433" t="inlineStr">
        <is>
          <t>RECID</t>
        </is>
      </c>
      <c r="D13" s="441" t="inlineStr">
        <is>
          <t>'T24_LIMIT'</t>
        </is>
      </c>
      <c r="E13" s="433" t="inlineStr">
        <is>
          <t>Limit</t>
        </is>
      </c>
      <c r="F13" s="334" t="inlineStr">
        <is>
          <t>Source System Code</t>
        </is>
      </c>
      <c r="G13" s="558" t="inlineStr">
        <is>
          <t>LMT</t>
        </is>
      </c>
      <c r="H13" s="415" t="inlineStr">
        <is>
          <t>SRC_STM_CODE</t>
        </is>
      </c>
      <c r="I13" s="415" t="inlineStr">
        <is>
          <t>VARCHAR2</t>
        </is>
      </c>
      <c r="J13" s="415" t="n">
        <v>20</v>
      </c>
      <c r="K13" s="433" t="inlineStr">
        <is>
          <t>Mã nguồn dữ liệu</t>
        </is>
      </c>
      <c r="M13" s="334">
        <f>"COMMENT ON COLUMN PG_SILVER."&amp;G13&amp;"."&amp;H13&amp;" IS '"&amp;SUBSTITUTE(K13,"'","''")&amp;"';"</f>
        <v/>
      </c>
      <c r="N13" s="414" t="inlineStr">
        <is>
          <t>Sửa thành `'T24_LIMIT'`.</t>
        </is>
      </c>
    </row>
    <row r="14" ht="14.25" customHeight="1" s="335">
      <c r="A14" s="433" t="inlineStr">
        <is>
          <t>PG_BRONZE</t>
        </is>
      </c>
      <c r="B14" s="433" t="inlineStr">
        <is>
          <t>T24CORE_LIMIT</t>
        </is>
      </c>
      <c r="C14" s="433" t="inlineStr">
        <is>
          <t>RECID</t>
        </is>
      </c>
      <c r="D14" s="433" t="inlineStr">
        <is>
          <t>ETL_DATE if not exists LMT_ID</t>
        </is>
      </c>
      <c r="E14" s="433" t="inlineStr">
        <is>
          <t>Limit</t>
        </is>
      </c>
      <c r="F14" s="433" t="inlineStr">
        <is>
          <t>System Effective Date</t>
        </is>
      </c>
      <c r="G14" s="558" t="inlineStr">
        <is>
          <t>LMT</t>
        </is>
      </c>
      <c r="H14" s="415" t="inlineStr">
        <is>
          <t>SYS_EFF_DT</t>
        </is>
      </c>
      <c r="I14" s="415" t="inlineStr">
        <is>
          <t>DATE</t>
        </is>
      </c>
      <c r="K14" s="415" t="inlineStr">
        <is>
          <t>Ngày hiệu lực bản ghi</t>
        </is>
      </c>
      <c r="M14" s="415">
        <f>"COMMENT ON COLUMN PG_SILVER."&amp;G14&amp;"."&amp;H14&amp;" IS '"&amp;SUBSTITUTE(K14,"'","''")&amp;"';"</f>
        <v/>
      </c>
    </row>
    <row r="15" ht="14.25" customHeight="1" s="335">
      <c r="A15" s="433" t="inlineStr">
        <is>
          <t>PG_BRONZE</t>
        </is>
      </c>
      <c r="B15" s="433" t="inlineStr">
        <is>
          <t>T24CORE_LIMIT</t>
        </is>
      </c>
      <c r="C15" s="433" t="inlineStr">
        <is>
          <t>RECID</t>
        </is>
      </c>
      <c r="D15" s="433" t="inlineStr">
        <is>
          <t>ETL_DATE if RECID was deleted</t>
        </is>
      </c>
      <c r="E15" s="433" t="inlineStr">
        <is>
          <t>Limit</t>
        </is>
      </c>
      <c r="F15" s="433" t="inlineStr">
        <is>
          <t>System Expiry Date</t>
        </is>
      </c>
      <c r="G15" s="558" t="inlineStr">
        <is>
          <t>LMT</t>
        </is>
      </c>
      <c r="H15" s="415" t="inlineStr">
        <is>
          <t>SYS_EXP_DT</t>
        </is>
      </c>
      <c r="I15" s="415" t="inlineStr">
        <is>
          <t>DATE</t>
        </is>
      </c>
      <c r="K15" s="415" t="inlineStr">
        <is>
          <t>Ngày hết hiệu lực bản ghi</t>
        </is>
      </c>
      <c r="M15" s="415">
        <f>"COMMENT ON COLUMN PG_SILVER."&amp;G15&amp;"."&amp;H15&amp;" IS '"&amp;SUBSTITUTE(K15,"'","''")&amp;"';"</f>
        <v/>
      </c>
    </row>
    <row r="16" ht="14.25" customHeight="1" s="335">
      <c r="A16" s="334" t="inlineStr">
        <is>
          <t>PG_BRONZE</t>
        </is>
      </c>
      <c r="B16" s="334" t="inlineStr">
        <is>
          <t>T24CORE_LIMIT</t>
        </is>
      </c>
      <c r="C16" s="334" t="inlineStr">
        <is>
          <t>ONLINE_LIMIT_DATE</t>
        </is>
      </c>
      <c r="D16" s="334" t="inlineStr">
        <is>
          <t>ETL_DATE</t>
        </is>
      </c>
      <c r="E16" s="334" t="inlineStr">
        <is>
          <t>Limit</t>
        </is>
      </c>
      <c r="F16" s="334" t="inlineStr">
        <is>
          <t>System Update Date</t>
        </is>
      </c>
      <c r="G16" s="334" t="inlineStr">
        <is>
          <t>LMT</t>
        </is>
      </c>
      <c r="H16" s="415" t="inlineStr">
        <is>
          <t>SYS_UDT_DT</t>
        </is>
      </c>
      <c r="I16" s="334" t="inlineStr">
        <is>
          <t>DATE</t>
        </is>
      </c>
      <c r="K16" s="415" t="inlineStr">
        <is>
          <t>Ngày cập nhật bản ghi</t>
        </is>
      </c>
      <c r="M16" s="415">
        <f>"COMMENT ON COLUMN PG_SILVER."&amp;G16&amp;"."&amp;H16&amp;" IS '"&amp;SUBSTITUTE(K16,"'","''")&amp;"';"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N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6.56" customWidth="1" style="334" min="1" max="1"/>
    <col width="41.56" customWidth="1" style="334" min="2" max="2"/>
    <col width="39.44" customWidth="1" style="334" min="3" max="3"/>
    <col width="67.11" customWidth="1" style="334" min="4" max="4"/>
    <col width="18.88" customWidth="1" style="334" min="5" max="5"/>
    <col width="30.44" customWidth="1" style="334" min="6" max="6"/>
    <col width="9.67" customWidth="1" style="334" min="7" max="7"/>
    <col width="26.11" customWidth="1" style="334" min="8" max="8"/>
    <col width="12.11" customWidth="1" style="334" min="9" max="9"/>
    <col width="6.67" customWidth="1" style="334" min="10" max="10"/>
    <col width="34" customWidth="1" style="334" min="11" max="11"/>
    <col width="55" customWidth="1" style="334" min="14" max="14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PG_BRONZE</t>
        </is>
      </c>
      <c r="B3" s="433" t="inlineStr">
        <is>
          <t>T24CORE_LD_LOANS_AND_DEPOSITS</t>
        </is>
      </c>
      <c r="C3" s="433" t="inlineStr">
        <is>
          <t>ld</t>
        </is>
      </c>
      <c r="D3" s="443" t="n"/>
      <c r="E3" s="435" t="n"/>
      <c r="F3" s="435" t="n"/>
      <c r="G3" s="435" t="n"/>
      <c r="H3" s="435" t="n"/>
      <c r="I3" s="435" t="n"/>
      <c r="J3" s="435" t="n"/>
      <c r="K3" s="435" t="n"/>
    </row>
    <row r="4" ht="57" customHeight="1" s="335">
      <c r="A4" s="433" t="inlineStr">
        <is>
          <t>PG_BRONZE</t>
        </is>
      </c>
      <c r="B4" s="433" t="inlineStr">
        <is>
          <t>FLEXBO_PGB_LDTB_CONTRACT_MASTER</t>
        </is>
      </c>
      <c r="C4" s="443" t="inlineStr">
        <is>
          <t>m</t>
        </is>
      </c>
      <c r="D4" s="443" t="inlineStr">
        <is>
          <t>(LEFT JOIN) ON ld.ACC_FCC =  m.CONTRACT_REF_NO AND m.VERSION_NO =  ( SELECT max(ldm.VERSION_NO) 
FROM PG_BRONZE.FLEXBO_PGB_LDTB_CONTRACT_MASTER ldm
WHERE ldm.CONTRACT_REF_NO =  m.CONTRACT_REF_NO )</t>
        </is>
      </c>
      <c r="E4" s="435" t="n"/>
      <c r="F4" s="435" t="n"/>
      <c r="G4" s="435" t="n"/>
      <c r="H4" s="435" t="n"/>
      <c r="I4" s="435" t="n"/>
      <c r="J4" s="435" t="n"/>
      <c r="K4" s="435" t="n"/>
    </row>
    <row r="5" ht="42.75" customHeight="1" s="335">
      <c r="A5" s="415" t="inlineStr">
        <is>
          <t>PG_BRONZE</t>
        </is>
      </c>
      <c r="B5" s="415" t="inlineStr">
        <is>
          <t>FLEXBO_PGB_LOS_CONTRACT_FIELDS_TDATE</t>
        </is>
      </c>
      <c r="C5" s="433" t="inlineStr">
        <is>
          <t>td</t>
        </is>
      </c>
      <c r="D5" s="443" t="inlineStr">
        <is>
          <t>(LEFT JOIN) ON ld.RECID = td.CONTRACT_REF_NO
       AND td.MOV_DATE = TO_DATE(COALESCE(ld.ORIG_VAL_DATE,ld.VALUE_DATE), 'YYYYMMDD')</t>
        </is>
      </c>
      <c r="E5" s="435" t="n"/>
      <c r="F5" s="435" t="n"/>
      <c r="G5" s="435" t="n"/>
      <c r="H5" s="435" t="n"/>
      <c r="I5" s="435" t="n"/>
      <c r="J5" s="435" t="n"/>
      <c r="K5" s="435" t="n"/>
    </row>
    <row r="6" ht="72" customHeight="1" s="335">
      <c r="A6" s="415" t="inlineStr">
        <is>
          <t>PG_BRONZE</t>
        </is>
      </c>
      <c r="B6" s="415" t="inlineStr">
        <is>
          <t>LOS_APP_LOAN_DISBURSEMENT</t>
        </is>
      </c>
      <c r="C6" s="433" t="inlineStr">
        <is>
          <t>ld_los</t>
        </is>
      </c>
      <c r="D6" s="443" t="inlineStr">
        <is>
          <t>(LEFT JOIN) ON ld_los.EXT_REF_NO_1 = ld.RECID 
            AND ld_los.AMND_STATE = 'F'  
            AND ld_los.STATUS IN ('A','U') 
            AND ld_los.BOOKING_DATE = TO_DATE(COALESCE(ld.ORIG_VAL_DATE,ld.VALUE_DATE), 'YYYYMMDD')</t>
        </is>
      </c>
      <c r="E6" s="435" t="n"/>
      <c r="F6" s="435" t="n"/>
      <c r="G6" s="435" t="n"/>
      <c r="H6" s="435" t="n"/>
      <c r="I6" s="435" t="n"/>
      <c r="J6" s="435" t="n"/>
      <c r="K6" s="435" t="n"/>
    </row>
    <row r="7" ht="14.25" customHeight="1" s="335">
      <c r="A7" s="415" t="inlineStr">
        <is>
          <t>PG_BRONZE</t>
        </is>
      </c>
      <c r="B7" s="415" t="inlineStr">
        <is>
          <t>LOS_APP_FACILITY</t>
        </is>
      </c>
      <c r="C7" s="433" t="inlineStr">
        <is>
          <t>los</t>
        </is>
      </c>
      <c r="D7" s="647" t="inlineStr">
        <is>
          <t>(LEFT JOIN) ld_los.FACILITY_ID = los.ID</t>
        </is>
      </c>
      <c r="E7" s="435" t="n"/>
      <c r="F7" s="435" t="n"/>
      <c r="G7" s="435" t="n"/>
      <c r="H7" s="435" t="n"/>
      <c r="I7" s="435" t="n"/>
      <c r="J7" s="435" t="n"/>
      <c r="K7" s="435" t="n"/>
    </row>
    <row r="8" ht="14.25" customHeight="1" s="335">
      <c r="A8" s="415" t="inlineStr">
        <is>
          <t>PG_BRONZE</t>
        </is>
      </c>
      <c r="B8" s="415" t="inlineStr">
        <is>
          <t>LOS_APP_PRODUCT</t>
        </is>
      </c>
      <c r="C8" s="433" t="inlineStr">
        <is>
          <t>pd_los</t>
        </is>
      </c>
      <c r="D8" s="648" t="inlineStr">
        <is>
          <t>(LEFT JOIN) los.PRODUCT_ID = pd_los.ID</t>
        </is>
      </c>
      <c r="E8" s="435" t="n"/>
      <c r="F8" s="435" t="n"/>
      <c r="G8" s="435" t="n"/>
      <c r="H8" s="435" t="n"/>
      <c r="I8" s="435" t="n"/>
      <c r="J8" s="435" t="n"/>
      <c r="K8" s="435" t="n"/>
    </row>
    <row r="9" ht="14.25" customHeight="1" s="335">
      <c r="A9" s="415" t="inlineStr">
        <is>
          <t>PG_BRONZE</t>
        </is>
      </c>
      <c r="B9" s="415" t="inlineStr">
        <is>
          <t>T24CORE_CUSTOMER</t>
        </is>
      </c>
      <c r="C9" s="435" t="inlineStr">
        <is>
          <t>i</t>
        </is>
      </c>
      <c r="D9" s="433" t="inlineStr">
        <is>
          <t>(left join) ON i.RECID = ld.CUSTOMER_ID</t>
        </is>
      </c>
      <c r="E9" s="435" t="n"/>
      <c r="F9" s="435" t="n"/>
      <c r="G9" s="435" t="n"/>
      <c r="H9" s="435" t="n"/>
      <c r="I9" s="435" t="n"/>
      <c r="J9" s="435" t="n"/>
      <c r="K9" s="435" t="n"/>
    </row>
    <row r="10" ht="14.25" customHeight="1" s="335">
      <c r="A10" s="500" t="n"/>
      <c r="B10" s="500" t="n"/>
      <c r="C10" s="500" t="n"/>
      <c r="D10" s="500" t="n"/>
      <c r="E10" s="500" t="n"/>
      <c r="F10" s="500" t="n"/>
      <c r="G10" s="500" t="n"/>
      <c r="H10" s="500" t="n"/>
      <c r="I10" s="500" t="n"/>
      <c r="J10" s="500" t="n"/>
      <c r="K10" s="500" t="n"/>
    </row>
    <row r="11" ht="14.25" customHeight="1" s="335">
      <c r="A11" s="432" t="inlineStr">
        <is>
          <t>Nguồn</t>
        </is>
      </c>
      <c r="B11" s="432" t="inlineStr">
        <is>
          <t>Bảng nguồn</t>
        </is>
      </c>
      <c r="C11" s="432" t="inlineStr">
        <is>
          <t>Cột nguồn</t>
        </is>
      </c>
      <c r="D11" s="432" t="inlineStr">
        <is>
          <t>Transform</t>
        </is>
      </c>
      <c r="E11" s="432" t="inlineStr">
        <is>
          <t>Entity</t>
        </is>
      </c>
      <c r="F11" s="432" t="inlineStr">
        <is>
          <t>Attribute</t>
        </is>
      </c>
      <c r="G11" s="432" t="inlineStr">
        <is>
          <t>Bảng đích</t>
        </is>
      </c>
      <c r="H11" s="432" t="inlineStr">
        <is>
          <t>Cột đích</t>
        </is>
      </c>
      <c r="I11" s="432" t="inlineStr">
        <is>
          <t>Kiểu dữ liệu</t>
        </is>
      </c>
      <c r="J11" s="432" t="inlineStr">
        <is>
          <t>Độ dài</t>
        </is>
      </c>
      <c r="K11" s="432" t="inlineStr">
        <is>
          <t>Diễn giải</t>
        </is>
      </c>
      <c r="L11" s="432" t="inlineStr">
        <is>
          <t>Glossary</t>
        </is>
      </c>
      <c r="M11" s="432" t="inlineStr">
        <is>
          <t>DDL Comment</t>
        </is>
      </c>
      <c r="N11" s="413" t="inlineStr">
        <is>
          <t>Ghi chú kỹ thuật &amp; Business Rule</t>
        </is>
      </c>
    </row>
    <row r="12" ht="14.25" customHeight="1" s="335">
      <c r="A12" s="334" t="inlineStr">
        <is>
          <t>PG_BRONZE</t>
        </is>
      </c>
      <c r="B12" s="438" t="inlineStr">
        <is>
          <t>T24CORE_LD_LOANS_AND_DEPOSITS</t>
        </is>
      </c>
      <c r="C12" s="334" t="inlineStr">
        <is>
          <t>RECID</t>
        </is>
      </c>
      <c r="D12" s="334" t="inlineStr">
        <is>
          <t>'T24_LD_LOANS_AND_DEPOSITS'</t>
        </is>
      </c>
      <c r="E12" s="558" t="inlineStr">
        <is>
          <t>Loan Arrangement</t>
        </is>
      </c>
      <c r="F12" s="415" t="inlineStr">
        <is>
          <t>Source System Code</t>
        </is>
      </c>
      <c r="G12" s="558" t="inlineStr">
        <is>
          <t>LOAN_AR</t>
        </is>
      </c>
      <c r="H12" s="415" t="inlineStr">
        <is>
          <t>SRC_STM_CODE</t>
        </is>
      </c>
      <c r="I12" s="415" t="inlineStr">
        <is>
          <t>VARCHAR2</t>
        </is>
      </c>
      <c r="J12" s="415" t="n">
        <v>40</v>
      </c>
      <c r="K12" s="415" t="inlineStr">
        <is>
          <t>Mã hệ thống nguồn dữ liệu</t>
        </is>
      </c>
      <c r="M12" s="415">
        <f>"COMMENT ON COLUMN PG_SILVER."&amp;G12&amp;"."&amp;H12&amp;" IS '"&amp;K12&amp;"';"</f>
        <v/>
      </c>
    </row>
    <row r="13" ht="14.25" customHeight="1" s="335">
      <c r="A13" s="433" t="inlineStr">
        <is>
          <t>PG_BRONZE</t>
        </is>
      </c>
      <c r="B13" s="415" t="inlineStr">
        <is>
          <t>T24CORE_LD_LOANS_AND_DEPOSITS</t>
        </is>
      </c>
      <c r="C13" s="433" t="inlineStr">
        <is>
          <t>RECID</t>
        </is>
      </c>
      <c r="D13" s="433" t="inlineStr">
        <is>
          <t>fn_hash("T24_LD_LOANS_AND_DEPOSITS", ld.RECID)</t>
        </is>
      </c>
      <c r="E13" s="433" t="inlineStr">
        <is>
          <t>Loan Arrangement</t>
        </is>
      </c>
      <c r="F13" s="433" t="inlineStr">
        <is>
          <t>Arrangement ID</t>
        </is>
      </c>
      <c r="G13" s="558" t="inlineStr">
        <is>
          <t>LOAN_AR</t>
        </is>
      </c>
      <c r="H13" s="558" t="inlineStr">
        <is>
          <t>AR_ID</t>
        </is>
      </c>
      <c r="I13" s="415" t="inlineStr">
        <is>
          <t>CHAR</t>
        </is>
      </c>
      <c r="J13" s="415" t="n">
        <v>32</v>
      </c>
      <c r="K13" s="415" t="inlineStr">
        <is>
          <t>Unique key trên DWH</t>
        </is>
      </c>
      <c r="M13" s="334">
        <f>"COMMENT ON COLUMN PG_SILVER."&amp;G13&amp;"."&amp;H13&amp;" IS '"&amp;K13&amp;"';"</f>
        <v/>
      </c>
    </row>
    <row r="14" ht="14.25" customHeight="1" s="335">
      <c r="A14" s="433" t="inlineStr">
        <is>
          <t>PG_BRONZE</t>
        </is>
      </c>
      <c r="B14" s="415" t="inlineStr">
        <is>
          <t>T24CORE_LD_LOANS_AND_DEPOSITS</t>
        </is>
      </c>
      <c r="C14" s="433" t="inlineStr">
        <is>
          <t>RECID</t>
        </is>
      </c>
      <c r="D14" s="433" t="inlineStr">
        <is>
          <t>1:1</t>
        </is>
      </c>
      <c r="E14" s="433" t="inlineStr">
        <is>
          <t>Loan Arrangement</t>
        </is>
      </c>
      <c r="F14" s="433" t="inlineStr">
        <is>
          <t>Arrangement Code</t>
        </is>
      </c>
      <c r="G14" s="558" t="inlineStr">
        <is>
          <t>LOAN_AR</t>
        </is>
      </c>
      <c r="H14" s="558" t="inlineStr">
        <is>
          <t>AR_CODE</t>
        </is>
      </c>
      <c r="I14" s="415" t="inlineStr">
        <is>
          <t>VARCHAR2</t>
        </is>
      </c>
      <c r="J14" s="415" t="n">
        <v>40</v>
      </c>
      <c r="K14" s="433" t="inlineStr">
        <is>
          <t>Mã hợp đồng</t>
        </is>
      </c>
      <c r="M14" s="334">
        <f>"COMMENT ON COLUMN PG_SILVER."&amp;G14&amp;"."&amp;H14&amp;" IS '"&amp;K14&amp;"';"</f>
        <v/>
      </c>
    </row>
    <row r="15" ht="14.25" customHeight="1" s="335">
      <c r="A15" s="433" t="inlineStr">
        <is>
          <t>PG_BRONZE</t>
        </is>
      </c>
      <c r="B15" s="415" t="inlineStr">
        <is>
          <t>T24CORE_LD_LOANS_AND_DEPOSITS</t>
        </is>
      </c>
      <c r="C15" s="433" t="inlineStr">
        <is>
          <t>ACC_FCC</t>
        </is>
      </c>
      <c r="D15" s="433" t="inlineStr">
        <is>
          <t>1:1</t>
        </is>
      </c>
      <c r="E15" s="433" t="inlineStr">
        <is>
          <t>Loan Arrangement</t>
        </is>
      </c>
      <c r="F15" s="433" t="inlineStr">
        <is>
          <t>FCC Arrangement Code</t>
        </is>
      </c>
      <c r="G15" s="558" t="inlineStr">
        <is>
          <t>LOAN_AR</t>
        </is>
      </c>
      <c r="H15" s="558" t="inlineStr">
        <is>
          <t>FCC_AR_CODE</t>
        </is>
      </c>
      <c r="I15" s="415" t="inlineStr">
        <is>
          <t>VARCHAR2</t>
        </is>
      </c>
      <c r="J15" s="415" t="n">
        <v>40</v>
      </c>
      <c r="K15" s="433" t="inlineStr">
        <is>
          <t>Mã hợp đồng FlexCube</t>
        </is>
      </c>
      <c r="M15" s="334">
        <f>"COMMENT ON COLUMN PG_SILVER."&amp;G15&amp;"."&amp;H15&amp;" IS '"&amp;K15&amp;"';"</f>
        <v/>
      </c>
    </row>
    <row r="16" ht="14.25" customHeight="1" s="335">
      <c r="A16" s="433" t="inlineStr">
        <is>
          <t>PG_BRONZE</t>
        </is>
      </c>
      <c r="B16" s="415" t="inlineStr">
        <is>
          <t>T24CORE_LD_LOANS_AND_DEPOSITS</t>
        </is>
      </c>
      <c r="C16" s="433" t="inlineStr">
        <is>
          <t>APPROVE_AMOUNT</t>
        </is>
      </c>
      <c r="D16" s="433" t="inlineStr">
        <is>
          <t>1:1</t>
        </is>
      </c>
      <c r="E16" s="433" t="inlineStr">
        <is>
          <t>Loan Arrangement</t>
        </is>
      </c>
      <c r="F16" s="433" t="inlineStr">
        <is>
          <t>Original Amount FCY</t>
        </is>
      </c>
      <c r="G16" s="558" t="inlineStr">
        <is>
          <t>LOAN_AR</t>
        </is>
      </c>
      <c r="H16" s="558" t="inlineStr">
        <is>
          <t>ORIG_AMT_FCY</t>
        </is>
      </c>
      <c r="I16" s="415" t="inlineStr">
        <is>
          <t>NUMBER</t>
        </is>
      </c>
      <c r="J16" s="415" t="n">
        <v>25.5</v>
      </c>
      <c r="K16" s="466" t="inlineStr">
        <is>
          <t>Giá trị phê duyệt</t>
        </is>
      </c>
      <c r="M16" s="334">
        <f>"COMMENT ON COLUMN PG_SILVER."&amp;G16&amp;"."&amp;H16&amp;" IS '"&amp;K16&amp;"';"</f>
        <v/>
      </c>
    </row>
    <row r="17" hidden="1" ht="14.25" customHeight="1" s="335">
      <c r="A17" s="455" t="inlineStr">
        <is>
          <t>PG_BRONZE</t>
        </is>
      </c>
      <c r="B17" s="456" t="inlineStr">
        <is>
          <t>T24CORE_LD_LOANS_AND_DEPOSITS</t>
        </is>
      </c>
      <c r="C17" s="455" t="inlineStr">
        <is>
          <t>AUTHORISER</t>
        </is>
      </c>
      <c r="D17" s="455" t="inlineStr">
        <is>
          <t>1:1</t>
        </is>
      </c>
      <c r="E17" s="455" t="inlineStr">
        <is>
          <t>Loan Arrangement</t>
        </is>
      </c>
      <c r="F17" s="455" t="inlineStr">
        <is>
          <t>Checker Officer</t>
        </is>
      </c>
      <c r="G17" s="643" t="inlineStr">
        <is>
          <t>LOAN_AR</t>
        </is>
      </c>
      <c r="H17" s="643" t="inlineStr">
        <is>
          <t>CHKER_OFCR_CODE</t>
        </is>
      </c>
      <c r="I17" s="456" t="inlineStr">
        <is>
          <t>VARCHAR2</t>
        </is>
      </c>
      <c r="J17" s="456" t="n">
        <v>20</v>
      </c>
      <c r="K17" s="455" t="inlineStr">
        <is>
          <t>Mã người phê duyệt</t>
        </is>
      </c>
      <c r="L17" s="452" t="n"/>
      <c r="M17" s="334">
        <f>"COMMENT ON COLUMN PG_SILVER."&amp;G17&amp;"."&amp;H17&amp;" IS '"&amp;K17&amp;"';"</f>
        <v/>
      </c>
      <c r="N17" s="452" t="n"/>
    </row>
    <row r="18" ht="14.25" customHeight="1" s="335">
      <c r="A18" s="433" t="inlineStr">
        <is>
          <t>PG_BRONZE</t>
        </is>
      </c>
      <c r="B18" s="415" t="inlineStr">
        <is>
          <t>T24CORE_LD_LOANS_AND_DEPOSITS</t>
        </is>
      </c>
      <c r="C18" s="433" t="inlineStr">
        <is>
          <t>CATEGORY</t>
        </is>
      </c>
      <c r="D18" s="433" t="inlineStr">
        <is>
          <t>1:1</t>
        </is>
      </c>
      <c r="E18" s="433" t="inlineStr">
        <is>
          <t>Loan Arrangement</t>
        </is>
      </c>
      <c r="F18" s="334" t="inlineStr">
        <is>
          <t>Product Category Code</t>
        </is>
      </c>
      <c r="G18" s="558" t="inlineStr">
        <is>
          <t>LOAN_AR</t>
        </is>
      </c>
      <c r="H18" s="558" t="inlineStr">
        <is>
          <t>PD_CGY_CODE</t>
        </is>
      </c>
      <c r="I18" s="415" t="inlineStr">
        <is>
          <t>VARCHAR2</t>
        </is>
      </c>
      <c r="J18" s="415" t="n">
        <v>20</v>
      </c>
      <c r="K18" s="433" t="inlineStr">
        <is>
          <t>Mã phân loại sản phẩm</t>
        </is>
      </c>
      <c r="M18" s="334">
        <f>"COMMENT ON COLUMN PG_SILVER."&amp;G18&amp;"."&amp;H18&amp;" IS '"&amp;K18&amp;"';"</f>
        <v/>
      </c>
    </row>
    <row r="19" ht="14.25" customHeight="1" s="335">
      <c r="A19" s="433" t="inlineStr">
        <is>
          <t>PG_BRONZE</t>
        </is>
      </c>
      <c r="B19" s="415" t="inlineStr">
        <is>
          <t>T24CORE_LD_LOANS_AND_DEPOSITS</t>
        </is>
      </c>
      <c r="C19" s="433" t="inlineStr">
        <is>
          <t>CO_CODE, RECID, VALUE_DATE, CURR_NO</t>
        </is>
      </c>
      <c r="D19" s="433" t="inlineStr">
        <is>
          <t>FIRST_VALUE(ld.CO_CODE) OVER (PARTITION BY ld.RECID ORDER BY ld.VALUE_DATE ASC, ld.CURR_NO ASC)</t>
        </is>
      </c>
      <c r="E19" s="433" t="inlineStr">
        <is>
          <t>Loan Arrangement</t>
        </is>
      </c>
      <c r="F19" s="433" t="inlineStr">
        <is>
          <t>First Organization Unit Code</t>
        </is>
      </c>
      <c r="G19" s="558" t="inlineStr">
        <is>
          <t>LOAN_AR</t>
        </is>
      </c>
      <c r="H19" s="575" t="inlineStr">
        <is>
          <t>FRST_OU_CODE</t>
        </is>
      </c>
      <c r="I19" s="415" t="inlineStr">
        <is>
          <t>VARCHAR2</t>
        </is>
      </c>
      <c r="J19" s="415" t="n">
        <v>20</v>
      </c>
      <c r="K19" s="433" t="inlineStr">
        <is>
          <t>Mã chi nhánh quản lý đầu tiên</t>
        </is>
      </c>
      <c r="M19" s="334">
        <f>"COMMENT ON COLUMN PG_SILVER."&amp;G19&amp;"."&amp;H19&amp;" IS '"&amp;K19&amp;"';"</f>
        <v/>
      </c>
      <c r="N19" t="inlineStr">
        <is>
          <t>Lưu ý: Nếu muốn lấy chi nhánh mở đầu tiên xuyên suốt lịch sử hợp đồng, cần tính `FIRST_VALUE(CO_CODE)` trên tập hợp nhất giữa `LD_LOANS_AND_DEPOSITS` và `LD_LOANS_AND_DEPOSITS_HIS`.</t>
        </is>
      </c>
    </row>
    <row r="20" ht="14.25" customHeight="1" s="335">
      <c r="A20" s="433" t="inlineStr">
        <is>
          <t>PG_BRONZE</t>
        </is>
      </c>
      <c r="B20" s="415" t="inlineStr">
        <is>
          <t>T24CORE_LD_LOANS_AND_DEPOSITS</t>
        </is>
      </c>
      <c r="C20" s="433" t="inlineStr">
        <is>
          <t>CRA_LD</t>
        </is>
      </c>
      <c r="D20" s="433" t="inlineStr">
        <is>
          <t>1:1</t>
        </is>
      </c>
      <c r="E20" s="433" t="inlineStr">
        <is>
          <t>Loan Arrangement</t>
        </is>
      </c>
      <c r="F20" s="433" t="inlineStr">
        <is>
          <t>Paper Contract Number</t>
        </is>
      </c>
      <c r="G20" s="558" t="inlineStr">
        <is>
          <t>LOAN_AR</t>
        </is>
      </c>
      <c r="H20" s="558" t="inlineStr">
        <is>
          <t>PPR_CTR_NBR</t>
        </is>
      </c>
      <c r="I20" s="415" t="inlineStr">
        <is>
          <t>VARCHAR2</t>
        </is>
      </c>
      <c r="J20" s="415" t="n">
        <v>100</v>
      </c>
      <c r="K20" s="433" t="inlineStr">
        <is>
          <t>Mã hồ sơ</t>
        </is>
      </c>
      <c r="M20" s="334">
        <f>"COMMENT ON COLUMN PG_SILVER."&amp;G20&amp;"."&amp;H20&amp;" IS '"&amp;K20&amp;"';"</f>
        <v/>
      </c>
    </row>
    <row r="21" ht="14.25" customHeight="1" s="335">
      <c r="A21" s="433" t="inlineStr">
        <is>
          <t>PG_BRONZE</t>
        </is>
      </c>
      <c r="B21" s="415" t="inlineStr">
        <is>
          <t>T24CORE_LD_LOANS_AND_DEPOSITS</t>
        </is>
      </c>
      <c r="C21" s="433" t="inlineStr">
        <is>
          <t>CURRENCY</t>
        </is>
      </c>
      <c r="D21" s="433" t="inlineStr">
        <is>
          <t>1:1</t>
        </is>
      </c>
      <c r="E21" s="433" t="inlineStr">
        <is>
          <t>Loan Arrangement</t>
        </is>
      </c>
      <c r="F21" s="433" t="inlineStr">
        <is>
          <t>Currency Code</t>
        </is>
      </c>
      <c r="G21" s="558" t="inlineStr">
        <is>
          <t>LOAN_AR</t>
        </is>
      </c>
      <c r="H21" s="558" t="inlineStr">
        <is>
          <t>CCY_CODE</t>
        </is>
      </c>
      <c r="I21" s="415" t="inlineStr">
        <is>
          <t>VARCHAR2</t>
        </is>
      </c>
      <c r="J21" s="415" t="n">
        <v>20</v>
      </c>
      <c r="K21" s="433" t="inlineStr">
        <is>
          <t>Loại tiền</t>
        </is>
      </c>
      <c r="M21" s="334">
        <f>"COMMENT ON COLUMN PG_SILVER."&amp;G21&amp;"."&amp;H21&amp;" IS '"&amp;K21&amp;"';"</f>
        <v/>
      </c>
    </row>
    <row r="22" ht="14.25" customHeight="1" s="335">
      <c r="A22" s="433" t="inlineStr">
        <is>
          <t>PG_BRONZE</t>
        </is>
      </c>
      <c r="B22" s="415" t="inlineStr">
        <is>
          <t>T24CORE_LD_LOANS_AND_DEPOSITS</t>
        </is>
      </c>
      <c r="C22" s="433" t="inlineStr">
        <is>
          <t>CUSTOMER_ID</t>
        </is>
      </c>
      <c r="D22" s="433" t="inlineStr">
        <is>
          <t>1:1</t>
        </is>
      </c>
      <c r="E22" s="433" t="inlineStr">
        <is>
          <t>Loan Arrangement</t>
        </is>
      </c>
      <c r="F22" s="433" t="inlineStr">
        <is>
          <t>Customer Code</t>
        </is>
      </c>
      <c r="G22" s="558" t="inlineStr">
        <is>
          <t>LOAN_AR</t>
        </is>
      </c>
      <c r="H22" s="558" t="inlineStr">
        <is>
          <t>CST_CODE</t>
        </is>
      </c>
      <c r="I22" s="415" t="inlineStr">
        <is>
          <t>VARCHAR2</t>
        </is>
      </c>
      <c r="J22" s="415" t="n">
        <v>20</v>
      </c>
      <c r="K22" s="433" t="inlineStr">
        <is>
          <t>Mã khách hàng</t>
        </is>
      </c>
      <c r="M22" s="334">
        <f>"COMMENT ON COLUMN PG_SILVER."&amp;G22&amp;"."&amp;H22&amp;" IS '"&amp;K22&amp;"';"</f>
        <v/>
      </c>
    </row>
    <row r="23" ht="14.25" customHeight="1" s="335">
      <c r="A23" s="433" t="inlineStr">
        <is>
          <t>PG_BRONZE</t>
        </is>
      </c>
      <c r="B23" s="415" t="inlineStr">
        <is>
          <t>T24CORE_LD_LOANS_AND_DEPOSITS</t>
        </is>
      </c>
      <c r="C23" s="433" t="inlineStr">
        <is>
          <t>CUSTOMER_ID</t>
        </is>
      </c>
      <c r="D23" s="433" t="inlineStr">
        <is>
          <t>fn_hash("T24_CUSTOMER", ld.CUSTOMER_ID)</t>
        </is>
      </c>
      <c r="E23" s="433" t="inlineStr">
        <is>
          <t>Loan Arrangement</t>
        </is>
      </c>
      <c r="F23" s="433" t="inlineStr">
        <is>
          <t>Customer ID</t>
        </is>
      </c>
      <c r="G23" s="558" t="inlineStr">
        <is>
          <t>LOAN_AR</t>
        </is>
      </c>
      <c r="H23" s="575" t="inlineStr">
        <is>
          <t>CST_ID</t>
        </is>
      </c>
      <c r="I23" s="415" t="inlineStr">
        <is>
          <t>CHAR</t>
        </is>
      </c>
      <c r="J23" s="415" t="n">
        <v>32</v>
      </c>
      <c r="K23" s="433" t="inlineStr">
        <is>
          <t>Mã khách hàng</t>
        </is>
      </c>
      <c r="M23" s="334">
        <f>"COMMENT ON COLUMN PG_SILVER."&amp;G23&amp;"."&amp;H23&amp;" IS '"&amp;K23&amp;"';"</f>
        <v/>
      </c>
    </row>
    <row r="24" ht="14.25" customHeight="1" s="335">
      <c r="A24" s="433" t="inlineStr">
        <is>
          <t>PG_BRONZE</t>
        </is>
      </c>
      <c r="B24" s="415" t="inlineStr">
        <is>
          <t>T24CORE_LD_LOANS_AND_DEPOSITS</t>
        </is>
      </c>
      <c r="C24" s="433" t="inlineStr">
        <is>
          <t>DRAWDOWN_NET_AMT</t>
        </is>
      </c>
      <c r="D24" s="433" t="inlineStr">
        <is>
          <t>1:1</t>
        </is>
      </c>
      <c r="E24" s="433" t="inlineStr">
        <is>
          <t>Loan Arrangement</t>
        </is>
      </c>
      <c r="F24" s="433" t="inlineStr">
        <is>
          <t>Disbursement Amount FCY</t>
        </is>
      </c>
      <c r="G24" s="558" t="inlineStr">
        <is>
          <t>LOAN_AR</t>
        </is>
      </c>
      <c r="H24" s="558" t="inlineStr">
        <is>
          <t>DSBR_AMT_FCY</t>
        </is>
      </c>
      <c r="I24" s="415" t="inlineStr">
        <is>
          <t>NUMBER</t>
        </is>
      </c>
      <c r="J24" s="415" t="n">
        <v>25.5</v>
      </c>
      <c r="K24" s="433" t="inlineStr">
        <is>
          <t>Số tiền thực tế giải ngân</t>
        </is>
      </c>
      <c r="M24" s="334">
        <f>"COMMENT ON COLUMN PG_SILVER."&amp;G24&amp;"."&amp;H24&amp;" IS '"&amp;K24&amp;"';"</f>
        <v/>
      </c>
    </row>
    <row r="25" ht="14.25" customHeight="1" s="335">
      <c r="A25" s="433" t="inlineStr">
        <is>
          <t>PG_BRONZE</t>
        </is>
      </c>
      <c r="B25" s="415" t="inlineStr">
        <is>
          <t>T24CORE_LD_LOANS_AND_DEPOSITS</t>
        </is>
      </c>
      <c r="C25" s="433" t="inlineStr">
        <is>
          <t>EXCG_RATE</t>
        </is>
      </c>
      <c r="D25" s="433" t="inlineStr">
        <is>
          <t>1:1</t>
        </is>
      </c>
      <c r="E25" s="433" t="inlineStr">
        <is>
          <t>Loan Arrangement</t>
        </is>
      </c>
      <c r="F25" s="433" t="inlineStr">
        <is>
          <t>Exchange Rate To Local Currency</t>
        </is>
      </c>
      <c r="G25" s="558" t="inlineStr">
        <is>
          <t>LOAN_AR</t>
        </is>
      </c>
      <c r="H25" s="558" t="inlineStr">
        <is>
          <t>EXG_RATE_TO_LCL_CCY</t>
        </is>
      </c>
      <c r="I25" s="415" t="inlineStr">
        <is>
          <t>NUMBER</t>
        </is>
      </c>
      <c r="J25" s="415" t="n">
        <v>25.7</v>
      </c>
      <c r="K25" s="433" t="inlineStr">
        <is>
          <t>Tỷ giá quy đổi</t>
        </is>
      </c>
      <c r="M25" s="334">
        <f>"COMMENT ON COLUMN PG_SILVER."&amp;G25&amp;"."&amp;H25&amp;" IS '"&amp;K25&amp;"';"</f>
        <v/>
      </c>
    </row>
    <row r="26" ht="14.25" customHeight="1" s="335">
      <c r="A26" s="433" t="inlineStr">
        <is>
          <t>PG_BRONZE</t>
        </is>
      </c>
      <c r="B26" s="415" t="inlineStr">
        <is>
          <t>T24CORE_LD_LOANS_AND_DEPOSITS</t>
        </is>
      </c>
      <c r="C26" s="433" t="inlineStr">
        <is>
          <t>FCC_LIMIT</t>
        </is>
      </c>
      <c r="D26" s="433" t="inlineStr">
        <is>
          <t>1:1</t>
        </is>
      </c>
      <c r="E26" s="433" t="inlineStr">
        <is>
          <t>Loan Arrangement</t>
        </is>
      </c>
      <c r="F26" s="334" t="inlineStr">
        <is>
          <t>FCC Limit Code</t>
        </is>
      </c>
      <c r="G26" s="558" t="inlineStr">
        <is>
          <t>LOAN_AR</t>
        </is>
      </c>
      <c r="H26" s="575" t="inlineStr">
        <is>
          <t>FCC_LMT_CODE</t>
        </is>
      </c>
      <c r="I26" s="415" t="inlineStr">
        <is>
          <t>VARCHAR2</t>
        </is>
      </c>
      <c r="J26" s="415" t="n">
        <v>20</v>
      </c>
      <c r="K26" s="334" t="inlineStr">
        <is>
          <t>Mã hạn mức trên Flexcube</t>
        </is>
      </c>
      <c r="M26" s="334">
        <f>"COMMENT ON COLUMN PG_SILVER."&amp;G26&amp;"."&amp;H26&amp;" IS '"&amp;K26&amp;"';"</f>
        <v/>
      </c>
    </row>
    <row r="27" ht="14.25" customHeight="1" s="335">
      <c r="A27" s="433" t="inlineStr">
        <is>
          <t>PG_BRONZE</t>
        </is>
      </c>
      <c r="B27" s="415" t="inlineStr">
        <is>
          <t>T24CORE_LD_LOANS_AND_DEPOSITS</t>
        </is>
      </c>
      <c r="C27" s="433" t="inlineStr">
        <is>
          <t>FIN_MAT_DATE</t>
        </is>
      </c>
      <c r="D27" s="433" t="inlineStr">
        <is>
          <t>1:1</t>
        </is>
      </c>
      <c r="E27" s="433" t="inlineStr">
        <is>
          <t>Loan Arrangement</t>
        </is>
      </c>
      <c r="F27" s="433" t="inlineStr">
        <is>
          <t>Maturity Date</t>
        </is>
      </c>
      <c r="G27" s="558" t="inlineStr">
        <is>
          <t>LOAN_AR</t>
        </is>
      </c>
      <c r="H27" s="558" t="inlineStr">
        <is>
          <t>MAT_DT</t>
        </is>
      </c>
      <c r="I27" s="415" t="inlineStr">
        <is>
          <t>DATE</t>
        </is>
      </c>
      <c r="J27" s="415" t="n"/>
      <c r="K27" s="433" t="inlineStr">
        <is>
          <t>Ngày đáo hạn hợp đồng</t>
        </is>
      </c>
      <c r="M27" s="334">
        <f>"COMMENT ON COLUMN PG_SILVER."&amp;G27&amp;"."&amp;H27&amp;" IS '"&amp;K27&amp;"';"</f>
        <v/>
      </c>
    </row>
    <row r="28" hidden="1" ht="14.25" customHeight="1" s="335">
      <c r="A28" s="455" t="inlineStr">
        <is>
          <t>PG_BRONZE</t>
        </is>
      </c>
      <c r="B28" s="456" t="inlineStr">
        <is>
          <t>T24CORE_LD_LOANS_AND_DEPOSITS</t>
        </is>
      </c>
      <c r="C28" s="455" t="inlineStr">
        <is>
          <t>INPUTTER</t>
        </is>
      </c>
      <c r="D28" s="455" t="inlineStr">
        <is>
          <t>1:1</t>
        </is>
      </c>
      <c r="E28" s="455" t="inlineStr">
        <is>
          <t>Loan Arrangement</t>
        </is>
      </c>
      <c r="F28" s="455" t="inlineStr">
        <is>
          <t>Maker Officer</t>
        </is>
      </c>
      <c r="G28" s="643" t="inlineStr">
        <is>
          <t>LOAN_AR</t>
        </is>
      </c>
      <c r="H28" s="643" t="inlineStr">
        <is>
          <t>MAKER_OFCR_CODE</t>
        </is>
      </c>
      <c r="I28" s="456" t="inlineStr">
        <is>
          <t>VARCHAR2</t>
        </is>
      </c>
      <c r="J28" s="456" t="n">
        <v>20</v>
      </c>
      <c r="K28" s="455" t="inlineStr">
        <is>
          <t>ID người nhập liệu</t>
        </is>
      </c>
      <c r="L28" s="452" t="n"/>
      <c r="M28" s="334">
        <f>"COMMENT ON COLUMN PG_SILVER."&amp;G28&amp;"."&amp;H28&amp;" IS '"&amp;K28&amp;"';"</f>
        <v/>
      </c>
      <c r="N28" s="452" t="n"/>
    </row>
    <row r="29" ht="14.25" customHeight="1" s="335">
      <c r="A29" s="433" t="inlineStr">
        <is>
          <t>PG_BRONZE</t>
        </is>
      </c>
      <c r="B29" s="415" t="inlineStr">
        <is>
          <t>T24CORE_LD_LOANS_AND_DEPOSITS</t>
        </is>
      </c>
      <c r="C29" s="433" t="inlineStr">
        <is>
          <t>LIMIT_REFERENCE</t>
        </is>
      </c>
      <c r="D29" s="433" t="inlineStr">
        <is>
          <t>1:1</t>
        </is>
      </c>
      <c r="E29" s="433" t="inlineStr">
        <is>
          <t>Loan Arrangement</t>
        </is>
      </c>
      <c r="F29" s="433" t="inlineStr">
        <is>
          <t>Limit Code</t>
        </is>
      </c>
      <c r="G29" s="558" t="inlineStr">
        <is>
          <t>LOAN_AR</t>
        </is>
      </c>
      <c r="H29" s="558" t="inlineStr">
        <is>
          <t>LMT_CODE</t>
        </is>
      </c>
      <c r="I29" s="415" t="inlineStr">
        <is>
          <t>VARCHAR2</t>
        </is>
      </c>
      <c r="J29" s="415" t="n">
        <v>32</v>
      </c>
      <c r="K29" s="433" t="inlineStr">
        <is>
          <t>Mã tham chiếu hạn mức</t>
        </is>
      </c>
      <c r="M29" s="334">
        <f>"COMMENT ON COLUMN PG_SILVER."&amp;G29&amp;"."&amp;H29&amp;" IS '"&amp;K29&amp;"';"</f>
        <v/>
      </c>
    </row>
    <row r="30" ht="14.25" customHeight="1" s="335">
      <c r="A30" s="433" t="inlineStr">
        <is>
          <t>PG_BRONZE</t>
        </is>
      </c>
      <c r="B30" s="415" t="inlineStr">
        <is>
          <t>T24CORE_LD_LOANS_AND_DEPOSITS</t>
        </is>
      </c>
      <c r="C30" s="433" t="inlineStr">
        <is>
          <t>LIMIT_REFERENCE</t>
        </is>
      </c>
      <c r="D30" s="433" t="inlineStr">
        <is>
          <t>CASE WHEN ld.LIMIT_REFERENCE IS NOT NULL THEN fn_hash("T24_LIMIT", ld.LIMIT_REFERENCE) ELSE NULL END</t>
        </is>
      </c>
      <c r="E30" s="433" t="inlineStr">
        <is>
          <t>Loan Arrangement</t>
        </is>
      </c>
      <c r="F30" s="433" t="inlineStr">
        <is>
          <t>Limit Id</t>
        </is>
      </c>
      <c r="G30" s="558" t="inlineStr">
        <is>
          <t>LOAN_AR</t>
        </is>
      </c>
      <c r="H30" s="575" t="inlineStr">
        <is>
          <t>LMT_ID</t>
        </is>
      </c>
      <c r="I30" s="415" t="inlineStr">
        <is>
          <t>CHAR</t>
        </is>
      </c>
      <c r="J30" s="415" t="n">
        <v>32</v>
      </c>
      <c r="K30" s="433" t="inlineStr">
        <is>
          <t>Mã tham chiếu hạn mức</t>
        </is>
      </c>
      <c r="M30" s="334">
        <f>"COMMENT ON COLUMN PG_SILVER."&amp;G30&amp;"."&amp;H30&amp;" IS '"&amp;K30&amp;"';"</f>
        <v/>
      </c>
    </row>
    <row r="31" ht="14.25" customHeight="1" s="335">
      <c r="A31" s="433" t="inlineStr">
        <is>
          <t>PG_BRONZE</t>
        </is>
      </c>
      <c r="B31" s="415" t="inlineStr">
        <is>
          <t>T24CORE_LD_LOANS_AND_DEPOSITS</t>
        </is>
      </c>
      <c r="C31" s="433" t="inlineStr">
        <is>
          <t>LOC_TERM</t>
        </is>
      </c>
      <c r="D31" s="433" t="inlineStr">
        <is>
          <t>1:1</t>
        </is>
      </c>
      <c r="E31" s="433" t="inlineStr">
        <is>
          <t>Loan Arrangement</t>
        </is>
      </c>
      <c r="F31" s="433" t="inlineStr">
        <is>
          <t>Term Code</t>
        </is>
      </c>
      <c r="G31" s="558" t="inlineStr">
        <is>
          <t>LOAN_AR</t>
        </is>
      </c>
      <c r="H31" s="558" t="inlineStr">
        <is>
          <t>TERM_CODE</t>
        </is>
      </c>
      <c r="I31" s="415" t="inlineStr">
        <is>
          <t>VARCHAR2</t>
        </is>
      </c>
      <c r="J31" s="415" t="n">
        <v>20</v>
      </c>
      <c r="K31" s="433" t="inlineStr">
        <is>
          <t>Kỳ hạn</t>
        </is>
      </c>
      <c r="M31" s="334">
        <f>"COMMENT ON COLUMN PG_SILVER."&amp;G31&amp;"."&amp;H31&amp;" IS '"&amp;K31&amp;"';"</f>
        <v/>
      </c>
    </row>
    <row r="32" ht="14.25" customHeight="1" s="335">
      <c r="A32" s="433" t="inlineStr">
        <is>
          <t>PG_BRONZE</t>
        </is>
      </c>
      <c r="B32" s="415" t="inlineStr">
        <is>
          <t>T24CORE_LD_LOANS_AND_DEPOSITS</t>
        </is>
      </c>
      <c r="C32" s="433" t="inlineStr">
        <is>
          <t>LOS_FAC_CODE</t>
        </is>
      </c>
      <c r="D32" s="433" t="inlineStr">
        <is>
          <t>1:1</t>
        </is>
      </c>
      <c r="E32" s="433" t="inlineStr">
        <is>
          <t>Loan Arrangement</t>
        </is>
      </c>
      <c r="F32" s="334" t="inlineStr">
        <is>
          <t>LOS Contract Number</t>
        </is>
      </c>
      <c r="G32" s="558" t="inlineStr">
        <is>
          <t>LOAN_AR</t>
        </is>
      </c>
      <c r="H32" s="334" t="inlineStr">
        <is>
          <t>LOS_CTR_NBR</t>
        </is>
      </c>
      <c r="I32" s="415" t="inlineStr">
        <is>
          <t>VARCHAR2</t>
        </is>
      </c>
      <c r="J32" s="415" t="n">
        <v>40</v>
      </c>
      <c r="K32" s="433" t="inlineStr">
        <is>
          <t>Số hồ sơ</t>
        </is>
      </c>
      <c r="M32" s="334">
        <f>"COMMENT ON COLUMN PG_SILVER."&amp;G32&amp;"."&amp;H32&amp;" IS '"&amp;K32&amp;"';"</f>
        <v/>
      </c>
    </row>
    <row r="33" hidden="1" ht="14.25" customHeight="1" s="335">
      <c r="A33" s="455" t="inlineStr">
        <is>
          <t>PG_BRONZE</t>
        </is>
      </c>
      <c r="B33" s="456" t="inlineStr">
        <is>
          <t>T24CORE_LD_LOANS_AND_DEPOSITS</t>
        </is>
      </c>
      <c r="C33" s="455" t="inlineStr">
        <is>
          <t>MB_RM_BANCHEO</t>
        </is>
      </c>
      <c r="D33" s="455" t="inlineStr">
        <is>
          <t>1:1</t>
        </is>
      </c>
      <c r="E33" s="455" t="inlineStr">
        <is>
          <t>Loan Arrangement</t>
        </is>
      </c>
      <c r="F33" s="455" t="inlineStr">
        <is>
          <t>Referrer Officer</t>
        </is>
      </c>
      <c r="G33" s="643" t="inlineStr">
        <is>
          <t>LOAN_AR</t>
        </is>
      </c>
      <c r="H33" s="643" t="inlineStr">
        <is>
          <t>REFRRER_OFCR_CODE</t>
        </is>
      </c>
      <c r="I33" s="456" t="inlineStr">
        <is>
          <t>VARCHAR2</t>
        </is>
      </c>
      <c r="J33" s="456" t="n">
        <v>20</v>
      </c>
      <c r="K33" s="455" t="inlineStr">
        <is>
          <t>ID nhân viên giới thiệu</t>
        </is>
      </c>
      <c r="L33" s="452" t="n"/>
      <c r="M33" s="334">
        <f>"COMMENT ON COLUMN PG_SILVER."&amp;G33&amp;"."&amp;H33&amp;" IS '"&amp;K33&amp;"';"</f>
        <v/>
      </c>
      <c r="N33" s="452" t="n"/>
    </row>
    <row r="34" ht="14.25" customHeight="1" s="335">
      <c r="A34" s="433" t="inlineStr">
        <is>
          <t>PG_BRONZE</t>
        </is>
      </c>
      <c r="B34" s="415" t="inlineStr">
        <is>
          <t>T24CORE_LD_LOANS_AND_DEPOSITS</t>
        </is>
      </c>
      <c r="C34" s="433" t="inlineStr">
        <is>
          <t>ORIG_VAL_DATE</t>
        </is>
      </c>
      <c r="D34" s="433" t="inlineStr">
        <is>
          <t>1:1</t>
        </is>
      </c>
      <c r="E34" s="433" t="inlineStr">
        <is>
          <t>Loan Arrangement</t>
        </is>
      </c>
      <c r="F34" s="433" t="inlineStr">
        <is>
          <t>Value Date</t>
        </is>
      </c>
      <c r="G34" s="558" t="inlineStr">
        <is>
          <t>LOAN_AR</t>
        </is>
      </c>
      <c r="H34" s="558" t="inlineStr">
        <is>
          <t>VAL_DT</t>
        </is>
      </c>
      <c r="I34" s="415" t="inlineStr">
        <is>
          <t>DATE</t>
        </is>
      </c>
      <c r="J34" s="415" t="n"/>
      <c r="K34" s="433" t="inlineStr">
        <is>
          <t>Ngày hiệu lực đầu tiên của hợp đồng</t>
        </is>
      </c>
      <c r="M34" s="334">
        <f>"COMMENT ON COLUMN PG_SILVER."&amp;G34&amp;"."&amp;H34&amp;" IS '"&amp;K34&amp;"';"</f>
        <v/>
      </c>
    </row>
    <row r="35" ht="100.5" customHeight="1" s="335">
      <c r="A35" s="433" t="inlineStr">
        <is>
          <t>PG_BRONZE</t>
        </is>
      </c>
      <c r="B35" s="415" t="inlineStr">
        <is>
          <t>FLEXBO_PGB_LOS_CONTRACT_FIELDS_TDATE, LOS_APP_PRODUCT, T24CORE_LD_LOANS_AND_DEPOSITS, T24CORE_CUSTOMER</t>
        </is>
      </c>
      <c r="C35" s="433" t="inlineStr">
        <is>
          <t>SAN_PHAM_CHO_VAY_KHCN, SAN_PHAM_CHO_VAY_KHDN, PRODUCT_CODE, PRODUCTGR_CODE, ACC_FCC, KHOI</t>
        </is>
      </c>
      <c r="D35" s="445" t="inlineStr">
        <is>
          <t>CASE
        WHEN ld.ACC_FCC IS NOT NULL AND i.KHOI = 'INDIV' THEN td.SAN_PHAM_CHO_VAY_KHCN
        WHEN ld.ACC_FCC IS NOT NULL AND i.KHOI &lt;&gt; 'INDIV' THEN td.SAN_PHAM_CHO_VAY_KHDN
        ELSE NVL(pd_los.PRODUCT_CODE, ld.PRODUCTGR_CODE)
END</t>
        </is>
      </c>
      <c r="E35" s="433" t="inlineStr">
        <is>
          <t>Loan Arrangement</t>
        </is>
      </c>
      <c r="F35" s="334" t="inlineStr">
        <is>
          <t>Product Code</t>
        </is>
      </c>
      <c r="G35" s="558" t="inlineStr">
        <is>
          <t>LOAN_AR</t>
        </is>
      </c>
      <c r="H35" s="558" t="inlineStr">
        <is>
          <t>PD_CODE</t>
        </is>
      </c>
      <c r="I35" s="415" t="inlineStr">
        <is>
          <t>VARCHAR2</t>
        </is>
      </c>
      <c r="J35" s="415" t="n">
        <v>20</v>
      </c>
      <c r="K35" s="433" t="inlineStr">
        <is>
          <t>Mã nhóm sản phẩm</t>
        </is>
      </c>
      <c r="M35" s="334">
        <f>"COMMENT ON COLUMN PG_SILVER."&amp;G35&amp;"."&amp;H35&amp;" IS '"&amp;K35&amp;"';"</f>
        <v/>
      </c>
      <c r="N35" s="414" t="inlineStr">
        <is>
          <t>Bổ sung từ khóa `END`.</t>
        </is>
      </c>
    </row>
    <row r="36" ht="14.25" customHeight="1" s="335">
      <c r="A36" s="433" t="inlineStr">
        <is>
          <t>PG_BRONZE</t>
        </is>
      </c>
      <c r="B36" s="415" t="inlineStr">
        <is>
          <t>FLEXBO_PGB_LOS_CONTRACT_FIELDS_TDATE, T24CORE_LD_LOANS_AND_DEPOSITS</t>
        </is>
      </c>
      <c r="C36" s="433" t="inlineStr">
        <is>
          <t>MDVAY_SP, USE_OF_LOAN</t>
        </is>
      </c>
      <c r="D36" s="433" t="inlineStr">
        <is>
          <t>NVL(td.MDVAY_SP, ld.USE_OF_LOAN)</t>
        </is>
      </c>
      <c r="E36" s="433" t="inlineStr">
        <is>
          <t>Loan Arrangement</t>
        </is>
      </c>
      <c r="F36" s="433" t="inlineStr">
        <is>
          <t>Arrangement Purpose Type Code</t>
        </is>
      </c>
      <c r="G36" s="558" t="inlineStr">
        <is>
          <t>LOAN_AR</t>
        </is>
      </c>
      <c r="H36" s="558" t="inlineStr">
        <is>
          <t>AR_PPS_TP_CODE</t>
        </is>
      </c>
      <c r="I36" s="415" t="inlineStr">
        <is>
          <t>VARCHAR2</t>
        </is>
      </c>
      <c r="J36" s="415" t="n">
        <v>40</v>
      </c>
      <c r="K36" s="433" t="inlineStr">
        <is>
          <t>Mã mục đích vay</t>
        </is>
      </c>
      <c r="M36" s="334">
        <f>"COMMENT ON COLUMN PG_SILVER."&amp;G36&amp;"."&amp;H36&amp;" IS '"&amp;K36&amp;"';"</f>
        <v/>
      </c>
    </row>
    <row r="37" ht="14.25" customHeight="1" s="335">
      <c r="A37" s="433" t="inlineStr">
        <is>
          <t>PG_BRONZE</t>
        </is>
      </c>
      <c r="B37" s="415" t="inlineStr">
        <is>
          <t>T24CORE_LD_LOANS_AND_DEPOSITS</t>
        </is>
      </c>
      <c r="C37" s="433" t="inlineStr">
        <is>
          <t>USE_OF_LOAN_CHA</t>
        </is>
      </c>
      <c r="D37" s="433" t="inlineStr">
        <is>
          <t>1:1</t>
        </is>
      </c>
      <c r="E37" s="433" t="inlineStr">
        <is>
          <t>Loan Arrangement</t>
        </is>
      </c>
      <c r="F37" s="433" t="inlineStr">
        <is>
          <t>Arrangement Purpose Group Code</t>
        </is>
      </c>
      <c r="G37" s="558" t="inlineStr">
        <is>
          <t>LOAN_AR</t>
        </is>
      </c>
      <c r="H37" s="558" t="inlineStr">
        <is>
          <t>AR_PPS_GRP_CODE</t>
        </is>
      </c>
      <c r="I37" s="415" t="inlineStr">
        <is>
          <t>VARCHAR2</t>
        </is>
      </c>
      <c r="J37" s="415" t="n">
        <v>40</v>
      </c>
      <c r="K37" s="433" t="inlineStr">
        <is>
          <t>Mã nhóm mục đích vay</t>
        </is>
      </c>
      <c r="M37" s="334">
        <f>"COMMENT ON COLUMN PG_SILVER."&amp;G37&amp;"."&amp;H37&amp;" IS '"&amp;K37&amp;"';"</f>
        <v/>
      </c>
    </row>
    <row r="38" ht="14.25" customHeight="1" s="335">
      <c r="A38" s="433" t="inlineStr">
        <is>
          <t>PG_BRONZE</t>
        </is>
      </c>
      <c r="B38" s="415" t="inlineStr">
        <is>
          <t>T24CORE_LD_LOANS_AND_DEPOSITS</t>
        </is>
      </c>
      <c r="C38" s="433" t="inlineStr">
        <is>
          <t>VALUE_DATE</t>
        </is>
      </c>
      <c r="D38" s="433" t="inlineStr">
        <is>
          <t>1:1</t>
        </is>
      </c>
      <c r="E38" s="433" t="inlineStr">
        <is>
          <t>Loan Arrangement</t>
        </is>
      </c>
      <c r="F38" s="433" t="inlineStr">
        <is>
          <t>Effective Date</t>
        </is>
      </c>
      <c r="G38" s="558" t="inlineStr">
        <is>
          <t>LOAN_AR</t>
        </is>
      </c>
      <c r="H38" s="558" t="inlineStr">
        <is>
          <t>EFF_DT</t>
        </is>
      </c>
      <c r="I38" s="415" t="inlineStr">
        <is>
          <t>DATE</t>
        </is>
      </c>
      <c r="J38" s="415" t="n"/>
      <c r="K38" s="433" t="inlineStr">
        <is>
          <t>Ngày hiệu lực hợp đồng</t>
        </is>
      </c>
      <c r="M38" s="334">
        <f>"COMMENT ON COLUMN PG_SILVER."&amp;G38&amp;"."&amp;H38&amp;" IS '"&amp;K38&amp;"';"</f>
        <v/>
      </c>
    </row>
    <row r="39" ht="14.25" customHeight="1" s="335">
      <c r="A39" s="415" t="inlineStr">
        <is>
          <t>PG_BRONZE</t>
        </is>
      </c>
      <c r="B39" s="415" t="inlineStr">
        <is>
          <t>FLEXBO_PGB_LDTB_CONTRACT_MASTER</t>
        </is>
      </c>
      <c r="C39" s="433" t="inlineStr">
        <is>
          <t>BOOKING_DATE</t>
        </is>
      </c>
      <c r="D39" s="433" t="inlineStr">
        <is>
          <t>1:1</t>
        </is>
      </c>
      <c r="E39" s="433" t="inlineStr">
        <is>
          <t>Loan Arrangement</t>
        </is>
      </c>
      <c r="F39" s="334" t="inlineStr">
        <is>
          <t>FCC Value Date</t>
        </is>
      </c>
      <c r="G39" s="558" t="inlineStr">
        <is>
          <t>LOAN_AR</t>
        </is>
      </c>
      <c r="H39" s="575" t="inlineStr">
        <is>
          <t>FCC_VAL_DT</t>
        </is>
      </c>
      <c r="I39" s="415" t="inlineStr">
        <is>
          <t>DATE</t>
        </is>
      </c>
      <c r="J39" s="415" t="n"/>
      <c r="K39" s="334" t="inlineStr">
        <is>
          <t>Ngày ghi nhận</t>
        </is>
      </c>
      <c r="M39" s="334">
        <f>"COMMENT ON COLUMN PG_SILVER."&amp;G39&amp;"."&amp;H39&amp;" IS '"&amp;K39&amp;"';"</f>
        <v/>
      </c>
    </row>
    <row r="40" ht="14.25" customHeight="1" s="335">
      <c r="A40" s="415" t="inlineStr">
        <is>
          <t>PG_BRONZE</t>
        </is>
      </c>
      <c r="B40" s="415" t="inlineStr">
        <is>
          <t>T24CORE_LD_LOANS_AND_DEPOSITS</t>
        </is>
      </c>
      <c r="C40" s="415" t="inlineStr">
        <is>
          <t>RECID</t>
        </is>
      </c>
      <c r="D40" s="415" t="inlineStr">
        <is>
          <t>ETL_DATE if not exists RECID</t>
        </is>
      </c>
      <c r="E40" s="433" t="inlineStr">
        <is>
          <t>Loan Arrangement</t>
        </is>
      </c>
      <c r="F40" s="415" t="inlineStr">
        <is>
          <t>System Effective Date</t>
        </is>
      </c>
      <c r="G40" s="558" t="inlineStr">
        <is>
          <t>LOAN_AR</t>
        </is>
      </c>
      <c r="H40" s="415" t="inlineStr">
        <is>
          <t>SYS_EFF_DT</t>
        </is>
      </c>
      <c r="I40" s="415" t="inlineStr">
        <is>
          <t>DATE</t>
        </is>
      </c>
      <c r="J40" s="415" t="n"/>
      <c r="K40" s="415" t="inlineStr">
        <is>
          <t>Ngày bản ghi lần đầu tiên vào hệ thống</t>
        </is>
      </c>
      <c r="M40" s="334">
        <f>"COMMENT ON COLUMN PG_SILVER."&amp;G40&amp;"."&amp;H40&amp;" IS '"&amp;K40&amp;"';"</f>
        <v/>
      </c>
    </row>
    <row r="41" ht="14.25" customHeight="1" s="335">
      <c r="A41" s="415" t="inlineStr">
        <is>
          <t>PG_BRONZE</t>
        </is>
      </c>
      <c r="B41" s="415" t="inlineStr">
        <is>
          <t>T24CORE_LD_LOANS_AND_DEPOSITS</t>
        </is>
      </c>
      <c r="C41" s="415" t="inlineStr">
        <is>
          <t>RECID</t>
        </is>
      </c>
      <c r="D41" s="415" t="inlineStr">
        <is>
          <t>ETL_DATE if RECID was deleted</t>
        </is>
      </c>
      <c r="E41" s="433" t="inlineStr">
        <is>
          <t>Loan Arrangement</t>
        </is>
      </c>
      <c r="F41" s="415" t="inlineStr">
        <is>
          <t>System Expiry Date</t>
        </is>
      </c>
      <c r="G41" s="558" t="inlineStr">
        <is>
          <t>LOAN_AR</t>
        </is>
      </c>
      <c r="H41" s="415" t="inlineStr">
        <is>
          <t>SYS_EXP_DT</t>
        </is>
      </c>
      <c r="I41" s="415" t="inlineStr">
        <is>
          <t>DATE</t>
        </is>
      </c>
      <c r="J41" s="415" t="n"/>
      <c r="K41" s="415" t="inlineStr">
        <is>
          <t>Ngày hết hạn của bản ghi</t>
        </is>
      </c>
      <c r="M41" s="334">
        <f>"COMMENT ON COLUMN PG_SILVER."&amp;G41&amp;"."&amp;H41&amp;" IS '"&amp;K41&amp;"';"</f>
        <v/>
      </c>
    </row>
    <row r="42" ht="14.25" customHeight="1" s="335">
      <c r="A42" s="415" t="inlineStr">
        <is>
          <t>PG_BRONZE</t>
        </is>
      </c>
      <c r="B42" s="415" t="inlineStr">
        <is>
          <t>T24CORE_LD_LOANS_AND_DEPOSITS</t>
        </is>
      </c>
      <c r="C42" s="415" t="inlineStr">
        <is>
          <t>RECID</t>
        </is>
      </c>
      <c r="D42" s="415" t="inlineStr">
        <is>
          <t>ETL_DATE</t>
        </is>
      </c>
      <c r="E42" s="433" t="inlineStr">
        <is>
          <t>Loan Arrangement</t>
        </is>
      </c>
      <c r="F42" s="415" t="inlineStr">
        <is>
          <t>System Update Date</t>
        </is>
      </c>
      <c r="G42" s="558" t="inlineStr">
        <is>
          <t>LOAN_AR</t>
        </is>
      </c>
      <c r="H42" s="415" t="inlineStr">
        <is>
          <t>SYS_UDT_DT</t>
        </is>
      </c>
      <c r="I42" s="415" t="inlineStr">
        <is>
          <t>DATE</t>
        </is>
      </c>
      <c r="J42" s="415" t="n"/>
      <c r="K42" s="415" t="inlineStr">
        <is>
          <t>Ngày update dữ liệu gần nhất</t>
        </is>
      </c>
      <c r="M42" s="334">
        <f>"COMMENT ON COLUMN PG_SILVER."&amp;G42&amp;"."&amp;H42&amp;" IS '"&amp;K42&amp;"';"</f>
        <v/>
      </c>
    </row>
    <row r="44" ht="14.25" customHeight="1" s="335">
      <c r="A44" s="500" t="inlineStr">
        <is>
          <t>UNION ALL</t>
        </is>
      </c>
    </row>
    <row r="45" ht="14.25" customHeight="1" s="335">
      <c r="A45" s="432" t="inlineStr">
        <is>
          <t>Nguồn</t>
        </is>
      </c>
      <c r="B45" s="432" t="inlineStr">
        <is>
          <t>Bảng nguồn</t>
        </is>
      </c>
      <c r="C45" s="432" t="inlineStr">
        <is>
          <t>Short table</t>
        </is>
      </c>
      <c r="D45" s="432" t="inlineStr">
        <is>
          <t>Business Rule</t>
        </is>
      </c>
      <c r="E45" s="432" t="n"/>
      <c r="F45" s="432" t="n"/>
      <c r="G45" s="432" t="n"/>
      <c r="H45" s="432" t="n"/>
      <c r="I45" s="432" t="n"/>
      <c r="J45" s="432" t="n"/>
      <c r="K45" s="432" t="n"/>
    </row>
    <row r="46" ht="172.5" customHeight="1" s="335">
      <c r="A46" s="415" t="inlineStr">
        <is>
          <t>PG_BRONZE</t>
        </is>
      </c>
      <c r="B46" s="415" t="inlineStr">
        <is>
          <t>T24CORE_LD_LOANS_AND_DEPOSITS_HIS</t>
        </is>
      </c>
      <c r="C46" s="433" t="inlineStr">
        <is>
          <t>ldh</t>
        </is>
      </c>
      <c r="D46" s="443" t="inlineStr">
        <is>
          <t>WHERE ldh.CURR_NO =  (SELECT  max(CURR_NO) FROM PG_BRONZE.T24CORE_LD_LOANS_AND_DEPOSITS_HIS t
WHERE SUBSTR(ldh.RECID,1,INSTR(ldh.RECID,';')-1) = SUBSTR(t.RECID,1,INSTR(t.RECID,';')-1) )
AND NOT EXISTS (SELECT * FROM PG_BRONZE.T24CORE_LD_LOANS_AND_DEPOSITS_HIS t
WHERE SUBSTR(ldh.RECID,1,INSTR(ldh.RECID,';')-1) = SUBSTR(t.RECID,1,INSTR(t.RECID,';')-1)
AND NVL(t.RECORD_STATUS,'_') = 'REVE' )
and NOT EXISTS (SELECT * FROM PG_BRONZE.T24CORE_LD_LOANS_AND_DEPOSITS ld
WHERE SUBSTR(ldh.RECID,1,INSTR(ldh.RECID,';')-1) = ld.RECID )</t>
        </is>
      </c>
      <c r="E46" s="435" t="n"/>
      <c r="F46" s="435" t="n"/>
      <c r="G46" s="435" t="n"/>
      <c r="H46" s="435" t="n"/>
      <c r="I46" s="435" t="n"/>
      <c r="J46" s="435" t="n"/>
      <c r="K46" s="435" t="n"/>
    </row>
    <row r="47" ht="57" customHeight="1" s="335">
      <c r="A47" s="433" t="inlineStr">
        <is>
          <t>PG_BRONZE</t>
        </is>
      </c>
      <c r="B47" s="433" t="inlineStr">
        <is>
          <t>FLEXBO_PGB_LDTB_CONTRACT_MASTER</t>
        </is>
      </c>
      <c r="C47" s="443" t="inlineStr">
        <is>
          <t>m1</t>
        </is>
      </c>
      <c r="D47" s="443" t="inlineStr">
        <is>
          <t>(LEFT JOIN) ON ldh.ACC_FCC =  m1.CONTRACT_REF_NO AND m1.VERSION_NO =  ( SELECT max(ldm.VERSION_NO) 
FROM PG_BRONZE.FLEXBO_PGB_LDTB_CONTRACT_MASTER ldm
WHERE ldm.CONTRACT_REF_NO =  m1.CONTRACT_REF_NO )</t>
        </is>
      </c>
      <c r="E47" s="435" t="n"/>
      <c r="F47" s="435" t="n"/>
      <c r="G47" s="435" t="n"/>
      <c r="H47" s="435" t="n"/>
      <c r="I47" s="435" t="n"/>
      <c r="J47" s="435" t="n"/>
      <c r="K47" s="435" t="n"/>
    </row>
    <row r="48" ht="57" customHeight="1" s="335">
      <c r="A48" s="415" t="inlineStr">
        <is>
          <t>PG_BRONZE</t>
        </is>
      </c>
      <c r="B48" s="415" t="inlineStr">
        <is>
          <t>FLEXBO_PGB_LOS_CONTRACT_FIELDS_TDATE</t>
        </is>
      </c>
      <c r="C48" s="433" t="inlineStr">
        <is>
          <t>td</t>
        </is>
      </c>
      <c r="D48" s="445" t="inlineStr">
        <is>
          <t>(LEFT JOIN) ON SUBSTR(ldh.RECID, 1, INSTR(ldh.RECID, ';') - 1) = td.CONTRACT_REF_NO
       AND td.MOV_DATE = TO_DATE(COALESCE(ldh.ORIG_VAL_DATE, ldh.VALUE_DATE), 'YYYYMMDD')</t>
        </is>
      </c>
      <c r="E48" s="435" t="n"/>
      <c r="F48" s="435" t="n"/>
      <c r="G48" s="435" t="n"/>
      <c r="H48" s="435" t="n"/>
      <c r="I48" s="435" t="n"/>
      <c r="J48" s="435" t="n"/>
      <c r="K48" s="435" t="n"/>
    </row>
    <row r="49" ht="86.25" customHeight="1" s="335">
      <c r="A49" s="415" t="inlineStr">
        <is>
          <t>PG_BRONZE</t>
        </is>
      </c>
      <c r="B49" s="415" t="inlineStr">
        <is>
          <t>LOS_APP_LOAN_DISBURSEMENT</t>
        </is>
      </c>
      <c r="C49" s="433" t="inlineStr">
        <is>
          <t>ld_los</t>
        </is>
      </c>
      <c r="D49" s="445" t="inlineStr">
        <is>
          <t>(LEFT JOIN) ON ld_los.EXT_REF_NO_1 = SUBSTR(ldh.RECID, 1, INSTR(ldh.RECID, ';') - 1)
            AND ld_los.AMND_STATE = 'F'
            AND ld_los.STATUS IN ('A', 'U')
            AND ld_los.BOOKING_DATE = TO_DATE(COALESCE(ldh.ORIG_VAL_DATE, ldh.VALUE_DATE), 'YYYYMMDD')</t>
        </is>
      </c>
      <c r="E49" s="435" t="n"/>
      <c r="F49" s="435" t="n"/>
      <c r="G49" s="435" t="n"/>
      <c r="H49" s="435" t="n"/>
      <c r="I49" s="435" t="n"/>
      <c r="J49" s="435" t="n"/>
      <c r="K49" s="435" t="n"/>
    </row>
    <row r="50" ht="14.25" customHeight="1" s="335">
      <c r="A50" s="415" t="inlineStr">
        <is>
          <t>PG_BRONZE</t>
        </is>
      </c>
      <c r="B50" s="415" t="inlineStr">
        <is>
          <t>LOS_APP_FACILITY</t>
        </is>
      </c>
      <c r="C50" s="433" t="inlineStr">
        <is>
          <t>los</t>
        </is>
      </c>
      <c r="D50" s="647" t="inlineStr">
        <is>
          <t>(LEFT JOIN) ld_los.FACILITY_ID = los.ID</t>
        </is>
      </c>
      <c r="E50" s="435" t="n"/>
      <c r="F50" s="435" t="n"/>
      <c r="G50" s="435" t="n"/>
      <c r="H50" s="435" t="n"/>
      <c r="I50" s="435" t="n"/>
      <c r="J50" s="435" t="n"/>
      <c r="K50" s="435" t="n"/>
    </row>
    <row r="51" ht="14.25" customHeight="1" s="335">
      <c r="A51" s="415" t="inlineStr">
        <is>
          <t>PG_BRONZE</t>
        </is>
      </c>
      <c r="B51" s="415" t="inlineStr">
        <is>
          <t>LOS_APP_PRODUCT</t>
        </is>
      </c>
      <c r="C51" s="433" t="inlineStr">
        <is>
          <t>pd_los</t>
        </is>
      </c>
      <c r="D51" s="648" t="inlineStr">
        <is>
          <t>(LEFT JOIN) los.PRODUCT_ID = pd_los.ID</t>
        </is>
      </c>
      <c r="E51" s="435" t="n"/>
      <c r="F51" s="435" t="n"/>
      <c r="G51" s="435" t="n"/>
      <c r="H51" s="435" t="n"/>
      <c r="I51" s="435" t="n"/>
      <c r="J51" s="435" t="n"/>
      <c r="K51" s="435" t="n"/>
    </row>
    <row r="52" ht="14.25" customHeight="1" s="335">
      <c r="A52" s="415" t="inlineStr">
        <is>
          <t>PG_BRONZE</t>
        </is>
      </c>
      <c r="B52" s="415" t="inlineStr">
        <is>
          <t>T24CORE_CUSTOMER</t>
        </is>
      </c>
      <c r="C52" s="435" t="inlineStr">
        <is>
          <t>i</t>
        </is>
      </c>
      <c r="D52" s="433" t="inlineStr">
        <is>
          <t>(left join) ON i.RECID = ldh.CUSTOMER_ID</t>
        </is>
      </c>
      <c r="E52" s="435" t="n"/>
      <c r="F52" s="435" t="n"/>
      <c r="G52" s="435" t="n"/>
      <c r="H52" s="435" t="n"/>
      <c r="I52" s="435" t="n"/>
      <c r="J52" s="435" t="n"/>
      <c r="K52" s="435" t="n"/>
    </row>
    <row r="53" ht="14.25" customHeight="1" s="335">
      <c r="A53" s="500" t="n"/>
      <c r="B53" s="500" t="n"/>
      <c r="C53" s="500" t="n"/>
      <c r="D53" s="500" t="n"/>
      <c r="E53" s="500" t="n"/>
      <c r="F53" s="500" t="n"/>
      <c r="G53" s="500" t="n"/>
      <c r="H53" s="500" t="n"/>
      <c r="I53" s="500" t="n"/>
      <c r="J53" s="500" t="n"/>
      <c r="K53" s="500" t="n"/>
    </row>
    <row r="54" ht="14.25" customHeight="1" s="335">
      <c r="A54" s="649" t="inlineStr">
        <is>
          <t>Nguồn</t>
        </is>
      </c>
      <c r="B54" s="649" t="inlineStr">
        <is>
          <t>Bảng nguồn</t>
        </is>
      </c>
      <c r="C54" s="649" t="inlineStr">
        <is>
          <t>Cột nguồn</t>
        </is>
      </c>
      <c r="D54" s="649" t="inlineStr">
        <is>
          <t>Transform</t>
        </is>
      </c>
      <c r="E54" s="649" t="inlineStr">
        <is>
          <t>Entity</t>
        </is>
      </c>
      <c r="F54" s="649" t="inlineStr">
        <is>
          <t>Attribute</t>
        </is>
      </c>
      <c r="G54" s="649" t="inlineStr">
        <is>
          <t>Bảng đích</t>
        </is>
      </c>
      <c r="H54" s="649" t="inlineStr">
        <is>
          <t>Cột đích</t>
        </is>
      </c>
      <c r="I54" s="649" t="inlineStr">
        <is>
          <t>Kiểu dữ liệu</t>
        </is>
      </c>
      <c r="J54" s="649" t="inlineStr">
        <is>
          <t>Độ dài</t>
        </is>
      </c>
      <c r="K54" s="649" t="inlineStr">
        <is>
          <t>Diễn giải</t>
        </is>
      </c>
      <c r="L54" s="649" t="inlineStr">
        <is>
          <t>Glossary</t>
        </is>
      </c>
      <c r="M54" s="649" t="inlineStr">
        <is>
          <t>DDL Comment</t>
        </is>
      </c>
      <c r="N54" s="413" t="inlineStr">
        <is>
          <t>Ghi chú kỹ thuật &amp; Business Rule</t>
        </is>
      </c>
    </row>
    <row r="55" ht="14.25" customHeight="1" s="335">
      <c r="A55" s="334" t="inlineStr">
        <is>
          <t>PG_BRONZE</t>
        </is>
      </c>
      <c r="B55" s="438" t="inlineStr">
        <is>
          <t>T24CORE_LD_LOANS_AND_DEPOSITS_HIS</t>
        </is>
      </c>
      <c r="C55" s="334" t="inlineStr">
        <is>
          <t>RECID</t>
        </is>
      </c>
      <c r="D55" s="334" t="inlineStr">
        <is>
          <t>'T24_LD_LOANS_AND_DEPOSITS_HIS'</t>
        </is>
      </c>
      <c r="E55" s="558" t="inlineStr">
        <is>
          <t>Loan Arrangement</t>
        </is>
      </c>
      <c r="F55" s="415" t="inlineStr">
        <is>
          <t>Source System Code</t>
        </is>
      </c>
      <c r="G55" s="558" t="inlineStr">
        <is>
          <t>LOAN_AR</t>
        </is>
      </c>
      <c r="H55" s="415" t="inlineStr">
        <is>
          <t>SRC_STM_CODE</t>
        </is>
      </c>
      <c r="I55" s="415" t="inlineStr">
        <is>
          <t>VARCHAR2</t>
        </is>
      </c>
      <c r="J55" s="415" t="n">
        <v>40</v>
      </c>
      <c r="K55" s="415" t="inlineStr">
        <is>
          <t>Mã hệ thống nguồn dữ liệu</t>
        </is>
      </c>
      <c r="M55" s="415">
        <f>"COMMENT ON COLUMN PG_SILVER."&amp;G55&amp;"."&amp;H55&amp;" IS '"&amp;K55&amp;"';"</f>
        <v/>
      </c>
    </row>
    <row r="56" ht="28.5" customHeight="1" s="335">
      <c r="A56" s="415" t="inlineStr">
        <is>
          <t>PG_BRONZE</t>
        </is>
      </c>
      <c r="B56" s="415" t="inlineStr">
        <is>
          <t>T24CORE_LD_LOANS_AND_DEPOSITS_HIS</t>
        </is>
      </c>
      <c r="C56" s="433" t="inlineStr">
        <is>
          <t>RECID</t>
        </is>
      </c>
      <c r="D56" s="443" t="inlineStr">
        <is>
          <t>fn_hash("T24_LD_LOANS_AND_DEPOSITS",SUBSTR(ldh.RECID,1,INSTR(ldh.RECID,';')-1))</t>
        </is>
      </c>
      <c r="E56" s="433" t="inlineStr">
        <is>
          <t>Loan Arrangement</t>
        </is>
      </c>
      <c r="F56" s="433" t="inlineStr">
        <is>
          <t>Arrangement ID</t>
        </is>
      </c>
      <c r="G56" s="558" t="inlineStr">
        <is>
          <t>LOAN_AR</t>
        </is>
      </c>
      <c r="H56" s="558" t="inlineStr">
        <is>
          <t>AR_ID</t>
        </is>
      </c>
      <c r="I56" s="415" t="inlineStr">
        <is>
          <t>CHAR</t>
        </is>
      </c>
      <c r="J56" s="415" t="n">
        <v>32</v>
      </c>
      <c r="K56" s="415" t="inlineStr">
        <is>
          <t>Unique key trên DWH</t>
        </is>
      </c>
      <c r="M56" s="415">
        <f>"COMMENT ON COLUMN PG_SILVER."&amp;G56&amp;"."&amp;H56&amp;" IS '"&amp;K56&amp;"';"</f>
        <v/>
      </c>
    </row>
    <row r="57" ht="14.25" customHeight="1" s="335">
      <c r="A57" s="415" t="inlineStr">
        <is>
          <t>PG_BRONZE</t>
        </is>
      </c>
      <c r="B57" s="415" t="inlineStr">
        <is>
          <t>T24CORE_LD_LOANS_AND_DEPOSITS_HIS</t>
        </is>
      </c>
      <c r="C57" s="433" t="inlineStr">
        <is>
          <t>RECID</t>
        </is>
      </c>
      <c r="D57" s="433" t="inlineStr">
        <is>
          <t>SUBSTR(ldh.RECID,1,INSTR(ldh.RECID,';')-1)</t>
        </is>
      </c>
      <c r="E57" s="433" t="inlineStr">
        <is>
          <t>Loan Arrangement</t>
        </is>
      </c>
      <c r="F57" s="433" t="inlineStr">
        <is>
          <t>Arrangement Code</t>
        </is>
      </c>
      <c r="G57" s="558" t="inlineStr">
        <is>
          <t>LOAN_AR</t>
        </is>
      </c>
      <c r="H57" s="558" t="inlineStr">
        <is>
          <t>AR_CODE</t>
        </is>
      </c>
      <c r="I57" s="415" t="inlineStr">
        <is>
          <t>VARCHAR2</t>
        </is>
      </c>
      <c r="J57" s="415" t="n">
        <v>40</v>
      </c>
      <c r="K57" s="433" t="inlineStr">
        <is>
          <t>Mã hợp đồng</t>
        </is>
      </c>
      <c r="M57" s="433">
        <f>"COMMENT ON COLUMN PG_SILVER."&amp;G57&amp;"."&amp;H57&amp;" IS '"&amp;K57&amp;"';"</f>
        <v/>
      </c>
    </row>
    <row r="58" ht="14.25" customHeight="1" s="335">
      <c r="A58" s="415" t="inlineStr">
        <is>
          <t>PG_BRONZE</t>
        </is>
      </c>
      <c r="B58" s="415" t="inlineStr">
        <is>
          <t>T24CORE_LD_LOANS_AND_DEPOSITS_HIS</t>
        </is>
      </c>
      <c r="C58" s="433" t="inlineStr">
        <is>
          <t>ACC_FCC</t>
        </is>
      </c>
      <c r="D58" s="433" t="inlineStr">
        <is>
          <t>1:1</t>
        </is>
      </c>
      <c r="E58" s="433" t="inlineStr">
        <is>
          <t>Loan Arrangement</t>
        </is>
      </c>
      <c r="F58" s="433" t="inlineStr">
        <is>
          <t>FCC Arrangement Code</t>
        </is>
      </c>
      <c r="G58" s="558" t="inlineStr">
        <is>
          <t>LOAN_AR</t>
        </is>
      </c>
      <c r="H58" s="558" t="inlineStr">
        <is>
          <t>FCC_AR_CODE</t>
        </is>
      </c>
      <c r="I58" s="415" t="inlineStr">
        <is>
          <t>VARCHAR2</t>
        </is>
      </c>
      <c r="J58" s="415" t="n">
        <v>40</v>
      </c>
      <c r="K58" s="433" t="inlineStr">
        <is>
          <t>Mã hợp đồng FlexCube</t>
        </is>
      </c>
      <c r="M58" s="433">
        <f>"COMMENT ON COLUMN PG_SILVER."&amp;G58&amp;"."&amp;H58&amp;" IS '"&amp;K58&amp;"';"</f>
        <v/>
      </c>
    </row>
    <row r="59" ht="14.25" customHeight="1" s="335">
      <c r="A59" s="415" t="inlineStr">
        <is>
          <t>PG_BRONZE</t>
        </is>
      </c>
      <c r="B59" s="415" t="inlineStr">
        <is>
          <t>T24CORE_LD_LOANS_AND_DEPOSITS_HIS</t>
        </is>
      </c>
      <c r="C59" s="433" t="inlineStr">
        <is>
          <t>APPROVE_AMOUNT</t>
        </is>
      </c>
      <c r="D59" s="433" t="inlineStr">
        <is>
          <t>1:1</t>
        </is>
      </c>
      <c r="E59" s="433" t="inlineStr">
        <is>
          <t>Loan Arrangement</t>
        </is>
      </c>
      <c r="F59" s="433" t="inlineStr">
        <is>
          <t>Original Amount FCY</t>
        </is>
      </c>
      <c r="G59" s="558" t="inlineStr">
        <is>
          <t>LOAN_AR</t>
        </is>
      </c>
      <c r="H59" s="558" t="inlineStr">
        <is>
          <t>ORIG_AMT_FCY</t>
        </is>
      </c>
      <c r="I59" s="415" t="inlineStr">
        <is>
          <t>NUMBER</t>
        </is>
      </c>
      <c r="J59" s="415" t="n">
        <v>25.5</v>
      </c>
      <c r="K59" s="466" t="inlineStr">
        <is>
          <t>Giá trị phê duyệt</t>
        </is>
      </c>
      <c r="M59" s="466">
        <f>"COMMENT ON COLUMN PG_SILVER."&amp;G59&amp;"."&amp;H59&amp;" IS '"&amp;K59&amp;"';"</f>
        <v/>
      </c>
    </row>
    <row r="60" ht="14.25" customHeight="1" s="335">
      <c r="A60" s="456" t="inlineStr">
        <is>
          <t>PG_BRONZE</t>
        </is>
      </c>
      <c r="B60" s="456" t="inlineStr">
        <is>
          <t>T24CORE_LD_LOANS_AND_DEPOSITS_HIS</t>
        </is>
      </c>
      <c r="C60" s="455" t="inlineStr">
        <is>
          <t>RECID</t>
        </is>
      </c>
      <c r="D60" s="455" t="inlineStr">
        <is>
          <t>NULL</t>
        </is>
      </c>
      <c r="E60" s="455" t="inlineStr">
        <is>
          <t>Loan Arrangement</t>
        </is>
      </c>
      <c r="F60" s="455" t="inlineStr">
        <is>
          <t>Checker Officer</t>
        </is>
      </c>
      <c r="G60" s="643" t="inlineStr">
        <is>
          <t>LOAN_AR</t>
        </is>
      </c>
      <c r="H60" s="643" t="inlineStr">
        <is>
          <t>CHKER_OFCR_CODE</t>
        </is>
      </c>
      <c r="I60" s="456" t="inlineStr">
        <is>
          <t>VARCHAR2</t>
        </is>
      </c>
      <c r="J60" s="456" t="n">
        <v>20</v>
      </c>
      <c r="K60" s="455" t="inlineStr">
        <is>
          <t>Mã người phê duyệt</t>
        </is>
      </c>
      <c r="L60" s="452" t="n"/>
      <c r="M60" s="455">
        <f>"COMMENT ON COLUMN PG_SILVER."&amp;G60&amp;"."&amp;H60&amp;" IS '"&amp;K60&amp;"';"</f>
        <v/>
      </c>
      <c r="N60" s="452" t="n"/>
    </row>
    <row r="61" ht="14.25" customHeight="1" s="335">
      <c r="A61" s="415" t="inlineStr">
        <is>
          <t>PG_BRONZE</t>
        </is>
      </c>
      <c r="B61" s="415" t="inlineStr">
        <is>
          <t>T24CORE_LD_LOANS_AND_DEPOSITS_HIS</t>
        </is>
      </c>
      <c r="C61" s="433" t="inlineStr">
        <is>
          <t>CATEGORY</t>
        </is>
      </c>
      <c r="D61" s="433" t="inlineStr">
        <is>
          <t>1:1</t>
        </is>
      </c>
      <c r="E61" s="433" t="inlineStr">
        <is>
          <t>Loan Arrangement</t>
        </is>
      </c>
      <c r="F61" s="334" t="inlineStr">
        <is>
          <t>Product Category Code</t>
        </is>
      </c>
      <c r="G61" s="558" t="inlineStr">
        <is>
          <t>LOAN_AR</t>
        </is>
      </c>
      <c r="H61" s="558" t="inlineStr">
        <is>
          <t>PD_CGY_CODE</t>
        </is>
      </c>
      <c r="I61" s="415" t="inlineStr">
        <is>
          <t>VARCHAR2</t>
        </is>
      </c>
      <c r="J61" s="415" t="n">
        <v>20</v>
      </c>
      <c r="K61" s="433" t="inlineStr">
        <is>
          <t>Mã phân loại sản phẩm</t>
        </is>
      </c>
      <c r="M61" s="433">
        <f>"COMMENT ON COLUMN PG_SILVER."&amp;G61&amp;"."&amp;H61&amp;" IS '"&amp;K61&amp;"';"</f>
        <v/>
      </c>
    </row>
    <row r="62" ht="14.25" customHeight="1" s="335">
      <c r="A62" s="415" t="inlineStr">
        <is>
          <t>PG_BRONZE</t>
        </is>
      </c>
      <c r="B62" s="415" t="inlineStr">
        <is>
          <t>T24CORE_LD_LOANS_AND_DEPOSITS_HIS</t>
        </is>
      </c>
      <c r="C62" s="433" t="inlineStr">
        <is>
          <t>CO_CODE, RECID, VALUE_DATE, CURR_NO</t>
        </is>
      </c>
      <c r="D62" s="433" t="inlineStr">
        <is>
          <t>FIRST_VALUE(ldh.CO_CODE) OVER (PARTITION BY SUBSTR(ldh.RECID, 1, INSTR(ldh.RECID, ';') - 1) ORDER BY ldh.VALUE_DATE ASC, ldh.CURR_NO ASC)</t>
        </is>
      </c>
      <c r="E62" s="433" t="inlineStr">
        <is>
          <t>Loan Arrangement</t>
        </is>
      </c>
      <c r="F62" s="433" t="inlineStr">
        <is>
          <t>First Organization Unit Code</t>
        </is>
      </c>
      <c r="G62" s="558" t="inlineStr">
        <is>
          <t>LOAN_AR</t>
        </is>
      </c>
      <c r="H62" s="575" t="inlineStr">
        <is>
          <t>FRST_OU_CODE</t>
        </is>
      </c>
      <c r="I62" s="415" t="inlineStr">
        <is>
          <t>VARCHAR2</t>
        </is>
      </c>
      <c r="J62" s="415" t="n">
        <v>20</v>
      </c>
      <c r="K62" s="433" t="inlineStr">
        <is>
          <t>Mã chi nhánh quản lý đầu tiên</t>
        </is>
      </c>
      <c r="M62" s="433">
        <f>"COMMENT ON COLUMN PG_SILVER."&amp;G62&amp;"."&amp;H62&amp;" IS '"&amp;K62&amp;"';"</f>
        <v/>
      </c>
    </row>
    <row r="63" ht="14.25" customHeight="1" s="335">
      <c r="A63" s="415" t="inlineStr">
        <is>
          <t>PG_BRONZE</t>
        </is>
      </c>
      <c r="B63" s="415" t="inlineStr">
        <is>
          <t>T24CORE_LD_LOANS_AND_DEPOSITS_HIS</t>
        </is>
      </c>
      <c r="C63" s="433" t="inlineStr">
        <is>
          <t>CRA_LD</t>
        </is>
      </c>
      <c r="D63" s="433" t="inlineStr">
        <is>
          <t>1:1</t>
        </is>
      </c>
      <c r="E63" s="433" t="inlineStr">
        <is>
          <t>Loan Arrangement</t>
        </is>
      </c>
      <c r="F63" s="433" t="inlineStr">
        <is>
          <t>Paper Contract Number</t>
        </is>
      </c>
      <c r="G63" s="558" t="inlineStr">
        <is>
          <t>LOAN_AR</t>
        </is>
      </c>
      <c r="H63" s="558" t="inlineStr">
        <is>
          <t>PPR_CTR_NBR</t>
        </is>
      </c>
      <c r="I63" s="415" t="inlineStr">
        <is>
          <t>VARCHAR2</t>
        </is>
      </c>
      <c r="J63" s="415" t="n">
        <v>100</v>
      </c>
      <c r="K63" s="433" t="inlineStr">
        <is>
          <t>Mã hồ sơ</t>
        </is>
      </c>
      <c r="M63" s="433">
        <f>"COMMENT ON COLUMN PG_SILVER."&amp;G63&amp;"."&amp;H63&amp;" IS '"&amp;K63&amp;"';"</f>
        <v/>
      </c>
    </row>
    <row r="64" ht="14.25" customHeight="1" s="335">
      <c r="A64" s="415" t="inlineStr">
        <is>
          <t>PG_BRONZE</t>
        </is>
      </c>
      <c r="B64" s="415" t="inlineStr">
        <is>
          <t>T24CORE_LD_LOANS_AND_DEPOSITS_HIS</t>
        </is>
      </c>
      <c r="C64" s="433" t="inlineStr">
        <is>
          <t>CURRENCY</t>
        </is>
      </c>
      <c r="D64" s="433" t="inlineStr">
        <is>
          <t>1:1</t>
        </is>
      </c>
      <c r="E64" s="433" t="inlineStr">
        <is>
          <t>Loan Arrangement</t>
        </is>
      </c>
      <c r="F64" s="433" t="inlineStr">
        <is>
          <t>Currency Code</t>
        </is>
      </c>
      <c r="G64" s="558" t="inlineStr">
        <is>
          <t>LOAN_AR</t>
        </is>
      </c>
      <c r="H64" s="558" t="inlineStr">
        <is>
          <t>CCY_CODE</t>
        </is>
      </c>
      <c r="I64" s="415" t="inlineStr">
        <is>
          <t>VARCHAR2</t>
        </is>
      </c>
      <c r="J64" s="415" t="n">
        <v>20</v>
      </c>
      <c r="K64" s="433" t="inlineStr">
        <is>
          <t>Loại tiền</t>
        </is>
      </c>
      <c r="M64" s="433">
        <f>"COMMENT ON COLUMN PG_SILVER."&amp;G64&amp;"."&amp;H64&amp;" IS '"&amp;K64&amp;"';"</f>
        <v/>
      </c>
    </row>
    <row r="65" ht="14.25" customHeight="1" s="335">
      <c r="A65" s="415" t="inlineStr">
        <is>
          <t>PG_BRONZE</t>
        </is>
      </c>
      <c r="B65" s="415" t="inlineStr">
        <is>
          <t>T24CORE_LD_LOANS_AND_DEPOSITS_HIS</t>
        </is>
      </c>
      <c r="C65" s="433" t="inlineStr">
        <is>
          <t>CUSTOMER_ID</t>
        </is>
      </c>
      <c r="D65" s="433" t="inlineStr">
        <is>
          <t>1:1</t>
        </is>
      </c>
      <c r="E65" s="433" t="inlineStr">
        <is>
          <t>Loan Arrangement</t>
        </is>
      </c>
      <c r="F65" s="433" t="inlineStr">
        <is>
          <t>Customer Code</t>
        </is>
      </c>
      <c r="G65" s="558" t="inlineStr">
        <is>
          <t>LOAN_AR</t>
        </is>
      </c>
      <c r="H65" s="558" t="inlineStr">
        <is>
          <t>CST_CODE</t>
        </is>
      </c>
      <c r="I65" s="415" t="inlineStr">
        <is>
          <t>VARCHAR2</t>
        </is>
      </c>
      <c r="J65" s="415" t="n">
        <v>20</v>
      </c>
      <c r="K65" s="433" t="inlineStr">
        <is>
          <t>Mã khách hàng</t>
        </is>
      </c>
      <c r="M65" s="433">
        <f>"COMMENT ON COLUMN PG_SILVER."&amp;G65&amp;"."&amp;H65&amp;" IS '"&amp;K65&amp;"';"</f>
        <v/>
      </c>
    </row>
    <row r="66" ht="14.25" customHeight="1" s="335">
      <c r="A66" s="415" t="inlineStr">
        <is>
          <t>PG_BRONZE</t>
        </is>
      </c>
      <c r="B66" s="415" t="inlineStr">
        <is>
          <t>T24CORE_LD_LOANS_AND_DEPOSITS_HIS</t>
        </is>
      </c>
      <c r="C66" s="433" t="inlineStr">
        <is>
          <t>CUSTOMER_ID</t>
        </is>
      </c>
      <c r="D66" s="433" t="inlineStr">
        <is>
          <t>fn_hash("T24_CUSTOMER", ldh.CUSTOMER_ID)</t>
        </is>
      </c>
      <c r="E66" s="433" t="inlineStr">
        <is>
          <t>Loan Arrangement</t>
        </is>
      </c>
      <c r="F66" s="433" t="inlineStr">
        <is>
          <t>Customer ID</t>
        </is>
      </c>
      <c r="G66" s="558" t="inlineStr">
        <is>
          <t>LOAN_AR</t>
        </is>
      </c>
      <c r="H66" s="575" t="inlineStr">
        <is>
          <t>CST_ID</t>
        </is>
      </c>
      <c r="I66" s="415" t="inlineStr">
        <is>
          <t>CHAR</t>
        </is>
      </c>
      <c r="J66" s="415" t="n">
        <v>32</v>
      </c>
      <c r="K66" s="433" t="inlineStr">
        <is>
          <t>Mã khách hàng</t>
        </is>
      </c>
      <c r="M66" s="433">
        <f>"COMMENT ON COLUMN PG_SILVER."&amp;G66&amp;"."&amp;H66&amp;" IS '"&amp;K66&amp;"';"</f>
        <v/>
      </c>
    </row>
    <row r="67" ht="14.25" customHeight="1" s="335">
      <c r="A67" s="415" t="inlineStr">
        <is>
          <t>PG_BRONZE</t>
        </is>
      </c>
      <c r="B67" s="415" t="inlineStr">
        <is>
          <t>T24CORE_LD_LOANS_AND_DEPOSITS_HIS</t>
        </is>
      </c>
      <c r="C67" s="433" t="inlineStr">
        <is>
          <t>DRAWDOWN_NET_AMT</t>
        </is>
      </c>
      <c r="D67" s="433" t="inlineStr">
        <is>
          <t>1:1</t>
        </is>
      </c>
      <c r="E67" s="433" t="inlineStr">
        <is>
          <t>Loan Arrangement</t>
        </is>
      </c>
      <c r="F67" s="433" t="inlineStr">
        <is>
          <t>Disbursement Amount FCY</t>
        </is>
      </c>
      <c r="G67" s="558" t="inlineStr">
        <is>
          <t>LOAN_AR</t>
        </is>
      </c>
      <c r="H67" s="558" t="inlineStr">
        <is>
          <t>DSBR_AMT_FCY</t>
        </is>
      </c>
      <c r="I67" s="415" t="inlineStr">
        <is>
          <t>NUMBER</t>
        </is>
      </c>
      <c r="J67" s="415" t="n">
        <v>25.5</v>
      </c>
      <c r="K67" s="433" t="inlineStr">
        <is>
          <t>Số tiền thực tế giải ngân</t>
        </is>
      </c>
      <c r="M67" s="433">
        <f>"COMMENT ON COLUMN PG_SILVER."&amp;G67&amp;"."&amp;H67&amp;" IS '"&amp;K67&amp;"';"</f>
        <v/>
      </c>
    </row>
    <row r="68" ht="14.25" customHeight="1" s="335">
      <c r="A68" s="415" t="inlineStr">
        <is>
          <t>PG_BRONZE</t>
        </is>
      </c>
      <c r="B68" s="415" t="inlineStr">
        <is>
          <t>T24CORE_LD_LOANS_AND_DEPOSITS_HIS</t>
        </is>
      </c>
      <c r="C68" s="433" t="inlineStr">
        <is>
          <t>EXCG_RATE</t>
        </is>
      </c>
      <c r="D68" s="433" t="inlineStr">
        <is>
          <t>1:1</t>
        </is>
      </c>
      <c r="E68" s="433" t="inlineStr">
        <is>
          <t>Loan Arrangement</t>
        </is>
      </c>
      <c r="F68" s="433" t="inlineStr">
        <is>
          <t>Exchange Rate To Local Currency</t>
        </is>
      </c>
      <c r="G68" s="558" t="inlineStr">
        <is>
          <t>LOAN_AR</t>
        </is>
      </c>
      <c r="H68" s="558" t="inlineStr">
        <is>
          <t>EXG_RATE_TO_LCL_CCY</t>
        </is>
      </c>
      <c r="I68" s="415" t="inlineStr">
        <is>
          <t>NUMBER</t>
        </is>
      </c>
      <c r="J68" s="415" t="n">
        <v>25.7</v>
      </c>
      <c r="K68" s="433" t="inlineStr">
        <is>
          <t>Tỷ giá quy đổi</t>
        </is>
      </c>
      <c r="M68" s="433">
        <f>"COMMENT ON COLUMN PG_SILVER."&amp;G68&amp;"."&amp;H68&amp;" IS '"&amp;K68&amp;"';"</f>
        <v/>
      </c>
    </row>
    <row r="69" ht="14.25" customHeight="1" s="335">
      <c r="A69" s="415" t="inlineStr">
        <is>
          <t>PG_BRONZE</t>
        </is>
      </c>
      <c r="B69" s="415" t="inlineStr">
        <is>
          <t>T24CORE_LD_LOANS_AND_DEPOSITS_HIS</t>
        </is>
      </c>
      <c r="C69" s="433" t="inlineStr">
        <is>
          <t>RECID</t>
        </is>
      </c>
      <c r="D69" s="433" t="inlineStr">
        <is>
          <t>NULL</t>
        </is>
      </c>
      <c r="E69" s="433" t="inlineStr">
        <is>
          <t>Loan Arrangement</t>
        </is>
      </c>
      <c r="F69" s="334" t="inlineStr">
        <is>
          <t>FCC Limit Code</t>
        </is>
      </c>
      <c r="G69" s="558" t="inlineStr">
        <is>
          <t>LOAN_AR</t>
        </is>
      </c>
      <c r="H69" s="575" t="inlineStr">
        <is>
          <t>FCC_LMT_CODE</t>
        </is>
      </c>
      <c r="I69" s="415" t="inlineStr">
        <is>
          <t>VARCHAR2</t>
        </is>
      </c>
      <c r="J69" s="415" t="n">
        <v>20</v>
      </c>
      <c r="K69" s="334" t="inlineStr">
        <is>
          <t>Mã hạn mức trên Flexcube</t>
        </is>
      </c>
      <c r="M69" s="334">
        <f>"COMMENT ON COLUMN PG_SILVER."&amp;G69&amp;"."&amp;H69&amp;" IS '"&amp;K69&amp;"';"</f>
        <v/>
      </c>
    </row>
    <row r="70" ht="14.25" customHeight="1" s="335">
      <c r="A70" s="415" t="inlineStr">
        <is>
          <t>PG_BRONZE</t>
        </is>
      </c>
      <c r="B70" s="415" t="inlineStr">
        <is>
          <t>T24CORE_LD_LOANS_AND_DEPOSITS_HIS</t>
        </is>
      </c>
      <c r="C70" s="433" t="inlineStr">
        <is>
          <t>FIN_MAT_DATE</t>
        </is>
      </c>
      <c r="D70" s="433" t="inlineStr">
        <is>
          <t>1:1</t>
        </is>
      </c>
      <c r="E70" s="433" t="inlineStr">
        <is>
          <t>Loan Arrangement</t>
        </is>
      </c>
      <c r="F70" s="433" t="inlineStr">
        <is>
          <t>Maturity Date</t>
        </is>
      </c>
      <c r="G70" s="558" t="inlineStr">
        <is>
          <t>LOAN_AR</t>
        </is>
      </c>
      <c r="H70" s="558" t="inlineStr">
        <is>
          <t>MAT_DT</t>
        </is>
      </c>
      <c r="I70" s="415" t="inlineStr">
        <is>
          <t>DATE</t>
        </is>
      </c>
      <c r="J70" s="415" t="n"/>
      <c r="K70" s="433" t="inlineStr">
        <is>
          <t>Ngày đáo hạn hợp đồng</t>
        </is>
      </c>
      <c r="M70" s="433">
        <f>"COMMENT ON COLUMN PG_SILVER."&amp;G70&amp;"."&amp;H70&amp;" IS '"&amp;K70&amp;"';"</f>
        <v/>
      </c>
    </row>
    <row r="71" ht="14.25" customHeight="1" s="335">
      <c r="A71" s="456" t="inlineStr">
        <is>
          <t>PG_BRONZE</t>
        </is>
      </c>
      <c r="B71" s="456" t="inlineStr">
        <is>
          <t>T24CORE_LD_LOANS_AND_DEPOSITS_HIS</t>
        </is>
      </c>
      <c r="C71" s="455" t="inlineStr">
        <is>
          <t>RECID</t>
        </is>
      </c>
      <c r="D71" s="455" t="inlineStr">
        <is>
          <t>NULL</t>
        </is>
      </c>
      <c r="E71" s="455" t="inlineStr">
        <is>
          <t>Loan Arrangement</t>
        </is>
      </c>
      <c r="F71" s="455" t="inlineStr">
        <is>
          <t>Maker Officer</t>
        </is>
      </c>
      <c r="G71" s="643" t="inlineStr">
        <is>
          <t>LOAN_AR</t>
        </is>
      </c>
      <c r="H71" s="643" t="inlineStr">
        <is>
          <t>MAKER_OFCR_CODE</t>
        </is>
      </c>
      <c r="I71" s="456" t="inlineStr">
        <is>
          <t>VARCHAR2</t>
        </is>
      </c>
      <c r="J71" s="456" t="n">
        <v>20</v>
      </c>
      <c r="K71" s="455" t="inlineStr">
        <is>
          <t>ID người nhập liệu</t>
        </is>
      </c>
      <c r="L71" s="452" t="n"/>
      <c r="M71" s="455">
        <f>"COMMENT ON COLUMN PG_SILVER."&amp;G71&amp;"."&amp;H71&amp;" IS '"&amp;K71&amp;"';"</f>
        <v/>
      </c>
      <c r="N71" s="452" t="n"/>
    </row>
    <row r="72" ht="14.25" customHeight="1" s="335">
      <c r="A72" s="415" t="inlineStr">
        <is>
          <t>PG_BRONZE</t>
        </is>
      </c>
      <c r="B72" s="415" t="inlineStr">
        <is>
          <t>T24CORE_LD_LOANS_AND_DEPOSITS_HIS</t>
        </is>
      </c>
      <c r="C72" s="433" t="inlineStr">
        <is>
          <t>RECID</t>
        </is>
      </c>
      <c r="D72" s="433" t="inlineStr">
        <is>
          <t>NULL</t>
        </is>
      </c>
      <c r="E72" s="433" t="inlineStr">
        <is>
          <t>Loan Arrangement</t>
        </is>
      </c>
      <c r="F72" s="433" t="inlineStr">
        <is>
          <t>Limit Code</t>
        </is>
      </c>
      <c r="G72" s="558" t="inlineStr">
        <is>
          <t>LOAN_AR</t>
        </is>
      </c>
      <c r="H72" s="558" t="inlineStr">
        <is>
          <t>LMT_CODE</t>
        </is>
      </c>
      <c r="I72" s="415" t="inlineStr">
        <is>
          <t>VARCHAR2</t>
        </is>
      </c>
      <c r="J72" s="415" t="n">
        <v>32</v>
      </c>
      <c r="K72" s="433" t="inlineStr">
        <is>
          <t>Mã tham chiếu hạn mức</t>
        </is>
      </c>
      <c r="M72" s="433">
        <f>"COMMENT ON COLUMN PG_SILVER."&amp;G72&amp;"."&amp;H72&amp;" IS '"&amp;K72&amp;"';"</f>
        <v/>
      </c>
    </row>
    <row r="73" ht="14.25" customHeight="1" s="335">
      <c r="A73" s="415" t="inlineStr">
        <is>
          <t>PG_BRONZE</t>
        </is>
      </c>
      <c r="B73" s="415" t="inlineStr">
        <is>
          <t>T24CORE_LD_LOANS_AND_DEPOSITS_HIS</t>
        </is>
      </c>
      <c r="C73" s="433" t="inlineStr">
        <is>
          <t>RECID</t>
        </is>
      </c>
      <c r="D73" s="433" t="inlineStr">
        <is>
          <t>NULL</t>
        </is>
      </c>
      <c r="E73" s="433" t="inlineStr">
        <is>
          <t>Loan Arrangement</t>
        </is>
      </c>
      <c r="F73" s="433" t="inlineStr">
        <is>
          <t>Limit Id</t>
        </is>
      </c>
      <c r="G73" s="558" t="inlineStr">
        <is>
          <t>LOAN_AR</t>
        </is>
      </c>
      <c r="H73" s="575" t="inlineStr">
        <is>
          <t>LMT_ID</t>
        </is>
      </c>
      <c r="I73" s="415" t="inlineStr">
        <is>
          <t>CHAR</t>
        </is>
      </c>
      <c r="J73" s="415" t="n">
        <v>32</v>
      </c>
      <c r="K73" s="433" t="inlineStr">
        <is>
          <t>Mã tham chiếu hạn mức</t>
        </is>
      </c>
      <c r="M73" s="433">
        <f>"COMMENT ON COLUMN PG_SILVER."&amp;G73&amp;"."&amp;H73&amp;" IS '"&amp;K73&amp;"';"</f>
        <v/>
      </c>
    </row>
    <row r="74" ht="14.25" customHeight="1" s="335">
      <c r="A74" s="415" t="inlineStr">
        <is>
          <t>PG_BRONZE</t>
        </is>
      </c>
      <c r="B74" s="415" t="inlineStr">
        <is>
          <t>T24CORE_LD_LOANS_AND_DEPOSITS_HIS</t>
        </is>
      </c>
      <c r="C74" s="433" t="inlineStr">
        <is>
          <t>LOC_TERM</t>
        </is>
      </c>
      <c r="D74" s="433" t="inlineStr">
        <is>
          <t>1:1</t>
        </is>
      </c>
      <c r="E74" s="433" t="inlineStr">
        <is>
          <t>Loan Arrangement</t>
        </is>
      </c>
      <c r="F74" s="433" t="inlineStr">
        <is>
          <t>Term Code</t>
        </is>
      </c>
      <c r="G74" s="558" t="inlineStr">
        <is>
          <t>LOAN_AR</t>
        </is>
      </c>
      <c r="H74" s="558" t="inlineStr">
        <is>
          <t>TERM_CODE</t>
        </is>
      </c>
      <c r="I74" s="415" t="inlineStr">
        <is>
          <t>VARCHAR2</t>
        </is>
      </c>
      <c r="J74" s="415" t="n">
        <v>20</v>
      </c>
      <c r="K74" s="433" t="inlineStr">
        <is>
          <t>Kỳ hạn</t>
        </is>
      </c>
      <c r="M74" s="433">
        <f>"COMMENT ON COLUMN PG_SILVER."&amp;G74&amp;"."&amp;H74&amp;" IS '"&amp;K74&amp;"';"</f>
        <v/>
      </c>
    </row>
    <row r="75" ht="14.25" customHeight="1" s="335">
      <c r="A75" s="415" t="inlineStr">
        <is>
          <t>PG_BRONZE</t>
        </is>
      </c>
      <c r="B75" s="415" t="inlineStr">
        <is>
          <t>T24CORE_LD_LOANS_AND_DEPOSITS_HIS</t>
        </is>
      </c>
      <c r="C75" s="433" t="inlineStr">
        <is>
          <t>RECID</t>
        </is>
      </c>
      <c r="D75" s="433" t="inlineStr">
        <is>
          <t>NULL</t>
        </is>
      </c>
      <c r="E75" s="433" t="inlineStr">
        <is>
          <t>Loan Arrangement</t>
        </is>
      </c>
      <c r="F75" s="334" t="inlineStr">
        <is>
          <t>LOS Contract Number</t>
        </is>
      </c>
      <c r="G75" s="558" t="inlineStr">
        <is>
          <t>LOAN_AR</t>
        </is>
      </c>
      <c r="H75" s="334" t="inlineStr">
        <is>
          <t>LOS_CTR_NBR</t>
        </is>
      </c>
      <c r="I75" s="415" t="inlineStr">
        <is>
          <t>VARCHAR2</t>
        </is>
      </c>
      <c r="J75" s="415" t="n">
        <v>40</v>
      </c>
      <c r="K75" s="433" t="inlineStr">
        <is>
          <t>Số hồ sơ</t>
        </is>
      </c>
      <c r="M75" s="433">
        <f>"COMMENT ON COLUMN PG_SILVER."&amp;G75&amp;"."&amp;H75&amp;" IS '"&amp;K75&amp;"';"</f>
        <v/>
      </c>
    </row>
    <row r="76" ht="14.25" customHeight="1" s="335">
      <c r="A76" s="456" t="inlineStr">
        <is>
          <t>PG_BRONZE</t>
        </is>
      </c>
      <c r="B76" s="456" t="inlineStr">
        <is>
          <t>T24CORE_LD_LOANS_AND_DEPOSITS_HIS</t>
        </is>
      </c>
      <c r="C76" s="455" t="inlineStr">
        <is>
          <t>MB_RM_BANCHEO</t>
        </is>
      </c>
      <c r="D76" s="455" t="inlineStr">
        <is>
          <t>1:1</t>
        </is>
      </c>
      <c r="E76" s="455" t="inlineStr">
        <is>
          <t>Loan Arrangement</t>
        </is>
      </c>
      <c r="F76" s="455" t="inlineStr">
        <is>
          <t>Referrer Officer</t>
        </is>
      </c>
      <c r="G76" s="643" t="inlineStr">
        <is>
          <t>LOAN_AR</t>
        </is>
      </c>
      <c r="H76" s="643" t="inlineStr">
        <is>
          <t>REFRRER_OFCR_CODE</t>
        </is>
      </c>
      <c r="I76" s="456" t="inlineStr">
        <is>
          <t>VARCHAR2</t>
        </is>
      </c>
      <c r="J76" s="456" t="n">
        <v>20</v>
      </c>
      <c r="K76" s="455" t="inlineStr">
        <is>
          <t>ID nhân viên giới thiệu</t>
        </is>
      </c>
      <c r="L76" s="452" t="n"/>
      <c r="M76" s="455">
        <f>"COMMENT ON COLUMN PG_SILVER."&amp;G76&amp;"."&amp;H76&amp;" IS '"&amp;K76&amp;"';"</f>
        <v/>
      </c>
      <c r="N76" s="452" t="n"/>
    </row>
    <row r="77" ht="14.25" customHeight="1" s="335">
      <c r="A77" s="415" t="inlineStr">
        <is>
          <t>PG_BRONZE</t>
        </is>
      </c>
      <c r="B77" s="415" t="inlineStr">
        <is>
          <t>T24CORE_LD_LOANS_AND_DEPOSITS_HIS</t>
        </is>
      </c>
      <c r="C77" s="433" t="inlineStr">
        <is>
          <t>ORIG_VAL_DATE</t>
        </is>
      </c>
      <c r="D77" s="433" t="inlineStr">
        <is>
          <t>1:1</t>
        </is>
      </c>
      <c r="E77" s="433" t="inlineStr">
        <is>
          <t>Loan Arrangement</t>
        </is>
      </c>
      <c r="F77" s="433" t="inlineStr">
        <is>
          <t>Value Date</t>
        </is>
      </c>
      <c r="G77" s="558" t="inlineStr">
        <is>
          <t>LOAN_AR</t>
        </is>
      </c>
      <c r="H77" s="558" t="inlineStr">
        <is>
          <t>VAL_DT</t>
        </is>
      </c>
      <c r="I77" s="415" t="inlineStr">
        <is>
          <t>DATE</t>
        </is>
      </c>
      <c r="J77" s="415" t="n"/>
      <c r="K77" s="433" t="inlineStr">
        <is>
          <t>Ngày hiệu lực đầu tiên của hợp đồng</t>
        </is>
      </c>
      <c r="M77" s="433">
        <f>"COMMENT ON COLUMN PG_SILVER."&amp;G77&amp;"."&amp;H77&amp;" IS '"&amp;K77&amp;"';"</f>
        <v/>
      </c>
    </row>
    <row r="78" ht="100.5" customHeight="1" s="335">
      <c r="A78" s="415" t="inlineStr">
        <is>
          <t>PG_BRONZE</t>
        </is>
      </c>
      <c r="B78" s="415" t="inlineStr">
        <is>
          <t>FLEXBO_PGB_LOS_CONTRACT_FIELDS_TDATE, LOS_APP_PRODUCT, T24CORE_LD_LOANS_AND_DEPOSITS_HIS, T24CORE_CUSTOMER</t>
        </is>
      </c>
      <c r="C78" s="433" t="inlineStr">
        <is>
          <t>SAN_PHAM_CHO_VAY_KHCN, SAN_PHAM_CHO_VAY_KHDN, PRODUCT_CODE, ACC_FCC, KHOI</t>
        </is>
      </c>
      <c r="D78" s="445" t="inlineStr">
        <is>
          <t>CASE
        WHEN ldh.ACC_FCC IS NOT NULL AND i.KHOI = 'INDIV' THEN td.SAN_PHAM_CHO_VAY_KHCN
        WHEN ldh.ACC_FCC IS NOT NULL AND i.KHOI &lt;&gt; 'INDIV' THEN td.SAN_PHAM_CHO_VAY_KHDN
        ELSE pd_los.PRODUCT_CODE
END</t>
        </is>
      </c>
      <c r="E78" s="433" t="inlineStr">
        <is>
          <t>Loan Arrangement</t>
        </is>
      </c>
      <c r="F78" s="334" t="inlineStr">
        <is>
          <t>Product Code</t>
        </is>
      </c>
      <c r="G78" s="558" t="inlineStr">
        <is>
          <t>LOAN_AR</t>
        </is>
      </c>
      <c r="H78" s="558" t="inlineStr">
        <is>
          <t>PD_CODE</t>
        </is>
      </c>
      <c r="I78" s="415" t="inlineStr">
        <is>
          <t>VARCHAR2</t>
        </is>
      </c>
      <c r="J78" s="415" t="n">
        <v>20</v>
      </c>
      <c r="K78" s="433" t="inlineStr">
        <is>
          <t>Mã nhóm sản phẩm</t>
        </is>
      </c>
      <c r="M78" s="433">
        <f>"COMMENT ON COLUMN PG_SILVER."&amp;G78&amp;"."&amp;H78&amp;" IS '"&amp;K78&amp;"';"</f>
        <v/>
      </c>
      <c r="N78" s="414" t="inlineStr">
        <is>
          <t>Sửa alias thành `ldh.ORIG_VAL_DATE`, cắt chuỗi `ldh.RECID` và bổ sung `END`.</t>
        </is>
      </c>
    </row>
    <row r="79" ht="14.25" customHeight="1" s="335">
      <c r="A79" s="415" t="inlineStr">
        <is>
          <t>PG_BRONZE</t>
        </is>
      </c>
      <c r="B79" s="415" t="inlineStr">
        <is>
          <t>FLEXBO_PGB_LOS_CONTRACT_FIELDS_TDATE, T24CORE_LD_LOANS_AND_DEPOSITS_HIS</t>
        </is>
      </c>
      <c r="C79" s="433" t="inlineStr">
        <is>
          <t>MDVAY_SP, USE_OF_LOAN</t>
        </is>
      </c>
      <c r="D79" s="433" t="inlineStr">
        <is>
          <t>NVL(td.MDVAY_SP, ldh.USE_OF_LOAN)</t>
        </is>
      </c>
      <c r="E79" s="433" t="inlineStr">
        <is>
          <t>Loan Arrangement</t>
        </is>
      </c>
      <c r="F79" s="433" t="inlineStr">
        <is>
          <t>Arrangement Purpose Type Code</t>
        </is>
      </c>
      <c r="G79" s="558" t="inlineStr">
        <is>
          <t>LOAN_AR</t>
        </is>
      </c>
      <c r="H79" s="558" t="inlineStr">
        <is>
          <t>AR_PPS_TP_CODE</t>
        </is>
      </c>
      <c r="I79" s="415" t="inlineStr">
        <is>
          <t>VARCHAR2</t>
        </is>
      </c>
      <c r="J79" s="415" t="n">
        <v>40</v>
      </c>
      <c r="K79" s="433" t="inlineStr">
        <is>
          <t>Mã mục đích vay</t>
        </is>
      </c>
      <c r="M79" s="433">
        <f>"COMMENT ON COLUMN PG_SILVER."&amp;G79&amp;"."&amp;H79&amp;" IS '"&amp;K79&amp;"';"</f>
        <v/>
      </c>
    </row>
    <row r="80" ht="14.25" customHeight="1" s="335">
      <c r="A80" s="415" t="inlineStr">
        <is>
          <t>PG_BRONZE</t>
        </is>
      </c>
      <c r="B80" s="415" t="inlineStr">
        <is>
          <t>T24CORE_LD_LOANS_AND_DEPOSITS_HIS</t>
        </is>
      </c>
      <c r="C80" s="433" t="inlineStr">
        <is>
          <t>USE_OF_LOAN_CHA</t>
        </is>
      </c>
      <c r="D80" s="433" t="inlineStr">
        <is>
          <t>1:1</t>
        </is>
      </c>
      <c r="E80" s="433" t="inlineStr">
        <is>
          <t>Loan Arrangement</t>
        </is>
      </c>
      <c r="F80" s="433" t="inlineStr">
        <is>
          <t>Arrangement Purpose Group Code</t>
        </is>
      </c>
      <c r="G80" s="558" t="inlineStr">
        <is>
          <t>LOAN_AR</t>
        </is>
      </c>
      <c r="H80" s="558" t="inlineStr">
        <is>
          <t>AR_PPS_GRP_CODE</t>
        </is>
      </c>
      <c r="I80" s="415" t="inlineStr">
        <is>
          <t>VARCHAR2</t>
        </is>
      </c>
      <c r="J80" s="415" t="n">
        <v>40</v>
      </c>
      <c r="K80" s="433" t="inlineStr">
        <is>
          <t>Mã nhóm mục đích vay</t>
        </is>
      </c>
      <c r="M80" s="433">
        <f>"COMMENT ON COLUMN PG_SILVER."&amp;G80&amp;"."&amp;H80&amp;" IS '"&amp;K80&amp;"';"</f>
        <v/>
      </c>
    </row>
    <row r="81" ht="14.25" customHeight="1" s="335">
      <c r="A81" s="415" t="inlineStr">
        <is>
          <t>PG_BRONZE</t>
        </is>
      </c>
      <c r="B81" s="415" t="inlineStr">
        <is>
          <t>T24CORE_LD_LOANS_AND_DEPOSITS_HIS</t>
        </is>
      </c>
      <c r="C81" s="433" t="inlineStr">
        <is>
          <t>VALUE_DATE</t>
        </is>
      </c>
      <c r="D81" s="433" t="inlineStr">
        <is>
          <t>1:1</t>
        </is>
      </c>
      <c r="E81" s="433" t="inlineStr">
        <is>
          <t>Loan Arrangement</t>
        </is>
      </c>
      <c r="F81" s="433" t="inlineStr">
        <is>
          <t>Effective Date</t>
        </is>
      </c>
      <c r="G81" s="558" t="inlineStr">
        <is>
          <t>LOAN_AR</t>
        </is>
      </c>
      <c r="H81" s="558" t="inlineStr">
        <is>
          <t>EFF_DT</t>
        </is>
      </c>
      <c r="I81" s="415" t="inlineStr">
        <is>
          <t>DATE</t>
        </is>
      </c>
      <c r="J81" s="415" t="n"/>
      <c r="K81" s="433" t="inlineStr">
        <is>
          <t>Ngày hiệu lực hợp đồng</t>
        </is>
      </c>
      <c r="M81" s="433">
        <f>"COMMENT ON COLUMN PG_SILVER."&amp;G81&amp;"."&amp;H81&amp;" IS '"&amp;K81&amp;"';"</f>
        <v/>
      </c>
    </row>
    <row r="82" ht="14.25" customHeight="1" s="335">
      <c r="A82" s="415" t="inlineStr">
        <is>
          <t>PG_BRONZE</t>
        </is>
      </c>
      <c r="B82" s="415" t="inlineStr">
        <is>
          <t>FLEXBO_PGB_LDTB_CONTRACT_MASTER</t>
        </is>
      </c>
      <c r="C82" s="433" t="inlineStr">
        <is>
          <t>BOOKING_DATE</t>
        </is>
      </c>
      <c r="D82" s="433" t="inlineStr">
        <is>
          <t>1:1</t>
        </is>
      </c>
      <c r="E82" s="433" t="inlineStr">
        <is>
          <t>Loan Arrangement</t>
        </is>
      </c>
      <c r="F82" s="334" t="inlineStr">
        <is>
          <t>FCC Value Date</t>
        </is>
      </c>
      <c r="G82" s="558" t="inlineStr">
        <is>
          <t>LOAN_AR</t>
        </is>
      </c>
      <c r="H82" s="575" t="inlineStr">
        <is>
          <t>FCC_VAL_DT</t>
        </is>
      </c>
      <c r="I82" s="415" t="inlineStr">
        <is>
          <t>DATE</t>
        </is>
      </c>
      <c r="J82" s="415" t="n"/>
      <c r="K82" s="334" t="inlineStr">
        <is>
          <t>Ngày ghi nhận</t>
        </is>
      </c>
      <c r="M82" s="334">
        <f>"COMMENT ON COLUMN PG_SILVER."&amp;G82&amp;"."&amp;H82&amp;" IS '"&amp;K82&amp;"';"</f>
        <v/>
      </c>
    </row>
    <row r="83" ht="14.25" customHeight="1" s="335">
      <c r="A83" s="415" t="inlineStr">
        <is>
          <t>PG_BRONZE</t>
        </is>
      </c>
      <c r="B83" s="415" t="inlineStr">
        <is>
          <t>T24CORE_LD_LOANS_AND_DEPOSITS_HIS</t>
        </is>
      </c>
      <c r="C83" s="415" t="inlineStr">
        <is>
          <t>RECID</t>
        </is>
      </c>
      <c r="D83" s="415" t="inlineStr">
        <is>
          <t>ETL_DATE if not exists RECID</t>
        </is>
      </c>
      <c r="E83" s="433" t="inlineStr">
        <is>
          <t>Loan Arrangement</t>
        </is>
      </c>
      <c r="F83" s="415" t="inlineStr">
        <is>
          <t>System Effective Date</t>
        </is>
      </c>
      <c r="G83" s="558" t="inlineStr">
        <is>
          <t>LOAN_AR</t>
        </is>
      </c>
      <c r="H83" s="415" t="inlineStr">
        <is>
          <t>SYS_EFF_DT</t>
        </is>
      </c>
      <c r="I83" s="415" t="inlineStr">
        <is>
          <t>DATE</t>
        </is>
      </c>
      <c r="J83" s="415" t="n"/>
      <c r="K83" s="415" t="inlineStr">
        <is>
          <t>Ngày bản ghi lần đầu tiên vào hệ thống</t>
        </is>
      </c>
      <c r="M83" s="415">
        <f>"COMMENT ON COLUMN PG_SILVER."&amp;G83&amp;"."&amp;H83&amp;" IS '"&amp;K83&amp;"';"</f>
        <v/>
      </c>
    </row>
    <row r="84" ht="14.25" customHeight="1" s="335">
      <c r="A84" s="415" t="inlineStr">
        <is>
          <t>PG_BRONZE</t>
        </is>
      </c>
      <c r="B84" s="415" t="inlineStr">
        <is>
          <t>T24CORE_LD_LOANS_AND_DEPOSITS_HIS</t>
        </is>
      </c>
      <c r="C84" s="415" t="inlineStr">
        <is>
          <t>RECID</t>
        </is>
      </c>
      <c r="D84" s="415" t="inlineStr">
        <is>
          <t>ETL_DATE if RECID was deleted</t>
        </is>
      </c>
      <c r="E84" s="433" t="inlineStr">
        <is>
          <t>Loan Arrangement</t>
        </is>
      </c>
      <c r="F84" s="415" t="inlineStr">
        <is>
          <t>System Expiry Date</t>
        </is>
      </c>
      <c r="G84" s="558" t="inlineStr">
        <is>
          <t>LOAN_AR</t>
        </is>
      </c>
      <c r="H84" s="415" t="inlineStr">
        <is>
          <t>SYS_EXP_DT</t>
        </is>
      </c>
      <c r="I84" s="415" t="inlineStr">
        <is>
          <t>DATE</t>
        </is>
      </c>
      <c r="J84" s="415" t="n"/>
      <c r="K84" s="415" t="inlineStr">
        <is>
          <t>Ngày hết hạn của bản ghi</t>
        </is>
      </c>
      <c r="M84" s="415">
        <f>"COMMENT ON COLUMN PG_SILVER."&amp;G84&amp;"."&amp;H84&amp;" IS '"&amp;K84&amp;"';"</f>
        <v/>
      </c>
    </row>
    <row r="85" ht="14.25" customHeight="1" s="335">
      <c r="A85" s="415" t="inlineStr">
        <is>
          <t>PG_BRONZE</t>
        </is>
      </c>
      <c r="B85" s="415" t="inlineStr">
        <is>
          <t>T24CORE_LD_LOANS_AND_DEPOSITS_HIS</t>
        </is>
      </c>
      <c r="C85" s="415" t="inlineStr">
        <is>
          <t>RECID</t>
        </is>
      </c>
      <c r="D85" s="415" t="inlineStr">
        <is>
          <t>ETL_DATE</t>
        </is>
      </c>
      <c r="E85" s="433" t="inlineStr">
        <is>
          <t>Loan Arrangement</t>
        </is>
      </c>
      <c r="F85" s="415" t="inlineStr">
        <is>
          <t>System Update Date</t>
        </is>
      </c>
      <c r="G85" s="558" t="inlineStr">
        <is>
          <t>LOAN_AR</t>
        </is>
      </c>
      <c r="H85" s="415" t="inlineStr">
        <is>
          <t>SYS_UDT_DT</t>
        </is>
      </c>
      <c r="I85" s="415" t="inlineStr">
        <is>
          <t>DATE</t>
        </is>
      </c>
      <c r="J85" s="415" t="n"/>
      <c r="K85" s="415" t="inlineStr">
        <is>
          <t>Ngày update dữ liệu gần nhất</t>
        </is>
      </c>
      <c r="M85" s="415">
        <f>"COMMENT ON COLUMN PG_SILVER."&amp;G85&amp;"."&amp;H85&amp;" IS '"&amp;K85&amp;"';"</f>
        <v/>
      </c>
    </row>
    <row r="87" ht="14.25" customHeight="1" s="335">
      <c r="A87" s="500" t="inlineStr">
        <is>
          <t>UNION ALL</t>
        </is>
      </c>
    </row>
    <row r="88" ht="14.25" customHeight="1" s="335">
      <c r="A88" s="432" t="inlineStr">
        <is>
          <t>Nguồn</t>
        </is>
      </c>
      <c r="B88" s="432" t="inlineStr">
        <is>
          <t>Bảng nguồn</t>
        </is>
      </c>
      <c r="C88" s="432" t="inlineStr">
        <is>
          <t>Short table</t>
        </is>
      </c>
      <c r="D88" s="432" t="inlineStr">
        <is>
          <t>Business Rule</t>
        </is>
      </c>
      <c r="E88" s="432" t="n"/>
      <c r="F88" s="432" t="n"/>
      <c r="G88" s="432" t="n"/>
      <c r="H88" s="432" t="n"/>
      <c r="I88" s="432" t="n"/>
      <c r="J88" s="432" t="n"/>
      <c r="K88" s="432" t="n"/>
    </row>
    <row r="89" ht="14.25" customHeight="1" s="335">
      <c r="A89" s="433" t="inlineStr">
        <is>
          <t>PG_BRONZE</t>
        </is>
      </c>
      <c r="B89" s="415" t="inlineStr">
        <is>
          <t>T24CORE_PD_PAYMENT_DUE</t>
        </is>
      </c>
      <c r="C89" s="433" t="inlineStr">
        <is>
          <t>d</t>
        </is>
      </c>
      <c r="D89" s="443" t="inlineStr">
        <is>
          <t>WHERE NVL(d.FLAG_STATUS, '_') &lt;&gt; 'DELETE'</t>
        </is>
      </c>
      <c r="E89" s="435" t="n"/>
      <c r="F89" s="435" t="n"/>
      <c r="G89" s="435" t="n"/>
      <c r="H89" s="435" t="n"/>
      <c r="I89" s="435" t="n"/>
      <c r="J89" s="435" t="n"/>
      <c r="K89" s="435" t="n"/>
    </row>
    <row r="90" ht="14.25" customHeight="1" s="335">
      <c r="A90" s="433" t="inlineStr">
        <is>
          <t>PG_BRONZE</t>
        </is>
      </c>
      <c r="B90" s="415" t="inlineStr">
        <is>
          <t>T24CORE_PD_PAYMENT_DUE_MV</t>
        </is>
      </c>
      <c r="C90" s="650" t="inlineStr">
        <is>
          <t>d1</t>
        </is>
      </c>
      <c r="D90" s="650" t="inlineStr">
        <is>
          <t>(LEFT JOIN) (SELECT RECID, MAX(ACC_FCC) AS ACC_FCC, MAX(APPROVE_AMOUNT) AS APPROVE_AMOUNT, MAX(CATEGORY) AS CATEGORY, MAX(CO_CODE) AS CO_CODE, MAX(FINAL_DUE_DATE) AS FINAL_DUE_DATE, MAX(ORIGINAL_MAT) AS ORIGINAL_MAT FROM PG_BRONZE.T24CORE_PD_PAYMENT_DUE_MV WHERE NVL(FLAG_STATUS, '_') &lt;&gt; 'DELETE' GROUP BY RECID) d1 ON d.RECID = d1.RECID</t>
        </is>
      </c>
      <c r="E90" s="651" t="n"/>
      <c r="F90" s="651" t="n"/>
      <c r="G90" s="651" t="n"/>
      <c r="H90" s="651" t="n"/>
      <c r="I90" s="651" t="n"/>
      <c r="J90" s="651" t="n"/>
      <c r="K90" s="651" t="n"/>
    </row>
    <row r="91" ht="14.25" customHeight="1" s="335">
      <c r="A91" s="652" t="n"/>
      <c r="B91" s="652" t="n"/>
      <c r="C91" s="653" t="n"/>
      <c r="D91" s="653" t="n"/>
      <c r="E91" s="653" t="n"/>
      <c r="F91" s="653" t="n"/>
      <c r="G91" s="653" t="n"/>
      <c r="H91" s="653" t="n"/>
      <c r="I91" s="653" t="n"/>
      <c r="J91" s="653" t="n"/>
      <c r="K91" s="653" t="n"/>
    </row>
    <row r="92" ht="14.25" customHeight="1" s="335">
      <c r="A92" s="652" t="n"/>
      <c r="B92" s="652" t="n"/>
      <c r="C92" s="652" t="n"/>
      <c r="D92" s="652" t="n"/>
      <c r="E92" s="652" t="n"/>
      <c r="F92" s="652" t="n"/>
      <c r="G92" s="652" t="n"/>
      <c r="H92" s="652" t="n"/>
      <c r="I92" s="652" t="n"/>
      <c r="J92" s="652" t="n"/>
      <c r="K92" s="652" t="n"/>
      <c r="L92" s="654" t="n"/>
      <c r="M92" s="654" t="n"/>
      <c r="N92" s="654" t="n"/>
    </row>
    <row r="93" ht="14.25" customHeight="1" s="335">
      <c r="A93" s="655" t="inlineStr">
        <is>
          <t>Nguồn</t>
        </is>
      </c>
      <c r="B93" s="655" t="inlineStr">
        <is>
          <t>Bảng nguồn</t>
        </is>
      </c>
      <c r="C93" s="655" t="inlineStr">
        <is>
          <t>Cột nguồn</t>
        </is>
      </c>
      <c r="D93" s="655" t="inlineStr">
        <is>
          <t>Transform</t>
        </is>
      </c>
      <c r="E93" s="655" t="inlineStr">
        <is>
          <t>Entity</t>
        </is>
      </c>
      <c r="F93" s="655" t="inlineStr">
        <is>
          <t>Attribute</t>
        </is>
      </c>
      <c r="G93" s="655" t="inlineStr">
        <is>
          <t>Bảng đích</t>
        </is>
      </c>
      <c r="H93" s="655" t="inlineStr">
        <is>
          <t>Cột đích</t>
        </is>
      </c>
      <c r="I93" s="655" t="inlineStr">
        <is>
          <t>Kiểu dữ liệu</t>
        </is>
      </c>
      <c r="J93" s="655" t="inlineStr">
        <is>
          <t>Độ dài</t>
        </is>
      </c>
      <c r="K93" s="655" t="inlineStr">
        <is>
          <t>Diễn giải</t>
        </is>
      </c>
      <c r="L93" s="655" t="inlineStr">
        <is>
          <t>Glossary</t>
        </is>
      </c>
      <c r="M93" s="655" t="inlineStr">
        <is>
          <t>DDL Comment</t>
        </is>
      </c>
      <c r="N93" s="413" t="inlineStr">
        <is>
          <t>Ghi chú kỹ thuật &amp; Business Rule</t>
        </is>
      </c>
    </row>
    <row r="94" ht="14.25" customHeight="1" s="335">
      <c r="A94" s="334" t="inlineStr">
        <is>
          <t>PG_BRONZE</t>
        </is>
      </c>
      <c r="B94" s="438" t="inlineStr">
        <is>
          <t>T24CORE_PD_PAYMENT_DUE</t>
        </is>
      </c>
      <c r="C94" s="334" t="inlineStr">
        <is>
          <t>RECID</t>
        </is>
      </c>
      <c r="D94" s="334" t="inlineStr">
        <is>
          <t>'T24_PD_PAYMENT_DUE'</t>
        </is>
      </c>
      <c r="E94" s="558" t="inlineStr">
        <is>
          <t>Loan Arrangement</t>
        </is>
      </c>
      <c r="F94" s="415" t="inlineStr">
        <is>
          <t>Source System Code</t>
        </is>
      </c>
      <c r="G94" s="558" t="inlineStr">
        <is>
          <t>LOAN_AR</t>
        </is>
      </c>
      <c r="H94" s="415" t="inlineStr">
        <is>
          <t>SRC_STM_CODE</t>
        </is>
      </c>
      <c r="I94" s="415" t="inlineStr">
        <is>
          <t>VARCHAR2</t>
        </is>
      </c>
      <c r="J94" s="415" t="n">
        <v>40</v>
      </c>
      <c r="K94" s="415" t="inlineStr">
        <is>
          <t>Mã hệ thống nguồn dữ liệu</t>
        </is>
      </c>
      <c r="M94" s="415">
        <f>"COMMENT ON COLUMN PG_SILVER."&amp;G94&amp;"."&amp;H94&amp;" IS '"&amp;K94&amp;"';"</f>
        <v/>
      </c>
    </row>
    <row r="95" ht="41.25" customHeight="1" s="335">
      <c r="A95" s="433" t="inlineStr">
        <is>
          <t>PG_BRONZE</t>
        </is>
      </c>
      <c r="B95" s="415" t="inlineStr">
        <is>
          <t>T24CORE_PD_PAYMENT_DUE</t>
        </is>
      </c>
      <c r="C95" s="433" t="inlineStr">
        <is>
          <t>RECID</t>
        </is>
      </c>
      <c r="D95" s="441" t="inlineStr">
        <is>
          <t>fn_hash("T24_LD_LOANS_AND_DEPOSITS", SUBSTR(d.RECID, 1, 14))</t>
        </is>
      </c>
      <c r="E95" s="433" t="inlineStr">
        <is>
          <t>Loan Arrangement</t>
        </is>
      </c>
      <c r="F95" s="433" t="inlineStr">
        <is>
          <t>Arrangement ID</t>
        </is>
      </c>
      <c r="G95" s="558" t="inlineStr">
        <is>
          <t>LOAN_AR</t>
        </is>
      </c>
      <c r="H95" s="558" t="inlineStr">
        <is>
          <t>AR_ID</t>
        </is>
      </c>
      <c r="I95" s="415" t="inlineStr">
        <is>
          <t>CHAR</t>
        </is>
      </c>
      <c r="J95" s="415" t="n">
        <v>32</v>
      </c>
      <c r="K95" s="415" t="inlineStr">
        <is>
          <t>Unique key trên DWH</t>
        </is>
      </c>
      <c r="M95" s="415">
        <f>"COMMENT ON COLUMN PG_SILVER."&amp;G95&amp;"."&amp;H95&amp;" IS '"&amp;K95&amp;"';"</f>
        <v/>
      </c>
      <c r="N95" s="414" t="inlineStr">
        <is>
          <t>Sửa thành `SUBSTR(d.RECID, 1, 14)`.</t>
        </is>
      </c>
    </row>
    <row r="96" ht="14.25" customHeight="1" s="335">
      <c r="A96" s="433" t="inlineStr">
        <is>
          <t>PG_BRONZE</t>
        </is>
      </c>
      <c r="B96" s="415" t="inlineStr">
        <is>
          <t>T24CORE_PD_PAYMENT_DUE</t>
        </is>
      </c>
      <c r="C96" s="433" t="inlineStr">
        <is>
          <t>RECID</t>
        </is>
      </c>
      <c r="D96" s="433" t="inlineStr">
        <is>
          <t>SUBSTR(d.RECID, 1, 14)</t>
        </is>
      </c>
      <c r="E96" s="433" t="inlineStr">
        <is>
          <t>Loan Arrangement</t>
        </is>
      </c>
      <c r="F96" s="433" t="inlineStr">
        <is>
          <t>Arrangement Code</t>
        </is>
      </c>
      <c r="G96" s="558" t="inlineStr">
        <is>
          <t>LOAN_AR</t>
        </is>
      </c>
      <c r="H96" s="558" t="inlineStr">
        <is>
          <t>AR_CODE</t>
        </is>
      </c>
      <c r="I96" s="415" t="inlineStr">
        <is>
          <t>VARCHAR2</t>
        </is>
      </c>
      <c r="J96" s="415" t="n">
        <v>40</v>
      </c>
      <c r="K96" s="433" t="inlineStr">
        <is>
          <t>Mã hợp đồng</t>
        </is>
      </c>
      <c r="M96" s="433">
        <f>"COMMENT ON COLUMN PG_SILVER."&amp;G96&amp;"."&amp;H96&amp;" IS '"&amp;K96&amp;"';"</f>
        <v/>
      </c>
      <c r="N96" s="334" t="inlineStr">
        <is>
          <t>Cắt SUBSTR(d.RECID, 1, 14) cho AR_CODE ở Nhánh 3 (PD) để đồng bộ 100% với khóa băm AR_ID ở dòng 95.</t>
        </is>
      </c>
    </row>
    <row r="97" ht="14.25" customHeight="1" s="335">
      <c r="A97" s="433" t="inlineStr">
        <is>
          <t>PG_BRONZE</t>
        </is>
      </c>
      <c r="B97" s="415" t="inlineStr">
        <is>
          <t>T24CORE_PD_PAYMENT_DUE_MV</t>
        </is>
      </c>
      <c r="C97" s="433" t="inlineStr">
        <is>
          <t>ACC_FCC</t>
        </is>
      </c>
      <c r="D97" s="433" t="inlineStr">
        <is>
          <t>1:1</t>
        </is>
      </c>
      <c r="E97" s="433" t="inlineStr">
        <is>
          <t>Loan Arrangement</t>
        </is>
      </c>
      <c r="F97" s="433" t="inlineStr">
        <is>
          <t>FCC Arrangement Code</t>
        </is>
      </c>
      <c r="G97" s="558" t="inlineStr">
        <is>
          <t>LOAN_AR</t>
        </is>
      </c>
      <c r="H97" s="558" t="inlineStr">
        <is>
          <t>FCC_AR_CODE</t>
        </is>
      </c>
      <c r="I97" s="415" t="inlineStr">
        <is>
          <t>VARCHAR2</t>
        </is>
      </c>
      <c r="J97" s="415" t="n">
        <v>40</v>
      </c>
      <c r="K97" s="433" t="inlineStr">
        <is>
          <t>Mã hợp đồng FlexCube</t>
        </is>
      </c>
      <c r="M97" s="433">
        <f>"COMMENT ON COLUMN PG_SILVER."&amp;G97&amp;"."&amp;H97&amp;" IS '"&amp;K97&amp;"';"</f>
        <v/>
      </c>
    </row>
    <row r="98" ht="14.25" customHeight="1" s="335">
      <c r="A98" s="433" t="inlineStr">
        <is>
          <t>PG_BRONZE</t>
        </is>
      </c>
      <c r="B98" s="415" t="inlineStr">
        <is>
          <t>T24CORE_PD_PAYMENT_DUE_MV</t>
        </is>
      </c>
      <c r="C98" s="433" t="inlineStr">
        <is>
          <t>APPROVE_AMOUNT</t>
        </is>
      </c>
      <c r="D98" s="433" t="inlineStr">
        <is>
          <t>1:1</t>
        </is>
      </c>
      <c r="E98" s="433" t="inlineStr">
        <is>
          <t>Loan Arrangement</t>
        </is>
      </c>
      <c r="F98" s="433" t="inlineStr">
        <is>
          <t>Original Amount FCY</t>
        </is>
      </c>
      <c r="G98" s="558" t="inlineStr">
        <is>
          <t>LOAN_AR</t>
        </is>
      </c>
      <c r="H98" s="558" t="inlineStr">
        <is>
          <t>ORIG_AMT_FCY</t>
        </is>
      </c>
      <c r="I98" s="415" t="inlineStr">
        <is>
          <t>NUMBER</t>
        </is>
      </c>
      <c r="J98" s="415" t="n">
        <v>25.5</v>
      </c>
      <c r="K98" s="466" t="inlineStr">
        <is>
          <t>Giá trị phê duyệt</t>
        </is>
      </c>
      <c r="M98" s="466">
        <f>"COMMENT ON COLUMN PG_SILVER."&amp;G98&amp;"."&amp;H98&amp;" IS '"&amp;K98&amp;"';"</f>
        <v/>
      </c>
    </row>
    <row r="99" ht="14.25" customHeight="1" s="335">
      <c r="A99" s="455" t="inlineStr">
        <is>
          <t>PG_BRONZE</t>
        </is>
      </c>
      <c r="B99" s="456" t="inlineStr">
        <is>
          <t>T24CORE_PD_PAYMENT_DUE</t>
        </is>
      </c>
      <c r="C99" s="455" t="inlineStr">
        <is>
          <t>AUTHORISER</t>
        </is>
      </c>
      <c r="D99" s="455" t="inlineStr">
        <is>
          <t>1:1</t>
        </is>
      </c>
      <c r="E99" s="455" t="inlineStr">
        <is>
          <t>Loan Arrangement</t>
        </is>
      </c>
      <c r="F99" s="455" t="inlineStr">
        <is>
          <t>Checker Officer</t>
        </is>
      </c>
      <c r="G99" s="643" t="inlineStr">
        <is>
          <t>LOAN_AR</t>
        </is>
      </c>
      <c r="H99" s="643" t="inlineStr">
        <is>
          <t>CHKER_OFCR_CODE</t>
        </is>
      </c>
      <c r="I99" s="456" t="inlineStr">
        <is>
          <t>VARCHAR2</t>
        </is>
      </c>
      <c r="J99" s="456" t="n">
        <v>20</v>
      </c>
      <c r="K99" s="455" t="inlineStr">
        <is>
          <t>Mã người phê duyệt</t>
        </is>
      </c>
      <c r="L99" s="452" t="n"/>
      <c r="M99" s="455">
        <f>"COMMENT ON COLUMN PG_SILVER."&amp;G99&amp;"."&amp;H99&amp;" IS '"&amp;K99&amp;"';"</f>
        <v/>
      </c>
      <c r="N99" s="452" t="n"/>
    </row>
    <row r="100" ht="14.25" customHeight="1" s="335">
      <c r="A100" s="433" t="inlineStr">
        <is>
          <t>PG_BRONZE</t>
        </is>
      </c>
      <c r="B100" s="415" t="inlineStr">
        <is>
          <t>T24CORE_PD_PAYMENT_DUE_MV</t>
        </is>
      </c>
      <c r="C100" s="433" t="inlineStr">
        <is>
          <t>CATEGORY</t>
        </is>
      </c>
      <c r="D100" s="433" t="inlineStr">
        <is>
          <t>1:1</t>
        </is>
      </c>
      <c r="E100" s="433" t="inlineStr">
        <is>
          <t>Loan Arrangement</t>
        </is>
      </c>
      <c r="F100" s="334" t="inlineStr">
        <is>
          <t>Product Category Code</t>
        </is>
      </c>
      <c r="G100" s="558" t="inlineStr">
        <is>
          <t>LOAN_AR</t>
        </is>
      </c>
      <c r="H100" s="558" t="inlineStr">
        <is>
          <t>PD_CGY_CODE</t>
        </is>
      </c>
      <c r="I100" s="415" t="inlineStr">
        <is>
          <t>VARCHAR2</t>
        </is>
      </c>
      <c r="J100" s="415" t="n">
        <v>20</v>
      </c>
      <c r="K100" s="433" t="inlineStr">
        <is>
          <t>Mã phân loại sản phẩm</t>
        </is>
      </c>
      <c r="M100" s="433">
        <f>"COMMENT ON COLUMN PG_SILVER."&amp;G100&amp;"."&amp;H100&amp;" IS '"&amp;K100&amp;"';"</f>
        <v/>
      </c>
    </row>
    <row r="101" ht="14.25" customHeight="1" s="335">
      <c r="A101" s="433" t="inlineStr">
        <is>
          <t>PG_BRONZE</t>
        </is>
      </c>
      <c r="B101" s="415" t="inlineStr">
        <is>
          <t>T24CORE_PD_PAYMENT_DUE_MV</t>
        </is>
      </c>
      <c r="C101" s="433" t="inlineStr">
        <is>
          <t>CO_CODE</t>
        </is>
      </c>
      <c r="D101" s="433" t="inlineStr">
        <is>
          <t>1:1</t>
        </is>
      </c>
      <c r="E101" s="433" t="inlineStr">
        <is>
          <t>Loan Arrangement</t>
        </is>
      </c>
      <c r="F101" s="433" t="inlineStr">
        <is>
          <t>First Organization Unit Code</t>
        </is>
      </c>
      <c r="G101" s="558" t="inlineStr">
        <is>
          <t>LOAN_AR</t>
        </is>
      </c>
      <c r="H101" s="575" t="inlineStr">
        <is>
          <t>FRST_OU_CODE</t>
        </is>
      </c>
      <c r="I101" s="415" t="inlineStr">
        <is>
          <t>VARCHAR2</t>
        </is>
      </c>
      <c r="J101" s="415" t="n">
        <v>20</v>
      </c>
      <c r="K101" s="433" t="inlineStr">
        <is>
          <t>Mã chi nhánh quản lý đầu tiên</t>
        </is>
      </c>
      <c r="M101" s="433">
        <f>"COMMENT ON COLUMN PG_SILVER."&amp;G101&amp;"."&amp;H101&amp;" IS '"&amp;K101&amp;"';"</f>
        <v/>
      </c>
    </row>
    <row r="102" ht="14.25" customHeight="1" s="335">
      <c r="A102" s="433" t="inlineStr">
        <is>
          <t>PG_BRONZE</t>
        </is>
      </c>
      <c r="B102" s="415" t="inlineStr">
        <is>
          <t>T24CORE_PD_PAYMENT_DUE</t>
        </is>
      </c>
      <c r="C102" s="433" t="inlineStr">
        <is>
          <t>CRA_LD</t>
        </is>
      </c>
      <c r="D102" s="433" t="inlineStr">
        <is>
          <t>1:1</t>
        </is>
      </c>
      <c r="E102" s="433" t="inlineStr">
        <is>
          <t>Loan Arrangement</t>
        </is>
      </c>
      <c r="F102" s="433" t="inlineStr">
        <is>
          <t>Paper Contract Number</t>
        </is>
      </c>
      <c r="G102" s="558" t="inlineStr">
        <is>
          <t>LOAN_AR</t>
        </is>
      </c>
      <c r="H102" s="558" t="inlineStr">
        <is>
          <t>PPR_CTR_NBR</t>
        </is>
      </c>
      <c r="I102" s="415" t="inlineStr">
        <is>
          <t>VARCHAR2</t>
        </is>
      </c>
      <c r="J102" s="415" t="n">
        <v>100</v>
      </c>
      <c r="K102" s="433" t="inlineStr">
        <is>
          <t>Mã hồ sơ</t>
        </is>
      </c>
      <c r="M102" s="433">
        <f>"COMMENT ON COLUMN PG_SILVER."&amp;G102&amp;"."&amp;H102&amp;" IS '"&amp;K102&amp;"';"</f>
        <v/>
      </c>
    </row>
    <row r="103" ht="14.25" customHeight="1" s="335">
      <c r="A103" s="433" t="inlineStr">
        <is>
          <t>PG_BRONZE</t>
        </is>
      </c>
      <c r="B103" s="415" t="inlineStr">
        <is>
          <t>T24CORE_PD_PAYMENT_DUE</t>
        </is>
      </c>
      <c r="C103" s="433" t="inlineStr">
        <is>
          <t>RECID</t>
        </is>
      </c>
      <c r="D103" s="433" t="inlineStr">
        <is>
          <t>NULL</t>
        </is>
      </c>
      <c r="E103" s="433" t="inlineStr">
        <is>
          <t>Loan Arrangement</t>
        </is>
      </c>
      <c r="F103" s="433" t="inlineStr">
        <is>
          <t>Currency Code</t>
        </is>
      </c>
      <c r="G103" s="558" t="inlineStr">
        <is>
          <t>LOAN_AR</t>
        </is>
      </c>
      <c r="H103" s="558" t="inlineStr">
        <is>
          <t>CCY_CODE</t>
        </is>
      </c>
      <c r="I103" s="415" t="inlineStr">
        <is>
          <t>VARCHAR2</t>
        </is>
      </c>
      <c r="J103" s="415" t="n">
        <v>20</v>
      </c>
      <c r="K103" s="433" t="inlineStr">
        <is>
          <t>Loại tiền</t>
        </is>
      </c>
      <c r="M103" s="433">
        <f>"COMMENT ON COLUMN PG_SILVER."&amp;G103&amp;"."&amp;H103&amp;" IS '"&amp;K103&amp;"';"</f>
        <v/>
      </c>
    </row>
    <row r="104" ht="14.25" customHeight="1" s="335">
      <c r="A104" s="433" t="inlineStr">
        <is>
          <t>PG_BRONZE</t>
        </is>
      </c>
      <c r="B104" s="415" t="inlineStr">
        <is>
          <t>T24CORE_PD_PAYMENT_DUE</t>
        </is>
      </c>
      <c r="C104" s="433" t="inlineStr">
        <is>
          <t>CUSTOMER</t>
        </is>
      </c>
      <c r="D104" s="433" t="inlineStr">
        <is>
          <t>d.CUSTOMER</t>
        </is>
      </c>
      <c r="E104" s="433" t="inlineStr">
        <is>
          <t>Loan Arrangement</t>
        </is>
      </c>
      <c r="F104" s="433" t="inlineStr">
        <is>
          <t>Customer Code</t>
        </is>
      </c>
      <c r="G104" s="558" t="inlineStr">
        <is>
          <t>LOAN_AR</t>
        </is>
      </c>
      <c r="H104" s="558" t="inlineStr">
        <is>
          <t>CST_CODE</t>
        </is>
      </c>
      <c r="I104" s="415" t="inlineStr">
        <is>
          <t>VARCHAR2</t>
        </is>
      </c>
      <c r="J104" s="415" t="n">
        <v>20</v>
      </c>
      <c r="K104" s="433" t="inlineStr">
        <is>
          <t>Mã khách hàng</t>
        </is>
      </c>
      <c r="M104" s="433">
        <f>"COMMENT ON COLUMN PG_SILVER."&amp;G104&amp;"."&amp;H104&amp;" IS '"&amp;K104&amp;"';"</f>
        <v/>
      </c>
    </row>
    <row r="105" ht="14.25" customHeight="1" s="335">
      <c r="A105" s="433" t="inlineStr">
        <is>
          <t>PG_BRONZE</t>
        </is>
      </c>
      <c r="B105" s="415" t="inlineStr">
        <is>
          <t>T24CORE_PD_PAYMENT_DUE</t>
        </is>
      </c>
      <c r="C105" s="433" t="inlineStr">
        <is>
          <t>CUSTOMER</t>
        </is>
      </c>
      <c r="D105" s="433" t="inlineStr">
        <is>
          <t>fn_hash("T24_CUSTOMER", d.CUSTOMER)</t>
        </is>
      </c>
      <c r="E105" s="433" t="inlineStr">
        <is>
          <t>Loan Arrangement</t>
        </is>
      </c>
      <c r="F105" s="433" t="inlineStr">
        <is>
          <t>Customer ID</t>
        </is>
      </c>
      <c r="G105" s="558" t="inlineStr">
        <is>
          <t>LOAN_AR</t>
        </is>
      </c>
      <c r="H105" s="575" t="inlineStr">
        <is>
          <t>CST_ID</t>
        </is>
      </c>
      <c r="I105" s="415" t="inlineStr">
        <is>
          <t>CHAR</t>
        </is>
      </c>
      <c r="J105" s="415" t="n">
        <v>32</v>
      </c>
      <c r="K105" s="433" t="inlineStr">
        <is>
          <t>Mã khách hàng</t>
        </is>
      </c>
      <c r="M105" s="433">
        <f>"COMMENT ON COLUMN PG_SILVER."&amp;G105&amp;"."&amp;H105&amp;" IS '"&amp;K105&amp;"';"</f>
        <v/>
      </c>
    </row>
    <row r="106" ht="14.25" customHeight="1" s="335">
      <c r="A106" s="433" t="inlineStr">
        <is>
          <t>PG_BRONZE</t>
        </is>
      </c>
      <c r="B106" s="415" t="inlineStr">
        <is>
          <t>T24CORE_PD_PAYMENT_DUE</t>
        </is>
      </c>
      <c r="C106" s="433" t="inlineStr">
        <is>
          <t>RECID</t>
        </is>
      </c>
      <c r="D106" s="433" t="inlineStr">
        <is>
          <t>NULL</t>
        </is>
      </c>
      <c r="E106" s="433" t="inlineStr">
        <is>
          <t>Loan Arrangement</t>
        </is>
      </c>
      <c r="F106" s="433" t="inlineStr">
        <is>
          <t>Disbursement Amount FCY</t>
        </is>
      </c>
      <c r="G106" s="558" t="inlineStr">
        <is>
          <t>LOAN_AR</t>
        </is>
      </c>
      <c r="H106" s="558" t="inlineStr">
        <is>
          <t>DSBR_AMT_FCY</t>
        </is>
      </c>
      <c r="I106" s="415" t="inlineStr">
        <is>
          <t>NUMBER</t>
        </is>
      </c>
      <c r="J106" s="415" t="n">
        <v>25.5</v>
      </c>
      <c r="K106" s="433" t="inlineStr">
        <is>
          <t>Số tiền thực tế giải ngân</t>
        </is>
      </c>
      <c r="M106" s="433">
        <f>"COMMENT ON COLUMN PG_SILVER."&amp;G106&amp;"."&amp;H106&amp;" IS '"&amp;K106&amp;"';"</f>
        <v/>
      </c>
    </row>
    <row r="107" ht="14.25" customHeight="1" s="335">
      <c r="A107" s="433" t="inlineStr">
        <is>
          <t>PG_BRONZE</t>
        </is>
      </c>
      <c r="B107" s="415" t="inlineStr">
        <is>
          <t>T24CORE_PD_PAYMENT_DUE</t>
        </is>
      </c>
      <c r="C107" s="433" t="inlineStr">
        <is>
          <t>RECID</t>
        </is>
      </c>
      <c r="D107" s="433" t="inlineStr">
        <is>
          <t>NULL</t>
        </is>
      </c>
      <c r="E107" s="433" t="inlineStr">
        <is>
          <t>Loan Arrangement</t>
        </is>
      </c>
      <c r="F107" s="433" t="inlineStr">
        <is>
          <t>Exchange Rate To Local Currency</t>
        </is>
      </c>
      <c r="G107" s="558" t="inlineStr">
        <is>
          <t>LOAN_AR</t>
        </is>
      </c>
      <c r="H107" s="558" t="inlineStr">
        <is>
          <t>EXG_RATE_TO_LCL_CCY</t>
        </is>
      </c>
      <c r="I107" s="415" t="inlineStr">
        <is>
          <t>NUMBER</t>
        </is>
      </c>
      <c r="J107" s="415" t="n">
        <v>25.7</v>
      </c>
      <c r="K107" s="433" t="inlineStr">
        <is>
          <t>Tỷ giá quy đổi</t>
        </is>
      </c>
      <c r="M107" s="433">
        <f>"COMMENT ON COLUMN PG_SILVER."&amp;G107&amp;"."&amp;H107&amp;" IS '"&amp;K107&amp;"';"</f>
        <v/>
      </c>
    </row>
    <row r="108" ht="14.25" customHeight="1" s="335">
      <c r="A108" s="433" t="inlineStr">
        <is>
          <t>PG_BRONZE</t>
        </is>
      </c>
      <c r="B108" s="415" t="inlineStr">
        <is>
          <t>T24CORE_PD_PAYMENT_DUE</t>
        </is>
      </c>
      <c r="C108" s="433" t="inlineStr">
        <is>
          <t>RECID</t>
        </is>
      </c>
      <c r="D108" s="433" t="inlineStr">
        <is>
          <t>NULL</t>
        </is>
      </c>
      <c r="E108" s="433" t="inlineStr">
        <is>
          <t>Loan Arrangement</t>
        </is>
      </c>
      <c r="F108" s="334" t="inlineStr">
        <is>
          <t>FCC Limit Code</t>
        </is>
      </c>
      <c r="G108" s="558" t="inlineStr">
        <is>
          <t>LOAN_AR</t>
        </is>
      </c>
      <c r="H108" s="575" t="inlineStr">
        <is>
          <t>FCC_LMT_CODE</t>
        </is>
      </c>
      <c r="I108" s="415" t="inlineStr">
        <is>
          <t>VARCHAR2</t>
        </is>
      </c>
      <c r="J108" s="415" t="n">
        <v>20</v>
      </c>
      <c r="K108" s="334" t="inlineStr">
        <is>
          <t>Mã hạn mức trên Flexcube</t>
        </is>
      </c>
      <c r="M108" s="334">
        <f>"COMMENT ON COLUMN PG_SILVER."&amp;G108&amp;"."&amp;H108&amp;" IS '"&amp;K108&amp;"';"</f>
        <v/>
      </c>
    </row>
    <row r="109" ht="14.25" customHeight="1" s="335">
      <c r="A109" s="433" t="inlineStr">
        <is>
          <t>PG_BRONZE</t>
        </is>
      </c>
      <c r="B109" s="415" t="inlineStr">
        <is>
          <t>T24CORE_PD_PAYMENT_DUE_MV</t>
        </is>
      </c>
      <c r="C109" s="656" t="inlineStr">
        <is>
          <t>FINAL_DUE_DATE</t>
        </is>
      </c>
      <c r="D109" s="433" t="inlineStr">
        <is>
          <t>1:1</t>
        </is>
      </c>
      <c r="E109" s="433" t="inlineStr">
        <is>
          <t>Loan Arrangement</t>
        </is>
      </c>
      <c r="F109" s="433" t="inlineStr">
        <is>
          <t>Maturity Date</t>
        </is>
      </c>
      <c r="G109" s="558" t="inlineStr">
        <is>
          <t>LOAN_AR</t>
        </is>
      </c>
      <c r="H109" s="558" t="inlineStr">
        <is>
          <t>MAT_DT</t>
        </is>
      </c>
      <c r="I109" s="415" t="inlineStr">
        <is>
          <t>DATE</t>
        </is>
      </c>
      <c r="J109" s="415" t="n"/>
      <c r="K109" s="433" t="inlineStr">
        <is>
          <t>Ngày đáo hạn hợp đồng</t>
        </is>
      </c>
      <c r="M109" s="433">
        <f>"COMMENT ON COLUMN PG_SILVER."&amp;G109&amp;"."&amp;H109&amp;" IS '"&amp;K109&amp;"';"</f>
        <v/>
      </c>
    </row>
    <row r="110" ht="14.25" customHeight="1" s="335">
      <c r="A110" s="455" t="inlineStr">
        <is>
          <t>PG_BRONZE</t>
        </is>
      </c>
      <c r="B110" s="456" t="inlineStr">
        <is>
          <t>T24CORE_PD_PAYMENT_DUE</t>
        </is>
      </c>
      <c r="C110" s="455" t="inlineStr">
        <is>
          <t>INPUTTER</t>
        </is>
      </c>
      <c r="D110" s="455" t="inlineStr">
        <is>
          <t>1:1</t>
        </is>
      </c>
      <c r="E110" s="455" t="inlineStr">
        <is>
          <t>Loan Arrangement</t>
        </is>
      </c>
      <c r="F110" s="455" t="inlineStr">
        <is>
          <t>Maker Officer</t>
        </is>
      </c>
      <c r="G110" s="643" t="inlineStr">
        <is>
          <t>LOAN_AR</t>
        </is>
      </c>
      <c r="H110" s="643" t="inlineStr">
        <is>
          <t>MAKER_OFCR_CODE</t>
        </is>
      </c>
      <c r="I110" s="456" t="inlineStr">
        <is>
          <t>VARCHAR2</t>
        </is>
      </c>
      <c r="J110" s="456" t="n">
        <v>20</v>
      </c>
      <c r="K110" s="455" t="inlineStr">
        <is>
          <t>ID người nhập liệu</t>
        </is>
      </c>
      <c r="L110" s="452" t="n"/>
      <c r="M110" s="455">
        <f>"COMMENT ON COLUMN PG_SILVER."&amp;G110&amp;"."&amp;H110&amp;" IS '"&amp;K110&amp;"';"</f>
        <v/>
      </c>
      <c r="N110" s="452" t="n"/>
    </row>
    <row r="111" ht="14.25" customHeight="1" s="335">
      <c r="A111" s="433" t="inlineStr">
        <is>
          <t>PG_BRONZE</t>
        </is>
      </c>
      <c r="B111" s="415" t="inlineStr">
        <is>
          <t>T24CORE_PD_PAYMENT_DUE</t>
        </is>
      </c>
      <c r="C111" s="433" t="inlineStr">
        <is>
          <t>LIMIT_REFERENCE</t>
        </is>
      </c>
      <c r="D111" s="433" t="inlineStr">
        <is>
          <t>1:1</t>
        </is>
      </c>
      <c r="E111" s="433" t="inlineStr">
        <is>
          <t>Loan Arrangement</t>
        </is>
      </c>
      <c r="F111" s="433" t="inlineStr">
        <is>
          <t>Limit Code</t>
        </is>
      </c>
      <c r="G111" s="558" t="inlineStr">
        <is>
          <t>LOAN_AR</t>
        </is>
      </c>
      <c r="H111" s="558" t="inlineStr">
        <is>
          <t>LMT_CODE</t>
        </is>
      </c>
      <c r="I111" s="415" t="inlineStr">
        <is>
          <t>VARCHAR2</t>
        </is>
      </c>
      <c r="J111" s="415" t="n">
        <v>32</v>
      </c>
      <c r="K111" s="433" t="inlineStr">
        <is>
          <t>Mã tham chiếu hạn mức</t>
        </is>
      </c>
      <c r="M111" s="433">
        <f>"COMMENT ON COLUMN PG_SILVER."&amp;G111&amp;"."&amp;H111&amp;" IS '"&amp;K111&amp;"';"</f>
        <v/>
      </c>
    </row>
    <row r="112" ht="14.25" customHeight="1" s="335">
      <c r="A112" s="433" t="inlineStr">
        <is>
          <t>PG_BRONZE</t>
        </is>
      </c>
      <c r="B112" s="415" t="inlineStr">
        <is>
          <t>T24CORE_PD_PAYMENT_DUE</t>
        </is>
      </c>
      <c r="C112" s="433" t="inlineStr">
        <is>
          <t>LIMIT_REFERENCE</t>
        </is>
      </c>
      <c r="D112" s="433" t="inlineStr">
        <is>
          <t>CASE WHEN d.LIMIT_REFERENCE IS NOT NULL THEN fn_hash("T24_LIMIT", d.LIMIT_REFERENCE) ELSE NULL END</t>
        </is>
      </c>
      <c r="E112" s="433" t="inlineStr">
        <is>
          <t>Loan Arrangement</t>
        </is>
      </c>
      <c r="F112" s="433" t="inlineStr">
        <is>
          <t>Limit Id</t>
        </is>
      </c>
      <c r="G112" s="558" t="inlineStr">
        <is>
          <t>LOAN_AR</t>
        </is>
      </c>
      <c r="H112" s="575" t="inlineStr">
        <is>
          <t>LMT_ID</t>
        </is>
      </c>
      <c r="I112" s="415" t="inlineStr">
        <is>
          <t>CHAR</t>
        </is>
      </c>
      <c r="J112" s="415" t="n">
        <v>32</v>
      </c>
      <c r="K112" s="433" t="inlineStr">
        <is>
          <t>Mã tham chiếu hạn mức</t>
        </is>
      </c>
      <c r="M112" s="433">
        <f>"COMMENT ON COLUMN PG_SILVER."&amp;G112&amp;"."&amp;H112&amp;" IS '"&amp;K112&amp;"';"</f>
        <v/>
      </c>
    </row>
    <row r="113" ht="14.25" customHeight="1" s="335">
      <c r="A113" s="433" t="inlineStr">
        <is>
          <t>PG_BRONZE</t>
        </is>
      </c>
      <c r="B113" s="415" t="inlineStr">
        <is>
          <t>T24CORE_PD_PAYMENT_DUE</t>
        </is>
      </c>
      <c r="C113" s="433" t="inlineStr">
        <is>
          <t>RECID</t>
        </is>
      </c>
      <c r="D113" s="433" t="inlineStr">
        <is>
          <t>NULL</t>
        </is>
      </c>
      <c r="E113" s="433" t="inlineStr">
        <is>
          <t>Loan Arrangement</t>
        </is>
      </c>
      <c r="F113" s="433" t="inlineStr">
        <is>
          <t>Term Code</t>
        </is>
      </c>
      <c r="G113" s="558" t="inlineStr">
        <is>
          <t>LOAN_AR</t>
        </is>
      </c>
      <c r="H113" s="558" t="inlineStr">
        <is>
          <t>TERM_CODE</t>
        </is>
      </c>
      <c r="I113" s="415" t="inlineStr">
        <is>
          <t>VARCHAR2</t>
        </is>
      </c>
      <c r="J113" s="415" t="n">
        <v>20</v>
      </c>
      <c r="K113" s="433" t="inlineStr">
        <is>
          <t>Kỳ hạn</t>
        </is>
      </c>
      <c r="M113" s="433">
        <f>"COMMENT ON COLUMN PG_SILVER."&amp;G113&amp;"."&amp;H113&amp;" IS '"&amp;K113&amp;"';"</f>
        <v/>
      </c>
    </row>
    <row r="114" ht="14.25" customHeight="1" s="335">
      <c r="A114" s="433" t="inlineStr">
        <is>
          <t>PG_BRONZE</t>
        </is>
      </c>
      <c r="B114" s="415" t="inlineStr">
        <is>
          <t>T24CORE_PD_PAYMENT_DUE</t>
        </is>
      </c>
      <c r="C114" s="433" t="inlineStr">
        <is>
          <t>LOS_FAC_CODE</t>
        </is>
      </c>
      <c r="D114" s="433" t="inlineStr">
        <is>
          <t>1:1</t>
        </is>
      </c>
      <c r="E114" s="433" t="inlineStr">
        <is>
          <t>Loan Arrangement</t>
        </is>
      </c>
      <c r="F114" s="334" t="inlineStr">
        <is>
          <t>LOS Contract Number</t>
        </is>
      </c>
      <c r="G114" s="558" t="inlineStr">
        <is>
          <t>LOAN_AR</t>
        </is>
      </c>
      <c r="H114" s="334" t="inlineStr">
        <is>
          <t>LOS_CTR_NBR</t>
        </is>
      </c>
      <c r="I114" s="415" t="inlineStr">
        <is>
          <t>VARCHAR2</t>
        </is>
      </c>
      <c r="J114" s="415" t="n">
        <v>40</v>
      </c>
      <c r="K114" s="433" t="inlineStr">
        <is>
          <t>Số hồ sơ</t>
        </is>
      </c>
      <c r="M114" s="433">
        <f>"COMMENT ON COLUMN PG_SILVER."&amp;G114&amp;"."&amp;H114&amp;" IS '"&amp;K114&amp;"';"</f>
        <v/>
      </c>
    </row>
    <row r="115" ht="14.25" customHeight="1" s="335">
      <c r="A115" s="455" t="inlineStr">
        <is>
          <t>PG_BRONZE</t>
        </is>
      </c>
      <c r="B115" s="456" t="inlineStr">
        <is>
          <t>T24CORE_PD_PAYMENT_DUE</t>
        </is>
      </c>
      <c r="C115" s="455" t="inlineStr">
        <is>
          <t>RECID</t>
        </is>
      </c>
      <c r="D115" s="455" t="inlineStr">
        <is>
          <t>NULL</t>
        </is>
      </c>
      <c r="E115" s="455" t="inlineStr">
        <is>
          <t>Loan Arrangement</t>
        </is>
      </c>
      <c r="F115" s="455" t="inlineStr">
        <is>
          <t>Referrer Officer</t>
        </is>
      </c>
      <c r="G115" s="643" t="inlineStr">
        <is>
          <t>LOAN_AR</t>
        </is>
      </c>
      <c r="H115" s="643" t="inlineStr">
        <is>
          <t>REFRRER_OFCR_CODE</t>
        </is>
      </c>
      <c r="I115" s="456" t="inlineStr">
        <is>
          <t>VARCHAR2</t>
        </is>
      </c>
      <c r="J115" s="456" t="n">
        <v>20</v>
      </c>
      <c r="K115" s="455" t="inlineStr">
        <is>
          <t>ID nhân viên giới thiệu</t>
        </is>
      </c>
      <c r="L115" s="452" t="n"/>
      <c r="M115" s="455">
        <f>"COMMENT ON COLUMN PG_SILVER."&amp;G115&amp;"."&amp;H115&amp;" IS '"&amp;K115&amp;"';"</f>
        <v/>
      </c>
      <c r="N115" s="452" t="n"/>
    </row>
    <row r="116" ht="14.25" customHeight="1" s="335">
      <c r="A116" s="433" t="inlineStr">
        <is>
          <t>PG_BRONZE</t>
        </is>
      </c>
      <c r="B116" s="415" t="inlineStr">
        <is>
          <t>T24CORE_PD_PAYMENT_DUE, T24CORE_PD_PAYMENT_DUE_MV</t>
        </is>
      </c>
      <c r="C116" s="433" t="inlineStr">
        <is>
          <t>ORIGINAL_MAT</t>
        </is>
      </c>
      <c r="D116" s="433" t="inlineStr">
        <is>
          <t>COALESCE(d.ORIGINAL_MAT, d1.ORIGINAL_MAT)</t>
        </is>
      </c>
      <c r="E116" s="433" t="inlineStr">
        <is>
          <t>Loan Arrangement</t>
        </is>
      </c>
      <c r="F116" s="433" t="inlineStr">
        <is>
          <t>Value Date</t>
        </is>
      </c>
      <c r="G116" s="558" t="inlineStr">
        <is>
          <t>LOAN_AR</t>
        </is>
      </c>
      <c r="H116" s="558" t="inlineStr">
        <is>
          <t>VAL_DT</t>
        </is>
      </c>
      <c r="I116" s="415" t="inlineStr">
        <is>
          <t>DATE</t>
        </is>
      </c>
      <c r="J116" s="415" t="n"/>
      <c r="K116" s="433" t="inlineStr">
        <is>
          <t>Ngày hiệu lực đầu tiên của hợp đồng</t>
        </is>
      </c>
      <c r="M116" s="433">
        <f>"COMMENT ON COLUMN PG_SILVER."&amp;G116&amp;"."&amp;H116&amp;" IS '"&amp;K116&amp;"';"</f>
        <v/>
      </c>
      <c r="N116" s="334" t="inlineStr">
        <is>
          <t>Map 1:1 từ T24CORE_PD_PAYMENT_DUE.ORIGINAL_MAT (DDL R214).</t>
        </is>
      </c>
    </row>
    <row r="117" ht="14.25" customHeight="1" s="335">
      <c r="A117" s="433" t="inlineStr">
        <is>
          <t>PG_BRONZE</t>
        </is>
      </c>
      <c r="B117" s="415" t="inlineStr">
        <is>
          <t>T24CORE_PD_PAYMENT_DUE</t>
        </is>
      </c>
      <c r="C117" s="433" t="inlineStr">
        <is>
          <t>RECID</t>
        </is>
      </c>
      <c r="D117" s="433" t="inlineStr">
        <is>
          <t>NULL</t>
        </is>
      </c>
      <c r="E117" s="433" t="inlineStr">
        <is>
          <t>Loan Arrangement</t>
        </is>
      </c>
      <c r="F117" s="334" t="inlineStr">
        <is>
          <t>Product Code</t>
        </is>
      </c>
      <c r="G117" s="558" t="inlineStr">
        <is>
          <t>LOAN_AR</t>
        </is>
      </c>
      <c r="H117" s="558" t="inlineStr">
        <is>
          <t>PD_CODE</t>
        </is>
      </c>
      <c r="I117" s="415" t="inlineStr">
        <is>
          <t>VARCHAR2</t>
        </is>
      </c>
      <c r="J117" s="415" t="n">
        <v>20</v>
      </c>
      <c r="K117" s="433" t="inlineStr">
        <is>
          <t>Mã nhóm sản phẩm</t>
        </is>
      </c>
      <c r="M117" s="433">
        <f>"COMMENT ON COLUMN PG_SILVER."&amp;G117&amp;"."&amp;H117&amp;" IS '"&amp;K117&amp;"';"</f>
        <v/>
      </c>
    </row>
    <row r="118" ht="14.25" customHeight="1" s="335">
      <c r="A118" s="433" t="inlineStr">
        <is>
          <t>PG_BRONZE</t>
        </is>
      </c>
      <c r="B118" s="415" t="inlineStr">
        <is>
          <t>T24CORE_PD_PAYMENT_DUE</t>
        </is>
      </c>
      <c r="C118" s="433" t="inlineStr">
        <is>
          <t>USE_OF_LOAN</t>
        </is>
      </c>
      <c r="D118" s="433" t="inlineStr">
        <is>
          <t>1:1</t>
        </is>
      </c>
      <c r="E118" s="433" t="inlineStr">
        <is>
          <t>Loan Arrangement</t>
        </is>
      </c>
      <c r="F118" s="433" t="inlineStr">
        <is>
          <t>Arrangement Purpose Type Code</t>
        </is>
      </c>
      <c r="G118" s="558" t="inlineStr">
        <is>
          <t>LOAN_AR</t>
        </is>
      </c>
      <c r="H118" s="558" t="inlineStr">
        <is>
          <t>AR_PPS_TP_CODE</t>
        </is>
      </c>
      <c r="I118" s="415" t="inlineStr">
        <is>
          <t>VARCHAR2</t>
        </is>
      </c>
      <c r="J118" s="415" t="n">
        <v>40</v>
      </c>
      <c r="K118" s="433" t="inlineStr">
        <is>
          <t>Mã mục đích vay</t>
        </is>
      </c>
      <c r="M118" s="433">
        <f>"COMMENT ON COLUMN PG_SILVER."&amp;G118&amp;"."&amp;H118&amp;" IS '"&amp;K118&amp;"';"</f>
        <v/>
      </c>
      <c r="N118" s="334" t="inlineStr">
        <is>
          <t>Map 1:1 từ T24CORE_PD_PAYMENT_DUE.USE_OF_LOAN (DDL R220).</t>
        </is>
      </c>
    </row>
    <row r="119" ht="14.25" customHeight="1" s="335">
      <c r="A119" s="433" t="inlineStr">
        <is>
          <t>PG_BRONZE</t>
        </is>
      </c>
      <c r="B119" s="415" t="inlineStr">
        <is>
          <t>T24CORE_PD_PAYMENT_DUE</t>
        </is>
      </c>
      <c r="C119" s="433" t="inlineStr">
        <is>
          <t>USE_OF_LOAN_CHA</t>
        </is>
      </c>
      <c r="D119" s="433" t="inlineStr">
        <is>
          <t>1:1</t>
        </is>
      </c>
      <c r="E119" s="433" t="inlineStr">
        <is>
          <t>Loan Arrangement</t>
        </is>
      </c>
      <c r="F119" s="433" t="inlineStr">
        <is>
          <t>Arrangement Purpose Group Code</t>
        </is>
      </c>
      <c r="G119" s="558" t="inlineStr">
        <is>
          <t>LOAN_AR</t>
        </is>
      </c>
      <c r="H119" s="558" t="inlineStr">
        <is>
          <t>AR_PPS_GRP_CODE</t>
        </is>
      </c>
      <c r="I119" s="415" t="inlineStr">
        <is>
          <t>VARCHAR2</t>
        </is>
      </c>
      <c r="J119" s="415" t="n">
        <v>40</v>
      </c>
      <c r="K119" s="433" t="inlineStr">
        <is>
          <t>Mã nhóm mục đích vay</t>
        </is>
      </c>
      <c r="M119" s="433">
        <f>"COMMENT ON COLUMN PG_SILVER."&amp;G119&amp;"."&amp;H119&amp;" IS '"&amp;K119&amp;"';"</f>
        <v/>
      </c>
      <c r="N119" s="334" t="inlineStr">
        <is>
          <t>Map 1:1 từ T24CORE_PD_PAYMENT_DUE.USE_OF_LOAN_CHA (DDL R221).</t>
        </is>
      </c>
    </row>
    <row r="120" ht="14.25" customHeight="1" s="335">
      <c r="A120" s="433" t="inlineStr">
        <is>
          <t>PG_BRONZE</t>
        </is>
      </c>
      <c r="B120" s="415" t="inlineStr">
        <is>
          <t>T24CORE_PD_PAYMENT_DUE</t>
        </is>
      </c>
      <c r="C120" s="433" t="inlineStr">
        <is>
          <t>PAYMENT_DTE_DUE</t>
        </is>
      </c>
      <c r="D120" s="433" t="inlineStr">
        <is>
          <t>TO_DATE(SUBSTR(CAST(d.PAYMENT_DTE_DUE AS VARCHAR(20)), 1, 8), 'YYYYMMDD')</t>
        </is>
      </c>
      <c r="E120" s="433" t="inlineStr">
        <is>
          <t>Loan Arrangement</t>
        </is>
      </c>
      <c r="F120" s="433" t="inlineStr">
        <is>
          <t>Effective Date</t>
        </is>
      </c>
      <c r="G120" s="558" t="inlineStr">
        <is>
          <t>LOAN_AR</t>
        </is>
      </c>
      <c r="H120" s="558" t="inlineStr">
        <is>
          <t>EFF_DT</t>
        </is>
      </c>
      <c r="I120" s="415" t="inlineStr">
        <is>
          <t>DATE</t>
        </is>
      </c>
      <c r="J120" s="415" t="n"/>
      <c r="K120" s="433" t="inlineStr">
        <is>
          <t>Ngày hiệu lực hợp đồng</t>
        </is>
      </c>
      <c r="M120" s="433">
        <f>"COMMENT ON COLUMN PG_SILVER."&amp;G120&amp;"."&amp;H120&amp;" IS '"&amp;K120&amp;"';"</f>
        <v/>
      </c>
      <c r="N120" t="inlineStr">
        <is>
          <t>Ép kiểu `TO_DATE(SUBSTR(CAST(d.PAYMENT_DTE_DUE AS VARCHAR(20)), 1, 8), 'YYYYMMDD')` để trả về đúng kiểu `DATE` cho cột `EFF_DT`.</t>
        </is>
      </c>
    </row>
    <row r="121" ht="14.25" customHeight="1" s="335">
      <c r="A121" s="433" t="inlineStr">
        <is>
          <t>PG_BRONZE</t>
        </is>
      </c>
      <c r="B121" s="415" t="inlineStr">
        <is>
          <t>T24CORE_PD_PAYMENT_DUE</t>
        </is>
      </c>
      <c r="C121" s="433" t="inlineStr">
        <is>
          <t>RECID</t>
        </is>
      </c>
      <c r="D121" s="433" t="inlineStr">
        <is>
          <t>NULL</t>
        </is>
      </c>
      <c r="E121" s="433" t="inlineStr">
        <is>
          <t>Loan Arrangement</t>
        </is>
      </c>
      <c r="F121" s="334" t="inlineStr">
        <is>
          <t>FCC Value Date</t>
        </is>
      </c>
      <c r="G121" s="558" t="inlineStr">
        <is>
          <t>LOAN_AR</t>
        </is>
      </c>
      <c r="H121" s="575" t="inlineStr">
        <is>
          <t>FCC_VAL_DT</t>
        </is>
      </c>
      <c r="I121" s="415" t="inlineStr">
        <is>
          <t>DATE</t>
        </is>
      </c>
      <c r="J121" s="415" t="n"/>
      <c r="K121" s="334" t="inlineStr">
        <is>
          <t>Ngày ghi nhận</t>
        </is>
      </c>
      <c r="M121" s="334">
        <f>"COMMENT ON COLUMN PG_SILVER."&amp;G121&amp;"."&amp;H121&amp;" IS '"&amp;K121&amp;"';"</f>
        <v/>
      </c>
    </row>
    <row r="122" ht="14.25" customHeight="1" s="335">
      <c r="A122" s="415" t="inlineStr">
        <is>
          <t>PG_BRONZE</t>
        </is>
      </c>
      <c r="B122" s="415" t="inlineStr">
        <is>
          <t>T24CORE_PD_PAYMENT_DUE</t>
        </is>
      </c>
      <c r="C122" s="415" t="inlineStr">
        <is>
          <t>RECID</t>
        </is>
      </c>
      <c r="D122" s="415" t="inlineStr">
        <is>
          <t>ETL_DATE if not exists RECID</t>
        </is>
      </c>
      <c r="E122" s="433" t="inlineStr">
        <is>
          <t>Loan Arrangement</t>
        </is>
      </c>
      <c r="F122" s="415" t="inlineStr">
        <is>
          <t>System Effective Date</t>
        </is>
      </c>
      <c r="G122" s="558" t="inlineStr">
        <is>
          <t>LOAN_AR</t>
        </is>
      </c>
      <c r="H122" s="415" t="inlineStr">
        <is>
          <t>SYS_EFF_DT</t>
        </is>
      </c>
      <c r="I122" s="415" t="inlineStr">
        <is>
          <t>DATE</t>
        </is>
      </c>
      <c r="J122" s="415" t="n"/>
      <c r="K122" s="415" t="inlineStr">
        <is>
          <t>Ngày bản ghi lần đầu tiên vào hệ thống</t>
        </is>
      </c>
      <c r="M122" s="415">
        <f>"COMMENT ON COLUMN PG_SILVER."&amp;G122&amp;"."&amp;H122&amp;" IS '"&amp;K122&amp;"';"</f>
        <v/>
      </c>
    </row>
    <row r="123" ht="14.25" customHeight="1" s="335">
      <c r="A123" s="415" t="inlineStr">
        <is>
          <t>PG_BRONZE</t>
        </is>
      </c>
      <c r="B123" s="415" t="inlineStr">
        <is>
          <t>T24CORE_PD_PAYMENT_DUE</t>
        </is>
      </c>
      <c r="C123" s="415" t="inlineStr">
        <is>
          <t>RECID</t>
        </is>
      </c>
      <c r="D123" s="415" t="inlineStr">
        <is>
          <t>ETL_DATE if RECID was deleted</t>
        </is>
      </c>
      <c r="E123" s="433" t="inlineStr">
        <is>
          <t>Loan Arrangement</t>
        </is>
      </c>
      <c r="F123" s="415" t="inlineStr">
        <is>
          <t>System Expiry Date</t>
        </is>
      </c>
      <c r="G123" s="558" t="inlineStr">
        <is>
          <t>LOAN_AR</t>
        </is>
      </c>
      <c r="H123" s="415" t="inlineStr">
        <is>
          <t>SYS_EXP_DT</t>
        </is>
      </c>
      <c r="I123" s="415" t="inlineStr">
        <is>
          <t>DATE</t>
        </is>
      </c>
      <c r="J123" s="415" t="n"/>
      <c r="K123" s="415" t="inlineStr">
        <is>
          <t>Ngày hết hạn của bản ghi</t>
        </is>
      </c>
      <c r="M123" s="415">
        <f>"COMMENT ON COLUMN PG_SILVER."&amp;G123&amp;"."&amp;H123&amp;" IS '"&amp;K123&amp;"';"</f>
        <v/>
      </c>
    </row>
    <row r="124" ht="14.25" customHeight="1" s="335">
      <c r="A124" s="415" t="inlineStr">
        <is>
          <t>PG_BRONZE</t>
        </is>
      </c>
      <c r="B124" s="415" t="inlineStr">
        <is>
          <t>T24CORE_PD_PAYMENT_DUE</t>
        </is>
      </c>
      <c r="C124" s="415" t="inlineStr">
        <is>
          <t>RECID</t>
        </is>
      </c>
      <c r="D124" s="415" t="inlineStr">
        <is>
          <t>ETL_DATE</t>
        </is>
      </c>
      <c r="E124" s="433" t="inlineStr">
        <is>
          <t>Loan Arrangement</t>
        </is>
      </c>
      <c r="F124" s="415" t="inlineStr">
        <is>
          <t>System Update Date</t>
        </is>
      </c>
      <c r="G124" s="558" t="inlineStr">
        <is>
          <t>LOAN_AR</t>
        </is>
      </c>
      <c r="H124" s="415" t="inlineStr">
        <is>
          <t>SYS_UDT_DT</t>
        </is>
      </c>
      <c r="I124" s="415" t="inlineStr">
        <is>
          <t>DATE</t>
        </is>
      </c>
      <c r="J124" s="415" t="n"/>
      <c r="K124" s="415" t="inlineStr">
        <is>
          <t>Ngày update dữ liệu gần nhất</t>
        </is>
      </c>
      <c r="M124" s="415">
        <f>"COMMENT ON COLUMN PG_SILVER."&amp;G124&amp;"."&amp;H124&amp;" IS '"&amp;K124&amp;"';"</f>
        <v/>
      </c>
    </row>
  </sheetData>
  <hyperlinks>
    <hyperlink xmlns:r="http://schemas.openxmlformats.org/officeDocument/2006/relationships" ref="D7" display="(LEFT JOIN) ld_los.FACILITY_ID = los.ID" r:id="rId1"/>
    <hyperlink xmlns:r="http://schemas.openxmlformats.org/officeDocument/2006/relationships" ref="D8" display="(LEFT JOIN) los.PRODUCT_ID = pd_los.ID" r:id="rId2"/>
    <hyperlink xmlns:r="http://schemas.openxmlformats.org/officeDocument/2006/relationships" ref="D50" display="(LEFT JOIN) ld_los.FACILITY_ID = los.ID" r:id="rId3"/>
    <hyperlink xmlns:r="http://schemas.openxmlformats.org/officeDocument/2006/relationships" ref="D51" display="(LEFT JOIN) los.PRODUCT_ID = pd_los.ID" r:id="rId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N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6.56" customWidth="1" style="334" min="1" max="1"/>
    <col width="39.66" customWidth="1" style="334" min="2" max="2"/>
    <col width="28" customWidth="1" style="334" min="3" max="3"/>
    <col width="68.44" customWidth="1" style="334" min="4" max="4"/>
    <col width="31.56" customWidth="1" style="334" min="5" max="5"/>
    <col width="51.88" customWidth="1" style="334" min="6" max="6"/>
    <col width="16.44" customWidth="1" style="334" min="7" max="7"/>
    <col width="37.34" customWidth="1" style="334" min="8" max="8"/>
    <col width="12.11" customWidth="1" style="334" min="9" max="9"/>
    <col width="6.67" customWidth="1" style="334" min="10" max="10"/>
    <col width="34" customWidth="1" style="334" min="11" max="11"/>
    <col width="55" customWidth="1" style="334" min="14" max="14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PG_BRONZE</t>
        </is>
      </c>
      <c r="B3" s="433" t="inlineStr">
        <is>
          <t>T24CORE_LD_LOANS_AND_DEPOSITS</t>
        </is>
      </c>
      <c r="C3" s="433" t="inlineStr">
        <is>
          <t>a</t>
        </is>
      </c>
      <c r="D3" s="433" t="n"/>
      <c r="E3" s="433" t="n"/>
      <c r="F3" s="435" t="n"/>
      <c r="G3" s="435" t="n"/>
      <c r="H3" s="435" t="n"/>
      <c r="I3" s="435" t="n"/>
      <c r="J3" s="435" t="n"/>
      <c r="K3" s="435" t="n"/>
    </row>
    <row r="4" ht="42.75" customHeight="1" s="335">
      <c r="A4" s="433" t="inlineStr">
        <is>
          <t>PG_BRONZE</t>
        </is>
      </c>
      <c r="B4" s="433" t="inlineStr">
        <is>
          <t>EBANKING_COL_UDF_VALUE</t>
        </is>
      </c>
      <c r="C4" s="443" t="inlineStr">
        <is>
          <t>b</t>
        </is>
      </c>
      <c r="D4" s="443" t="inlineStr">
        <is>
          <t>(left join) ON ((b.COL_REF = a.ACC_FCC and b.FUNCTION_CODE = 'CONTRACT_INFOR' and a.RECID  LIKE 'LD%') OR (b.COL_REF = a.FCC_LIMIT and b.FUNCTION_CODE = 'LIMIT_INFOR'))  AND b.UDF_ID = 'NHANNO_BATBUOC'</t>
        </is>
      </c>
      <c r="E4" s="433" t="n"/>
      <c r="F4" s="435" t="n"/>
      <c r="G4" s="435" t="n"/>
      <c r="H4" s="435" t="n"/>
      <c r="I4" s="435" t="n"/>
      <c r="J4" s="435" t="n"/>
      <c r="K4" s="435" t="n"/>
    </row>
    <row r="5" ht="28.5" customHeight="1" s="335">
      <c r="A5" s="433" t="inlineStr">
        <is>
          <t>PG_BRONZE</t>
        </is>
      </c>
      <c r="B5" s="415" t="inlineStr">
        <is>
          <t>FLEXBO_PGB_CONTRACT_UDF_MAP</t>
        </is>
      </c>
      <c r="C5" s="433" t="inlineStr">
        <is>
          <t>c</t>
        </is>
      </c>
      <c r="D5" s="443" t="inlineStr">
        <is>
          <t>(left join) ON c.CONTRACT_REF_NO = a.ACC_FCC and c.field_name ='SO LAN CO CAU'</t>
        </is>
      </c>
      <c r="E5" s="433" t="n"/>
      <c r="F5" s="435" t="n"/>
      <c r="G5" s="435" t="n"/>
      <c r="H5" s="435" t="n"/>
      <c r="I5" s="435" t="n"/>
      <c r="J5" s="435" t="n"/>
      <c r="K5" s="435" t="n"/>
    </row>
    <row r="6" ht="28.5" customHeight="1" s="335">
      <c r="A6" s="433" t="inlineStr">
        <is>
          <t>PG_BRONZE</t>
        </is>
      </c>
      <c r="B6" s="415" t="inlineStr">
        <is>
          <t>FLEXBO_PGB_CONTRACT_UDF_MAP</t>
        </is>
      </c>
      <c r="C6" s="433" t="inlineStr">
        <is>
          <t>c1</t>
        </is>
      </c>
      <c r="D6" s="443" t="inlineStr">
        <is>
          <t>(left join) ON c1.CONTRACT_REF_NO = a.ACC_FCC and c1.field_name ='LOAI CHUNG KHOAN'</t>
        </is>
      </c>
      <c r="E6" s="433" t="n"/>
      <c r="F6" s="435" t="n"/>
      <c r="G6" s="435" t="n"/>
      <c r="H6" s="435" t="n"/>
      <c r="I6" s="435" t="n"/>
      <c r="J6" s="435" t="n"/>
      <c r="K6" s="435" t="n"/>
    </row>
    <row r="7" ht="28.5" customHeight="1" s="335">
      <c r="A7" s="415" t="inlineStr">
        <is>
          <t>PG_BRONZE</t>
        </is>
      </c>
      <c r="B7" s="415" t="inlineStr">
        <is>
          <t>FLEXBO_PGB_LOS_CONTRACT_FIELDS_TDATE</t>
        </is>
      </c>
      <c r="C7" s="433" t="inlineStr">
        <is>
          <t>d</t>
        </is>
      </c>
      <c r="D7" s="443" t="inlineStr">
        <is>
          <t>(left join) ON d.CONTRACT_REF_NO = a.RECID AND d.MOV_DATE = TO_DATE(COALESCE(a.ORIG_VAL_DATE,a.VALUE_DATE), 'YYYYMMDD')</t>
        </is>
      </c>
      <c r="E7" s="433" t="n"/>
      <c r="F7" s="435" t="n"/>
      <c r="G7" s="435" t="n"/>
      <c r="H7" s="435" t="n"/>
      <c r="I7" s="435" t="n"/>
      <c r="J7" s="435" t="n"/>
      <c r="K7" s="435" t="n"/>
    </row>
    <row r="8" ht="28.5" customHeight="1" s="335">
      <c r="A8" s="433" t="inlineStr">
        <is>
          <t>PG_BRONZE</t>
        </is>
      </c>
      <c r="B8" s="415" t="inlineStr">
        <is>
          <t>FLEXBO_PGBLD_CONTRACT_UDFIELD_HIST</t>
        </is>
      </c>
      <c r="C8" s="433" t="inlineStr">
        <is>
          <t>e</t>
        </is>
      </c>
      <c r="D8" s="443" t="inlineStr">
        <is>
          <t>(left join) ON e.CONTRACT_REF_NO = a.ACC_FCC -- AND e.MOV_DATE = TO_DATE('20181130','YYYYMMDD')</t>
        </is>
      </c>
      <c r="E8" s="433" t="inlineStr">
        <is>
          <t>Tránh dup dữ liệu</t>
        </is>
      </c>
      <c r="F8" s="435" t="n"/>
      <c r="G8" s="435" t="n"/>
      <c r="H8" s="435" t="n"/>
      <c r="I8" s="435" t="n"/>
      <c r="J8" s="435" t="n"/>
      <c r="K8" s="435" t="n"/>
    </row>
    <row r="9" ht="14.25" customHeight="1" s="335">
      <c r="A9" s="415" t="inlineStr">
        <is>
          <t>PG_BRONZE</t>
        </is>
      </c>
      <c r="B9" s="415" t="inlineStr">
        <is>
          <t>T24CORE_MB_MG_SAVING_MULTI</t>
        </is>
      </c>
      <c r="C9" s="433" t="inlineStr">
        <is>
          <t>f</t>
        </is>
      </c>
      <c r="D9" s="433" t="inlineStr">
        <is>
          <t>(left join) ON f.LD_ID = a.RECID</t>
        </is>
      </c>
      <c r="E9" s="433" t="n"/>
      <c r="F9" s="435" t="n"/>
      <c r="G9" s="435" t="n"/>
      <c r="H9" s="435" t="n"/>
      <c r="I9" s="435" t="n"/>
      <c r="J9" s="435" t="n"/>
      <c r="K9" s="435" t="n"/>
    </row>
    <row r="10" ht="28.5" customHeight="1" s="335">
      <c r="A10" s="433" t="inlineStr">
        <is>
          <t>PG_BRONZE</t>
        </is>
      </c>
      <c r="B10" s="415" t="inlineStr">
        <is>
          <t>FLEXBO_PGBLD_RT_CONTRACT_UDFIELD_HIST</t>
        </is>
      </c>
      <c r="C10" s="433" t="inlineStr">
        <is>
          <t>g</t>
        </is>
      </c>
      <c r="D10" s="443" t="inlineStr">
        <is>
          <t>(left join) ON g.CONTRACT_REF_NO = a.ACC_FCC -- AND g.MOV_DATE = TO_DATE('20211212','YYYYMMDD')</t>
        </is>
      </c>
      <c r="E10" s="433" t="inlineStr">
        <is>
          <t>Tránh dup dữ liệu</t>
        </is>
      </c>
      <c r="F10" s="435" t="n"/>
      <c r="G10" s="435" t="n"/>
      <c r="H10" s="435" t="n"/>
      <c r="I10" s="435" t="n"/>
      <c r="J10" s="435" t="n"/>
      <c r="K10" s="435" t="n"/>
    </row>
    <row r="11" ht="14.25" customHeight="1" s="335">
      <c r="A11" s="433" t="inlineStr">
        <is>
          <t>PG_BRONZE</t>
        </is>
      </c>
      <c r="B11" s="415" t="inlineStr">
        <is>
          <t>SOURCE_SAOKE_MVMT</t>
        </is>
      </c>
      <c r="C11" s="433" t="inlineStr">
        <is>
          <t>h</t>
        </is>
      </c>
      <c r="D11" s="433" t="inlineStr">
        <is>
          <t>(left join) ON h.TRANS_REF = a.recid and h.SBV_CODE LIKE '39%'</t>
        </is>
      </c>
      <c r="E11" s="433" t="inlineStr">
        <is>
          <t>Lấy distinct TRANS_REF, SBV_CODE</t>
        </is>
      </c>
      <c r="F11" s="435" t="n"/>
      <c r="G11" s="435" t="n"/>
      <c r="H11" s="435" t="n"/>
      <c r="I11" s="435" t="n"/>
      <c r="J11" s="435" t="n"/>
      <c r="K11" s="435" t="n"/>
    </row>
    <row r="12" ht="14.25" customHeight="1" s="335">
      <c r="A12" s="415" t="inlineStr">
        <is>
          <t>PG_BRONZE</t>
        </is>
      </c>
      <c r="B12" s="415" t="inlineStr">
        <is>
          <t>T24CORE_CUSTOMER</t>
        </is>
      </c>
      <c r="C12" s="435" t="inlineStr">
        <is>
          <t>i</t>
        </is>
      </c>
      <c r="D12" s="433" t="inlineStr">
        <is>
          <t>(left join) ON i.RECID = a.CUSTOMER_ID</t>
        </is>
      </c>
      <c r="E12" s="433" t="n"/>
      <c r="F12" s="435" t="n"/>
      <c r="G12" s="435" t="n"/>
      <c r="H12" s="435" t="n"/>
      <c r="I12" s="435" t="n"/>
      <c r="J12" s="435" t="n"/>
      <c r="K12" s="435" t="n"/>
    </row>
    <row r="13" ht="14.25" customHeight="1" s="335">
      <c r="A13" s="435" t="n"/>
      <c r="B13" s="435" t="n"/>
      <c r="C13" s="435" t="n"/>
      <c r="D13" s="435" t="n"/>
      <c r="E13" s="433" t="n"/>
      <c r="F13" s="435" t="n"/>
      <c r="G13" s="435" t="n"/>
      <c r="H13" s="435" t="n"/>
      <c r="I13" s="435" t="n"/>
      <c r="J13" s="435" t="n"/>
      <c r="K13" s="435" t="n"/>
    </row>
    <row r="14" ht="14.25" customHeight="1" s="335">
      <c r="A14" s="432" t="n"/>
      <c r="B14" s="432" t="n"/>
      <c r="C14" s="432" t="n"/>
      <c r="D14" s="432" t="n"/>
      <c r="E14" s="432" t="n"/>
      <c r="F14" s="432" t="n"/>
      <c r="G14" s="432" t="n"/>
      <c r="H14" s="432" t="n"/>
      <c r="I14" s="432" t="n"/>
      <c r="J14" s="432" t="n"/>
      <c r="K14" s="432" t="n"/>
    </row>
    <row r="15" ht="14.25" customHeight="1" s="335">
      <c r="A15" s="432" t="inlineStr">
        <is>
          <t>Nguồn</t>
        </is>
      </c>
      <c r="B15" s="432" t="inlineStr">
        <is>
          <t>Bảng nguồn</t>
        </is>
      </c>
      <c r="C15" s="432" t="inlineStr">
        <is>
          <t>Cột nguồn</t>
        </is>
      </c>
      <c r="D15" s="432" t="inlineStr">
        <is>
          <t>Transform</t>
        </is>
      </c>
      <c r="E15" s="432" t="inlineStr">
        <is>
          <t>Entity</t>
        </is>
      </c>
      <c r="F15" s="432" t="inlineStr">
        <is>
          <t>Attribute</t>
        </is>
      </c>
      <c r="G15" s="432" t="inlineStr">
        <is>
          <t>Bảng đích</t>
        </is>
      </c>
      <c r="H15" s="432" t="inlineStr">
        <is>
          <t>Cột đích</t>
        </is>
      </c>
      <c r="I15" s="432" t="inlineStr">
        <is>
          <t>Kiểu dữ liệu</t>
        </is>
      </c>
      <c r="J15" s="432" t="inlineStr">
        <is>
          <t>Độ dài</t>
        </is>
      </c>
      <c r="K15" s="432" t="inlineStr">
        <is>
          <t>Diễn giải</t>
        </is>
      </c>
      <c r="L15" s="432" t="inlineStr">
        <is>
          <t>Glossary</t>
        </is>
      </c>
      <c r="M15" s="432" t="inlineStr">
        <is>
          <t>DDL Comment</t>
        </is>
      </c>
      <c r="N15" s="413" t="inlineStr">
        <is>
          <t>Ghi chú kỹ thuật &amp; Business Rule</t>
        </is>
      </c>
    </row>
    <row r="16" ht="14.25" customHeight="1" s="335">
      <c r="A16" s="334" t="inlineStr">
        <is>
          <t>PG_BRONZE</t>
        </is>
      </c>
      <c r="B16" s="438" t="inlineStr">
        <is>
          <t>T24CORE_LD_LOANS_AND_DEPOSITS</t>
        </is>
      </c>
      <c r="C16" s="334" t="inlineStr">
        <is>
          <t>RECID</t>
        </is>
      </c>
      <c r="D16" s="334" t="inlineStr">
        <is>
          <t>'T24_LD_LOANS_AND_DEPOSITS'</t>
        </is>
      </c>
      <c r="E16" s="558" t="inlineStr">
        <is>
          <t>Loan Arrangement Profile</t>
        </is>
      </c>
      <c r="F16" s="415" t="inlineStr">
        <is>
          <t>Source System Code</t>
        </is>
      </c>
      <c r="G16" s="558" t="inlineStr">
        <is>
          <t>LOAN_AR_PRFL</t>
        </is>
      </c>
      <c r="H16" s="415" t="inlineStr">
        <is>
          <t>SRC_STM_CODE</t>
        </is>
      </c>
      <c r="I16" s="415" t="inlineStr">
        <is>
          <t>VARCHAR2</t>
        </is>
      </c>
      <c r="J16" s="415" t="n">
        <v>40</v>
      </c>
      <c r="K16" s="415" t="inlineStr">
        <is>
          <t>Mã hệ thống nguồn dữ liệu</t>
        </is>
      </c>
      <c r="M16" s="415">
        <f>"COMMENT ON COLUMN PG_SILVER."&amp;G16&amp;"."&amp;H16&amp;" IS '"&amp;K16&amp;"';"</f>
        <v/>
      </c>
    </row>
    <row r="17" ht="14.25" customHeight="1" s="335">
      <c r="A17" s="433" t="inlineStr">
        <is>
          <t>PG_BRONZE</t>
        </is>
      </c>
      <c r="B17" s="415" t="inlineStr">
        <is>
          <t>T24CORE_LD_LOANS_AND_DEPOSITS</t>
        </is>
      </c>
      <c r="C17" s="433" t="inlineStr">
        <is>
          <t>RECID</t>
        </is>
      </c>
      <c r="D17" s="433" t="inlineStr">
        <is>
          <t>fn_hash("T24_LD_LOANS_AND_DEPOSITS", a.RECID)</t>
        </is>
      </c>
      <c r="E17" s="433" t="inlineStr">
        <is>
          <t>Loan Arrangement Profile</t>
        </is>
      </c>
      <c r="F17" s="433" t="inlineStr">
        <is>
          <t>Arrangement ID</t>
        </is>
      </c>
      <c r="G17" s="558" t="inlineStr">
        <is>
          <t>LOAN_AR_PRFL</t>
        </is>
      </c>
      <c r="H17" s="558" t="inlineStr">
        <is>
          <t>AR_ID</t>
        </is>
      </c>
      <c r="I17" s="415" t="inlineStr">
        <is>
          <t>CHAR</t>
        </is>
      </c>
      <c r="J17" s="415" t="n">
        <v>32</v>
      </c>
      <c r="K17" s="415" t="inlineStr">
        <is>
          <t>Unique key trên DWH</t>
        </is>
      </c>
      <c r="M17" s="334">
        <f>"COMMENT ON COLUMN PG_SILVER."&amp;G17&amp;"."&amp;H17&amp;" IS '"&amp;K17&amp;"';"</f>
        <v/>
      </c>
    </row>
    <row r="18" ht="14.25" customHeight="1" s="335">
      <c r="A18" s="433" t="inlineStr">
        <is>
          <t>PG_BRONZE</t>
        </is>
      </c>
      <c r="B18" s="415" t="inlineStr">
        <is>
          <t>T24CORE_LD_LOANS_AND_DEPOSITS</t>
        </is>
      </c>
      <c r="C18" s="433" t="inlineStr">
        <is>
          <t>RECID</t>
        </is>
      </c>
      <c r="D18" s="433" t="inlineStr">
        <is>
          <t>1:1</t>
        </is>
      </c>
      <c r="E18" s="433" t="inlineStr">
        <is>
          <t>Loan Arrangement Profile</t>
        </is>
      </c>
      <c r="F18" s="433" t="inlineStr">
        <is>
          <t>Arrangement Code</t>
        </is>
      </c>
      <c r="G18" s="558" t="inlineStr">
        <is>
          <t>LOAN_AR_PRFL</t>
        </is>
      </c>
      <c r="H18" s="558" t="inlineStr">
        <is>
          <t>AR_CODE</t>
        </is>
      </c>
      <c r="I18" s="415" t="inlineStr">
        <is>
          <t>VARCHAR2</t>
        </is>
      </c>
      <c r="J18" s="415" t="n">
        <v>40</v>
      </c>
      <c r="K18" s="433" t="inlineStr">
        <is>
          <t>Mã hợp đồng</t>
        </is>
      </c>
      <c r="M18" s="334">
        <f>"COMMENT ON COLUMN PG_SILVER."&amp;G18&amp;"."&amp;H18&amp;" IS '"&amp;K18&amp;"';"</f>
        <v/>
      </c>
    </row>
    <row r="19" ht="14.25" customHeight="1" s="335">
      <c r="A19" s="433" t="inlineStr">
        <is>
          <t>PG_BRONZE</t>
        </is>
      </c>
      <c r="B19" s="415" t="inlineStr">
        <is>
          <t>T24CORE_LD_LOANS_AND_DEPOSITS</t>
        </is>
      </c>
      <c r="C19" s="433" t="inlineStr">
        <is>
          <t>INT_LIQ_ACCT</t>
        </is>
      </c>
      <c r="D19" s="433" t="inlineStr">
        <is>
          <t>1:1</t>
        </is>
      </c>
      <c r="E19" s="433" t="inlineStr">
        <is>
          <t>Loan Arrangement Profile</t>
        </is>
      </c>
      <c r="F19" s="433" t="inlineStr">
        <is>
          <t>Interest Liquid Arrangement Code</t>
        </is>
      </c>
      <c r="G19" s="558" t="inlineStr">
        <is>
          <t>LOAN_AR_PRFL</t>
        </is>
      </c>
      <c r="H19" s="558" t="inlineStr">
        <is>
          <t>INT_LQD_AR_CODE</t>
        </is>
      </c>
      <c r="I19" s="415" t="inlineStr">
        <is>
          <t>VARCHAR2</t>
        </is>
      </c>
      <c r="J19" s="415" t="n">
        <v>40</v>
      </c>
      <c r="K19" s="433" t="inlineStr">
        <is>
          <t>Tài khoản thanh toán lãi</t>
        </is>
      </c>
      <c r="M19" s="334">
        <f>"COMMENT ON COLUMN PG_SILVER."&amp;G19&amp;"."&amp;H19&amp;" IS '"&amp;K19&amp;"';"</f>
        <v/>
      </c>
    </row>
    <row r="20" ht="14.25" customHeight="1" s="335">
      <c r="A20" s="433" t="inlineStr">
        <is>
          <t>PG_BRONZE</t>
        </is>
      </c>
      <c r="B20" s="415" t="inlineStr">
        <is>
          <t>T24CORE_LD_LOANS_AND_DEPOSITS</t>
        </is>
      </c>
      <c r="C20" s="433" t="inlineStr">
        <is>
          <t>INT_LIQ_ACCT</t>
        </is>
      </c>
      <c r="D20" s="441" t="inlineStr">
        <is>
          <t>CASE WHEN a.INT_LIQ_ACCT IS NOT NULL THEN fn_hash("T24_LD_LOANS_AND_DEPOSITS", a.INT_LIQ_ACCT) ELSE NULL END</t>
        </is>
      </c>
      <c r="E20" s="433" t="inlineStr">
        <is>
          <t>Loan Arrangement Profile</t>
        </is>
      </c>
      <c r="F20" s="433" t="inlineStr">
        <is>
          <t>Interest Liquid Arrangement Id</t>
        </is>
      </c>
      <c r="G20" s="558" t="inlineStr">
        <is>
          <t>LOAN_AR_PRFL</t>
        </is>
      </c>
      <c r="H20" s="558" t="inlineStr">
        <is>
          <t>INT_LQD_AR_ID</t>
        </is>
      </c>
      <c r="I20" s="415" t="inlineStr">
        <is>
          <t>CHAR</t>
        </is>
      </c>
      <c r="J20" s="415" t="n">
        <v>32</v>
      </c>
      <c r="K20" s="433" t="inlineStr">
        <is>
          <t>ID Tài khoản thanh toán lãi</t>
        </is>
      </c>
      <c r="M20" s="334">
        <f>"COMMENT ON COLUMN PG_SILVER."&amp;G20&amp;"."&amp;H20&amp;" IS '"&amp;K20&amp;"';"</f>
        <v/>
      </c>
    </row>
    <row r="21" ht="14.25" customHeight="1" s="335">
      <c r="A21" s="433" t="inlineStr">
        <is>
          <t>PG_BRONZE</t>
        </is>
      </c>
      <c r="B21" s="415" t="inlineStr">
        <is>
          <t>T24CORE_LD_LOANS_AND_DEPOSITS</t>
        </is>
      </c>
      <c r="C21" s="433" t="inlineStr">
        <is>
          <t>PRIN_LIQ_ACCT</t>
        </is>
      </c>
      <c r="D21" s="433" t="inlineStr">
        <is>
          <t>1:1</t>
        </is>
      </c>
      <c r="E21" s="433" t="inlineStr">
        <is>
          <t>Loan Arrangement Profile</t>
        </is>
      </c>
      <c r="F21" s="433" t="inlineStr">
        <is>
          <t>Principal Liquid Arrangement Code</t>
        </is>
      </c>
      <c r="G21" s="558" t="inlineStr">
        <is>
          <t>LOAN_AR_PRFL</t>
        </is>
      </c>
      <c r="H21" s="558" t="inlineStr">
        <is>
          <t>PNP_LQD_AR_CODE</t>
        </is>
      </c>
      <c r="I21" s="415" t="inlineStr">
        <is>
          <t>VARCHAR2</t>
        </is>
      </c>
      <c r="J21" s="415" t="n">
        <v>40</v>
      </c>
      <c r="K21" s="433" t="inlineStr">
        <is>
          <t>Tài khoản thanh toán gốc</t>
        </is>
      </c>
      <c r="M21" s="334">
        <f>"COMMENT ON COLUMN PG_SILVER."&amp;G21&amp;"."&amp;H21&amp;" IS '"&amp;K21&amp;"';"</f>
        <v/>
      </c>
    </row>
    <row r="22" ht="14.25" customHeight="1" s="335">
      <c r="A22" s="433" t="inlineStr">
        <is>
          <t>PG_BRONZE</t>
        </is>
      </c>
      <c r="B22" s="415" t="inlineStr">
        <is>
          <t>T24CORE_LD_LOANS_AND_DEPOSITS</t>
        </is>
      </c>
      <c r="C22" s="433" t="inlineStr">
        <is>
          <t>PRIN_LIQ_ACCT</t>
        </is>
      </c>
      <c r="D22" s="441" t="inlineStr">
        <is>
          <t>CASE WHEN a.PRIN_LIQ_ACCT IS NOT NULL THEN fn_hash("T24_LD_LOANS_AND_DEPOSITS", a.PRIN_LIQ_ACCT) ELSE NULL END</t>
        </is>
      </c>
      <c r="E22" s="433" t="inlineStr">
        <is>
          <t>Loan Arrangement Profile</t>
        </is>
      </c>
      <c r="F22" s="433" t="inlineStr">
        <is>
          <t>Principal Liquid Arrangement Id</t>
        </is>
      </c>
      <c r="G22" s="558" t="inlineStr">
        <is>
          <t>LOAN_AR_PRFL</t>
        </is>
      </c>
      <c r="H22" s="558" t="inlineStr">
        <is>
          <t>PNP_LQD_AR_ID</t>
        </is>
      </c>
      <c r="I22" s="415" t="inlineStr">
        <is>
          <t>CHAR</t>
        </is>
      </c>
      <c r="J22" s="415" t="n">
        <v>32</v>
      </c>
      <c r="K22" s="433" t="inlineStr">
        <is>
          <t>ID Tài khoản thanh toán gốc</t>
        </is>
      </c>
      <c r="M22" s="334">
        <f>"COMMENT ON COLUMN PG_SILVER."&amp;G22&amp;"."&amp;H22&amp;" IS '"&amp;K22&amp;"';"</f>
        <v/>
      </c>
    </row>
    <row r="23" ht="14.25" customHeight="1" s="335">
      <c r="A23" s="433" t="inlineStr">
        <is>
          <t>PG_BRONZE</t>
        </is>
      </c>
      <c r="B23" s="415" t="inlineStr">
        <is>
          <t>T24CORE_LD_LOANS_AND_DEPOSITS</t>
        </is>
      </c>
      <c r="C23" s="433" t="inlineStr">
        <is>
          <t>STATUS</t>
        </is>
      </c>
      <c r="D23" s="433" t="inlineStr">
        <is>
          <t>1:1</t>
        </is>
      </c>
      <c r="E23" s="433" t="inlineStr">
        <is>
          <t>Loan Arrangement Profile</t>
        </is>
      </c>
      <c r="F23" s="433" t="inlineStr">
        <is>
          <t>Arrangement Life Cycle Status Type Code</t>
        </is>
      </c>
      <c r="G23" s="558" t="inlineStr">
        <is>
          <t>LOAN_AR_PRFL</t>
        </is>
      </c>
      <c r="H23" s="558" t="inlineStr">
        <is>
          <t>AR_LCS_TP_CODE</t>
        </is>
      </c>
      <c r="I23" s="415" t="inlineStr">
        <is>
          <t>VARCHAR2</t>
        </is>
      </c>
      <c r="J23" s="415" t="n">
        <v>40</v>
      </c>
      <c r="K23" s="433" t="inlineStr">
        <is>
          <t>Trạng thái</t>
        </is>
      </c>
      <c r="M23" s="334">
        <f>"COMMENT ON COLUMN PG_SILVER."&amp;G23&amp;"."&amp;H23&amp;" IS '"&amp;K23&amp;"';"</f>
        <v/>
      </c>
    </row>
    <row r="24" ht="14.25" customHeight="1" s="335">
      <c r="A24" s="433" t="inlineStr">
        <is>
          <t>PG_BRONZE</t>
        </is>
      </c>
      <c r="B24" s="415" t="inlineStr">
        <is>
          <t>T24CORE_LD_LOANS_AND_DEPOSITS</t>
        </is>
      </c>
      <c r="C24" s="433" t="inlineStr">
        <is>
          <t>CO_CODE</t>
        </is>
      </c>
      <c r="D24" s="433" t="inlineStr">
        <is>
          <t>1:1</t>
        </is>
      </c>
      <c r="E24" s="433" t="inlineStr">
        <is>
          <t>Loan Arrangement Profile</t>
        </is>
      </c>
      <c r="F24" s="415" t="inlineStr">
        <is>
          <t>Organization Unit Code</t>
        </is>
      </c>
      <c r="G24" s="558" t="inlineStr">
        <is>
          <t>LOAN_AR_PRFL</t>
        </is>
      </c>
      <c r="H24" s="558" t="inlineStr">
        <is>
          <t>OU_CODE</t>
        </is>
      </c>
      <c r="I24" s="415" t="inlineStr">
        <is>
          <t>VARCHAR2</t>
        </is>
      </c>
      <c r="J24" s="415" t="n">
        <v>32</v>
      </c>
      <c r="K24" s="433" t="inlineStr">
        <is>
          <t>Mã chi nhánh quản lý hiện tại</t>
        </is>
      </c>
      <c r="M24" s="334">
        <f>"COMMENT ON COLUMN PG_SILVER."&amp;G24&amp;"."&amp;H24&amp;" IS '"&amp;K24&amp;"';"</f>
        <v/>
      </c>
    </row>
    <row r="25" ht="14.25" customHeight="1" s="335">
      <c r="A25" s="433" t="inlineStr">
        <is>
          <t>PG_BRONZE</t>
        </is>
      </c>
      <c r="B25" s="433" t="inlineStr">
        <is>
          <t>EBANKING_COL_UDF_VALUE</t>
        </is>
      </c>
      <c r="C25" s="433" t="inlineStr">
        <is>
          <t>UDF_VALUE, UDF_ID</t>
        </is>
      </c>
      <c r="D25" s="415" t="inlineStr">
        <is>
          <t>1:1</t>
        </is>
      </c>
      <c r="E25" s="433" t="inlineStr">
        <is>
          <t>Loan Arrangement Profile</t>
        </is>
      </c>
      <c r="F25" s="433" t="inlineStr">
        <is>
          <t>Mandatory Repayment</t>
        </is>
      </c>
      <c r="G25" s="558" t="inlineStr">
        <is>
          <t>LOAN_AR_PRFL</t>
        </is>
      </c>
      <c r="H25" s="433" t="inlineStr">
        <is>
          <t>MAND_REPYMT</t>
        </is>
      </c>
      <c r="I25" s="415" t="inlineStr">
        <is>
          <t>VARCHAR2</t>
        </is>
      </c>
      <c r="J25" s="415" t="n">
        <v>20</v>
      </c>
      <c r="K25" s="433" t="inlineStr">
        <is>
          <t>Giá trị UDF</t>
        </is>
      </c>
      <c r="M25" s="334">
        <f>"COMMENT ON COLUMN PG_SILVER."&amp;G25&amp;"."&amp;H25&amp;" IS '"&amp;K25&amp;"';"</f>
        <v/>
      </c>
    </row>
    <row r="26" ht="14.25" customHeight="1" s="335">
      <c r="A26" s="433" t="inlineStr">
        <is>
          <t>PG_BRONZE</t>
        </is>
      </c>
      <c r="B26" s="415" t="inlineStr">
        <is>
          <t>FLEXBO_PGB_CONTRACT_UDF_MAP, FLEXBO_PGB_LOS_CONTRACT_FIELDS_TDATE</t>
        </is>
      </c>
      <c r="C26" s="433" t="inlineStr">
        <is>
          <t>FIELD_VAL, SO_LAN_CO_CAU</t>
        </is>
      </c>
      <c r="D26" s="415" t="inlineStr">
        <is>
          <t>NVL(d.SO_LAN_CO_CAU,c.FIELD_VAL)</t>
        </is>
      </c>
      <c r="E26" s="433" t="inlineStr">
        <is>
          <t>Loan Arrangement Profile</t>
        </is>
      </c>
      <c r="F26" s="334" t="inlineStr">
        <is>
          <t>Number of debt restructurings</t>
        </is>
      </c>
      <c r="G26" s="558" t="inlineStr">
        <is>
          <t>LOAN_AR_PRFL</t>
        </is>
      </c>
      <c r="H26" s="433" t="inlineStr">
        <is>
          <t>NBR_OF_DBT_RSTC</t>
        </is>
      </c>
      <c r="I26" s="415" t="inlineStr">
        <is>
          <t>NUMBER</t>
        </is>
      </c>
      <c r="J26" s="415" t="n">
        <v>22</v>
      </c>
      <c r="K26" s="433" t="inlineStr">
        <is>
          <t>Giá trị tương ứng với từng trường</t>
        </is>
      </c>
      <c r="M26" s="334">
        <f>"COMMENT ON COLUMN PG_SILVER."&amp;G26&amp;"."&amp;H26&amp;" IS '"&amp;K26&amp;"';"</f>
        <v/>
      </c>
    </row>
    <row r="27" ht="14.25" customHeight="1" s="335">
      <c r="A27" s="433" t="inlineStr">
        <is>
          <t>PG_BRONZE</t>
        </is>
      </c>
      <c r="B27" s="415" t="inlineStr">
        <is>
          <t>FLEXBO_PGB_CONTRACT_UDF_MAP</t>
        </is>
      </c>
      <c r="C27" s="433" t="inlineStr">
        <is>
          <t>FIELD_VAL</t>
        </is>
      </c>
      <c r="D27" s="415" t="inlineStr">
        <is>
          <t>c1.FIELD_VAL</t>
        </is>
      </c>
      <c r="E27" s="334" t="inlineStr">
        <is>
          <t>Loan Arrangement Profile</t>
        </is>
      </c>
      <c r="F27" s="433" t="inlineStr">
        <is>
          <t>Security Type</t>
        </is>
      </c>
      <c r="G27" s="558" t="inlineStr">
        <is>
          <t>LOAN_AR_PRFL</t>
        </is>
      </c>
      <c r="H27" s="433" t="inlineStr">
        <is>
          <t>SCR_TP</t>
        </is>
      </c>
      <c r="I27" s="415" t="inlineStr">
        <is>
          <t>VARCHAR2</t>
        </is>
      </c>
      <c r="J27" s="415" t="n">
        <v>20</v>
      </c>
      <c r="K27" s="433" t="inlineStr">
        <is>
          <t>Giá trị tương ứng với từng trường</t>
        </is>
      </c>
      <c r="M27" s="334">
        <f>"COMMENT ON COLUMN PG_SILVER."&amp;G27&amp;"."&amp;H27&amp;" IS '"&amp;K27&amp;"';"</f>
        <v/>
      </c>
    </row>
    <row r="28" ht="14.25" customHeight="1" s="335">
      <c r="A28" s="415" t="inlineStr">
        <is>
          <t>PG_BRONZE</t>
        </is>
      </c>
      <c r="B28" s="415" t="inlineStr">
        <is>
          <t>FLEXBO_PGB_LOS_CONTRACT_FIELDS_TDATE</t>
        </is>
      </c>
      <c r="C28" s="433" t="inlineStr">
        <is>
          <t>CAR_APPLICATION_CODE</t>
        </is>
      </c>
      <c r="D28" s="415" t="inlineStr">
        <is>
          <t>1:1</t>
        </is>
      </c>
      <c r="E28" s="433" t="inlineStr">
        <is>
          <t>Loan Arrangement Profile</t>
        </is>
      </c>
      <c r="F28" s="433" t="inlineStr">
        <is>
          <t>Car Application Code</t>
        </is>
      </c>
      <c r="G28" s="558" t="inlineStr">
        <is>
          <t>LOAN_AR_PRFL</t>
        </is>
      </c>
      <c r="H28" s="433" t="inlineStr">
        <is>
          <t>CAR_AP_CODE</t>
        </is>
      </c>
      <c r="I28" s="415" t="inlineStr">
        <is>
          <t>VARCHAR2</t>
        </is>
      </c>
      <c r="J28" s="415" t="n">
        <v>40</v>
      </c>
      <c r="K28" s="433" t="inlineStr">
        <is>
          <t>Mã hồ sơ đăng ký vay vốn</t>
        </is>
      </c>
      <c r="M28" s="334">
        <f>"COMMENT ON COLUMN PG_SILVER."&amp;G28&amp;"."&amp;H28&amp;" IS '"&amp;K28&amp;"';"</f>
        <v/>
      </c>
    </row>
    <row r="29" ht="14.25" customHeight="1" s="335">
      <c r="A29" s="415" t="inlineStr">
        <is>
          <t>PG_BRONZE</t>
        </is>
      </c>
      <c r="B29" s="415" t="inlineStr">
        <is>
          <t>FLEXBO_PGB_LOS_CONTRACT_FIELDS_TDATE</t>
        </is>
      </c>
      <c r="C29" s="433" t="inlineStr">
        <is>
          <t>LOS_CONTRACT_CODE</t>
        </is>
      </c>
      <c r="D29" s="415" t="inlineStr">
        <is>
          <t>1:1</t>
        </is>
      </c>
      <c r="E29" s="433" t="inlineStr">
        <is>
          <t>Loan Arrangement Profile</t>
        </is>
      </c>
      <c r="F29" s="433" t="inlineStr">
        <is>
          <t>LOS Contract Code</t>
        </is>
      </c>
      <c r="G29" s="558" t="inlineStr">
        <is>
          <t>LOAN_AR_PRFL</t>
        </is>
      </c>
      <c r="H29" s="433" t="inlineStr">
        <is>
          <t>LOS_CTR_CODE</t>
        </is>
      </c>
      <c r="I29" s="415" t="inlineStr">
        <is>
          <t>VARCHAR2</t>
        </is>
      </c>
      <c r="J29" s="415" t="n">
        <v>40</v>
      </c>
      <c r="K29" s="433" t="inlineStr">
        <is>
          <t>mã hợp đồng vay</t>
        </is>
      </c>
      <c r="M29" s="334">
        <f>"COMMENT ON COLUMN PG_SILVER."&amp;G29&amp;"."&amp;H29&amp;" IS '"&amp;K29&amp;"';"</f>
        <v/>
      </c>
    </row>
    <row r="30" ht="14.25" customHeight="1" s="335">
      <c r="A30" s="415" t="inlineStr">
        <is>
          <t>PG_BRONZE</t>
        </is>
      </c>
      <c r="B30" s="415" t="inlineStr">
        <is>
          <t>FLEXBO_PGB_LOS_CONTRACT_FIELDS_TDATE</t>
        </is>
      </c>
      <c r="C30" s="433" t="inlineStr">
        <is>
          <t>LOS_CONTRACT_ID</t>
        </is>
      </c>
      <c r="D30" s="415" t="inlineStr">
        <is>
          <t>1:1</t>
        </is>
      </c>
      <c r="E30" s="433" t="inlineStr">
        <is>
          <t>Loan Arrangement Profile</t>
        </is>
      </c>
      <c r="F30" s="334" t="inlineStr">
        <is>
          <t>LOS Contract ID</t>
        </is>
      </c>
      <c r="G30" s="558" t="inlineStr">
        <is>
          <t>LOAN_AR_PRFL</t>
        </is>
      </c>
      <c r="H30" s="433" t="inlineStr">
        <is>
          <t>LOS_CTR_ID</t>
        </is>
      </c>
      <c r="I30" s="415" t="inlineStr">
        <is>
          <t>VARCHAR2</t>
        </is>
      </c>
      <c r="J30" s="415" t="n">
        <v>20</v>
      </c>
      <c r="K30" s="334" t="inlineStr">
        <is>
          <t>mã hồ sơ trên LOS</t>
        </is>
      </c>
      <c r="M30" s="334">
        <f>"COMMENT ON COLUMN PG_SILVER."&amp;G30&amp;"."&amp;H30&amp;" IS '"&amp;K30&amp;"';"</f>
        <v/>
      </c>
    </row>
    <row r="31" ht="14.25" customHeight="1" s="335">
      <c r="A31" s="415" t="inlineStr">
        <is>
          <t>PG_BRONZE</t>
        </is>
      </c>
      <c r="B31" s="415" t="inlineStr">
        <is>
          <t>FLEXBO_PGB_LOS_CONTRACT_FIELDS_TDATE</t>
        </is>
      </c>
      <c r="C31" s="433" t="inlineStr">
        <is>
          <t>CO_CAU_NO_MIEN_GIAM_LAI</t>
        </is>
      </c>
      <c r="D31" s="415" t="inlineStr">
        <is>
          <t>1:1</t>
        </is>
      </c>
      <c r="E31" s="433" t="inlineStr">
        <is>
          <t>Loan Arrangement Profile</t>
        </is>
      </c>
      <c r="F31" s="334" t="inlineStr">
        <is>
          <t>Debt Waiver Flag</t>
        </is>
      </c>
      <c r="G31" s="558" t="inlineStr">
        <is>
          <t>LOAN_AR_PRFL</t>
        </is>
      </c>
      <c r="H31" s="558" t="inlineStr">
        <is>
          <t>DBT_WVR_F</t>
        </is>
      </c>
      <c r="I31" s="415" t="inlineStr">
        <is>
          <t>VARCHAR2</t>
        </is>
      </c>
      <c r="J31" s="415" t="n">
        <v>20</v>
      </c>
      <c r="K31" s="334" t="inlineStr">
        <is>
          <t>Đánh dấu cơ cấu miễn giảm</t>
        </is>
      </c>
      <c r="M31" s="334">
        <f>"COMMENT ON COLUMN PG_SILVER."&amp;G31&amp;"."&amp;H31&amp;" IS '"&amp;K31&amp;"';"</f>
        <v/>
      </c>
    </row>
    <row r="32" ht="14.25" customHeight="1" s="335">
      <c r="A32" s="415" t="inlineStr">
        <is>
          <t>PG_BRONZE</t>
        </is>
      </c>
      <c r="B32" s="415" t="inlineStr">
        <is>
          <t>FLEXBO_PGB_LOS_CONTRACT_FIELDS_TDATE</t>
        </is>
      </c>
      <c r="C32" s="433" t="inlineStr">
        <is>
          <t>MDVAY_NKT</t>
        </is>
      </c>
      <c r="D32" s="415" t="inlineStr">
        <is>
          <t>1:1</t>
        </is>
      </c>
      <c r="E32" s="433" t="inlineStr">
        <is>
          <t>Loan Arrangement Profile</t>
        </is>
      </c>
      <c r="F32" s="433" t="inlineStr">
        <is>
          <t>Arrangement purpose by industry</t>
        </is>
      </c>
      <c r="G32" s="558" t="inlineStr">
        <is>
          <t>LOAN_AR_PRFL</t>
        </is>
      </c>
      <c r="H32" s="433" t="inlineStr">
        <is>
          <t>AR_PPS_BY_IDY</t>
        </is>
      </c>
      <c r="I32" s="415" t="inlineStr">
        <is>
          <t>VARCHAR2</t>
        </is>
      </c>
      <c r="J32" s="415" t="n">
        <v>20</v>
      </c>
      <c r="K32" s="433" t="inlineStr">
        <is>
          <t>Mục đích vay theo ngành kinh tế</t>
        </is>
      </c>
      <c r="M32" s="334">
        <f>"COMMENT ON COLUMN PG_SILVER."&amp;G32&amp;"."&amp;H32&amp;" IS '"&amp;K32&amp;"';"</f>
        <v/>
      </c>
    </row>
    <row r="33" ht="14.25" customHeight="1" s="335">
      <c r="A33" s="456" t="inlineStr">
        <is>
          <t>PG_BRONZE</t>
        </is>
      </c>
      <c r="B33" s="456" t="inlineStr">
        <is>
          <t>FLEXBO_PGB_LOS_CONTRACT_FIELDS_TDATE</t>
        </is>
      </c>
      <c r="C33" s="455" t="inlineStr">
        <is>
          <t>MDVAY_SP</t>
        </is>
      </c>
      <c r="D33" s="456" t="inlineStr">
        <is>
          <t>1:1</t>
        </is>
      </c>
      <c r="E33" s="455" t="inlineStr">
        <is>
          <t>Loan Arrangement Profile</t>
        </is>
      </c>
      <c r="F33" s="455" t="inlineStr">
        <is>
          <t>Arrangement purpose by product</t>
        </is>
      </c>
      <c r="G33" s="558" t="inlineStr">
        <is>
          <t>LOAN_AR_PRFL</t>
        </is>
      </c>
      <c r="H33" s="433" t="inlineStr">
        <is>
          <t>AR_PPS_BY_PD</t>
        </is>
      </c>
      <c r="I33" s="415" t="inlineStr">
        <is>
          <t>VARCHAR2</t>
        </is>
      </c>
      <c r="J33" s="415" t="n">
        <v>20</v>
      </c>
      <c r="K33" s="433" t="inlineStr">
        <is>
          <t>Mục đích vay theo sản phẩm</t>
        </is>
      </c>
      <c r="M33" s="334">
        <f>"COMMENT ON COLUMN PG_SILVER."&amp;G33&amp;"."&amp;H33&amp;" IS '"&amp;K33&amp;"';"</f>
        <v/>
      </c>
    </row>
    <row r="34" ht="14.25" customHeight="1" s="335">
      <c r="A34" s="415" t="inlineStr">
        <is>
          <t>PG_BRONZE</t>
        </is>
      </c>
      <c r="B34" s="415" t="inlineStr">
        <is>
          <t>FLEXBO_PGB_LOS_CONTRACT_FIELDS_TDATE</t>
        </is>
      </c>
      <c r="C34" s="433" t="inlineStr">
        <is>
          <t>CAN_BO_DE_XUAT_GN</t>
        </is>
      </c>
      <c r="D34" s="415" t="inlineStr">
        <is>
          <t>1:1</t>
        </is>
      </c>
      <c r="E34" s="433" t="inlineStr">
        <is>
          <t>Loan Arrangement Profile</t>
        </is>
      </c>
      <c r="F34" s="433" t="inlineStr">
        <is>
          <t>Disbursement proposal officer</t>
        </is>
      </c>
      <c r="G34" s="558" t="inlineStr">
        <is>
          <t>LOAN_AR_PRFL</t>
        </is>
      </c>
      <c r="H34" s="433" t="inlineStr">
        <is>
          <t>DSBR_PRPSL_OFCR</t>
        </is>
      </c>
      <c r="I34" s="415" t="inlineStr">
        <is>
          <t>VARCHAR2</t>
        </is>
      </c>
      <c r="J34" s="415" t="n">
        <v>40</v>
      </c>
      <c r="K34" s="433" t="inlineStr">
        <is>
          <t>Cán bộ đề xuất giải ngân</t>
        </is>
      </c>
      <c r="M34" s="334">
        <f>"COMMENT ON COLUMN PG_SILVER."&amp;G34&amp;"."&amp;H34&amp;" IS '"&amp;K34&amp;"';"</f>
        <v/>
      </c>
    </row>
    <row r="35" ht="14.25" customHeight="1" s="335">
      <c r="A35" s="415" t="inlineStr">
        <is>
          <t>PG_BRONZE</t>
        </is>
      </c>
      <c r="B35" s="415" t="inlineStr">
        <is>
          <t>FLEXBO_PGB_LOS_CONTRACT_FIELDS_TDATE</t>
        </is>
      </c>
      <c r="C35" s="433" t="inlineStr">
        <is>
          <t>TT_PP_DE_XUAT_GN</t>
        </is>
      </c>
      <c r="D35" s="415" t="inlineStr">
        <is>
          <t>1:1</t>
        </is>
      </c>
      <c r="E35" s="433" t="inlineStr">
        <is>
          <t>Loan Arrangement Profile</t>
        </is>
      </c>
      <c r="F35" s="433" t="inlineStr">
        <is>
          <t>Disbursement Proposal Manager</t>
        </is>
      </c>
      <c r="G35" s="558" t="inlineStr">
        <is>
          <t>LOAN_AR_PRFL</t>
        </is>
      </c>
      <c r="H35" s="433" t="inlineStr">
        <is>
          <t>DSBR_PRPSL_MGR</t>
        </is>
      </c>
      <c r="I35" s="415" t="inlineStr">
        <is>
          <t>VARCHAR2</t>
        </is>
      </c>
      <c r="J35" s="415" t="n">
        <v>40</v>
      </c>
      <c r="K35" s="433" t="inlineStr">
        <is>
          <t>Người đề xuất giải ngân</t>
        </is>
      </c>
      <c r="M35" s="334">
        <f>"COMMENT ON COLUMN PG_SILVER."&amp;G35&amp;"."&amp;H35&amp;" IS '"&amp;K35&amp;"';"</f>
        <v/>
      </c>
    </row>
    <row r="36" ht="14.25" customHeight="1" s="335">
      <c r="A36" s="415" t="inlineStr">
        <is>
          <t>PG_BRONZE</t>
        </is>
      </c>
      <c r="B36" s="415" t="inlineStr">
        <is>
          <t>FLEXBO_PGB_LOS_CONTRACT_FIELDS_TDATE</t>
        </is>
      </c>
      <c r="C36" s="433" t="inlineStr">
        <is>
          <t>CBTD_QL_KHOAN_VAY</t>
        </is>
      </c>
      <c r="D36" s="415" t="inlineStr">
        <is>
          <t>1:1</t>
        </is>
      </c>
      <c r="E36" s="433" t="inlineStr">
        <is>
          <t>Loan Arrangement Profile</t>
        </is>
      </c>
      <c r="F36" s="433" t="inlineStr">
        <is>
          <t>Management Officer</t>
        </is>
      </c>
      <c r="G36" s="558" t="inlineStr">
        <is>
          <t>LOAN_AR_PRFL</t>
        </is>
      </c>
      <c r="H36" s="558" t="inlineStr">
        <is>
          <t>MGT_OFCR</t>
        </is>
      </c>
      <c r="I36" s="415" t="inlineStr">
        <is>
          <t>VARCHAR2</t>
        </is>
      </c>
      <c r="J36" s="415" t="n">
        <v>40</v>
      </c>
      <c r="K36" s="433" t="inlineStr">
        <is>
          <t>Cán bộ quản lý khoản vay</t>
        </is>
      </c>
      <c r="M36" s="334">
        <f>"COMMENT ON COLUMN PG_SILVER."&amp;G36&amp;"."&amp;H36&amp;" IS '"&amp;K36&amp;"';"</f>
        <v/>
      </c>
    </row>
    <row r="37" ht="14.25" customHeight="1" s="335">
      <c r="A37" s="415" t="inlineStr">
        <is>
          <t>PG_BRONZE</t>
        </is>
      </c>
      <c r="B37" s="415" t="inlineStr">
        <is>
          <t>FLEXBO_PGB_LOS_CONTRACT_FIELDS_TDATE</t>
        </is>
      </c>
      <c r="C37" s="433" t="inlineStr">
        <is>
          <t>TP_PP_QL_KHOAN_VAY</t>
        </is>
      </c>
      <c r="D37" s="415" t="inlineStr">
        <is>
          <t>1:1</t>
        </is>
      </c>
      <c r="E37" s="433" t="inlineStr">
        <is>
          <t>Loan Arrangement Profile</t>
        </is>
      </c>
      <c r="F37" s="433" t="inlineStr">
        <is>
          <t>Management Manager</t>
        </is>
      </c>
      <c r="G37" s="558" t="inlineStr">
        <is>
          <t>LOAN_AR_PRFL</t>
        </is>
      </c>
      <c r="H37" s="558" t="inlineStr">
        <is>
          <t>MGT_MGR</t>
        </is>
      </c>
      <c r="I37" s="415" t="inlineStr">
        <is>
          <t>VARCHAR2</t>
        </is>
      </c>
      <c r="J37" s="415" t="n">
        <v>40</v>
      </c>
      <c r="K37" s="433" t="inlineStr">
        <is>
          <t>Người quản lý khoản vay</t>
        </is>
      </c>
      <c r="M37" s="334">
        <f>"COMMENT ON COLUMN PG_SILVER."&amp;G37&amp;"."&amp;H37&amp;" IS '"&amp;K37&amp;"';"</f>
        <v/>
      </c>
    </row>
    <row r="38" ht="14.25" customHeight="1" s="335">
      <c r="A38" s="415" t="inlineStr">
        <is>
          <t>PG_BRONZE</t>
        </is>
      </c>
      <c r="B38" s="415" t="inlineStr">
        <is>
          <t>FLEXBO_PGB_LOS_CONTRACT_FIELDS_TDATE</t>
        </is>
      </c>
      <c r="C38" s="433" t="inlineStr">
        <is>
          <t>CAP_PHE_DUYET_GNTL</t>
        </is>
      </c>
      <c r="D38" s="415" t="inlineStr">
        <is>
          <t>1:1</t>
        </is>
      </c>
      <c r="E38" s="433" t="inlineStr">
        <is>
          <t>Loan Arrangement Profile</t>
        </is>
      </c>
      <c r="F38" s="433" t="inlineStr">
        <is>
          <t>Approval Authority</t>
        </is>
      </c>
      <c r="G38" s="558" t="inlineStr">
        <is>
          <t>LOAN_AR_PRFL</t>
        </is>
      </c>
      <c r="H38" s="558" t="inlineStr">
        <is>
          <t>APRV_AHR</t>
        </is>
      </c>
      <c r="I38" s="415" t="inlineStr">
        <is>
          <t>VARCHAR2</t>
        </is>
      </c>
      <c r="J38" s="415" t="n">
        <v>1000</v>
      </c>
      <c r="K38" s="433" t="inlineStr">
        <is>
          <t>Cấp phê duyệt giải ngân</t>
        </is>
      </c>
      <c r="M38" s="334">
        <f>"COMMENT ON COLUMN PG_SILVER."&amp;G38&amp;"."&amp;H38&amp;" IS '"&amp;K38&amp;"';"</f>
        <v/>
      </c>
    </row>
    <row r="39" ht="14.25" customHeight="1" s="335">
      <c r="A39" s="415" t="inlineStr">
        <is>
          <t>PG_BRONZE</t>
        </is>
      </c>
      <c r="B39" s="415" t="inlineStr">
        <is>
          <t>T24CORE_LD_LOANS_AND_DEPOSITS</t>
        </is>
      </c>
      <c r="C39" s="433" t="inlineStr">
        <is>
          <t>AUTHORISER</t>
        </is>
      </c>
      <c r="D39" s="415" t="inlineStr">
        <is>
          <t>1:1</t>
        </is>
      </c>
      <c r="E39" s="433" t="inlineStr">
        <is>
          <t>Loan Arrangement Profile</t>
        </is>
      </c>
      <c r="F39" s="433" t="inlineStr">
        <is>
          <t>Checker Officer</t>
        </is>
      </c>
      <c r="G39" s="558" t="inlineStr">
        <is>
          <t>LOAN_AR_PRFL</t>
        </is>
      </c>
      <c r="H39" s="558" t="inlineStr">
        <is>
          <t>CHKER_OFCR</t>
        </is>
      </c>
      <c r="I39" s="415" t="inlineStr">
        <is>
          <t>VARCHAR2</t>
        </is>
      </c>
      <c r="J39" s="415" t="n">
        <v>40</v>
      </c>
      <c r="K39" s="433" t="inlineStr">
        <is>
          <t>Mã người phê duyệt</t>
        </is>
      </c>
      <c r="M39" s="334">
        <f>"COMMENT ON COLUMN PG_SILVER."&amp;G39&amp;"."&amp;H39&amp;" IS '"&amp;K39&amp;"';"</f>
        <v/>
      </c>
    </row>
    <row r="40" ht="14.25" customHeight="1" s="335">
      <c r="A40" s="415" t="inlineStr">
        <is>
          <t>PG_BRONZE</t>
        </is>
      </c>
      <c r="B40" s="415" t="inlineStr">
        <is>
          <t>T24CORE_LD_LOANS_AND_DEPOSITS</t>
        </is>
      </c>
      <c r="C40" s="433" t="inlineStr">
        <is>
          <t>INPUTTER</t>
        </is>
      </c>
      <c r="D40" s="415" t="inlineStr">
        <is>
          <t>1:1</t>
        </is>
      </c>
      <c r="E40" s="433" t="inlineStr">
        <is>
          <t>Loan Arrangement Profile</t>
        </is>
      </c>
      <c r="F40" s="433" t="inlineStr">
        <is>
          <t>Maker Officer</t>
        </is>
      </c>
      <c r="G40" s="558" t="inlineStr">
        <is>
          <t>LOAN_AR_PRFL</t>
        </is>
      </c>
      <c r="H40" s="558" t="inlineStr">
        <is>
          <t>MAKER_OFCR</t>
        </is>
      </c>
      <c r="I40" s="415" t="inlineStr">
        <is>
          <t>VARCHAR2</t>
        </is>
      </c>
      <c r="J40" s="415" t="n">
        <v>40</v>
      </c>
      <c r="K40" s="433" t="inlineStr">
        <is>
          <t>ID người nhập liệu</t>
        </is>
      </c>
      <c r="M40" s="334">
        <f>"COMMENT ON COLUMN PG_SILVER."&amp;G40&amp;"."&amp;H40&amp;" IS '"&amp;K40&amp;"';"</f>
        <v/>
      </c>
    </row>
    <row r="41" ht="14.25" customHeight="1" s="335">
      <c r="A41" s="415" t="inlineStr">
        <is>
          <t>PG_BRONZE</t>
        </is>
      </c>
      <c r="B41" s="415" t="inlineStr">
        <is>
          <t>T24CORE_LD_LOANS_AND_DEPOSITS</t>
        </is>
      </c>
      <c r="C41" s="433" t="inlineStr">
        <is>
          <t>MB_RM_BANCHEO</t>
        </is>
      </c>
      <c r="D41" s="415" t="inlineStr">
        <is>
          <t>1:1</t>
        </is>
      </c>
      <c r="E41" s="433" t="inlineStr">
        <is>
          <t>Loan Arrangement Profile</t>
        </is>
      </c>
      <c r="F41" s="433" t="inlineStr">
        <is>
          <t>Referrer Officer</t>
        </is>
      </c>
      <c r="G41" s="558" t="inlineStr">
        <is>
          <t>LOAN_AR_PRFL</t>
        </is>
      </c>
      <c r="H41" s="558" t="inlineStr">
        <is>
          <t>REFRRER_OFCR</t>
        </is>
      </c>
      <c r="I41" s="415" t="inlineStr">
        <is>
          <t>VARCHAR2</t>
        </is>
      </c>
      <c r="J41" s="415" t="n">
        <v>40</v>
      </c>
      <c r="K41" s="433" t="inlineStr">
        <is>
          <t>ID nhân viên giới thiệu</t>
        </is>
      </c>
      <c r="M41" s="334">
        <f>"COMMENT ON COLUMN PG_SILVER."&amp;G41&amp;"."&amp;H41&amp;" IS '"&amp;K41&amp;"';"</f>
        <v/>
      </c>
    </row>
    <row r="42" ht="41.25" customHeight="1" s="335">
      <c r="A42" s="433" t="inlineStr">
        <is>
          <t>PG_BRONZE</t>
        </is>
      </c>
      <c r="B42" s="415" t="inlineStr">
        <is>
          <t>FLEXBO_PGBLD_CONTRACT_UDFIELD_HIST, T24CORE_MB_MG_SAVING_MULTI, T24CORE_CUSTOMER</t>
        </is>
      </c>
      <c r="C42" s="433" t="inlineStr">
        <is>
          <t>CT_KHUYEN_MAI_CHO_VAY, MB_LD_TYPE, KHOI</t>
        </is>
      </c>
      <c r="D42" s="445" t="inlineStr">
        <is>
          <t>CASE WHEN e.CT_KHUYEN_MAI_CHO_VAY IS NULL AND i.KHOI = 'INDIV' THEN f.MB_LD_TYPE ELSE e.CT_KHUYEN_MAI_CHO_VAY END</t>
        </is>
      </c>
      <c r="E42" s="433" t="inlineStr">
        <is>
          <t>Loan Arrangement Profile</t>
        </is>
      </c>
      <c r="F42" s="433" t="inlineStr">
        <is>
          <t>Promotion Program</t>
        </is>
      </c>
      <c r="G42" s="558" t="inlineStr">
        <is>
          <t>LOAN_AR_PRFL</t>
        </is>
      </c>
      <c r="H42" s="433" t="inlineStr">
        <is>
          <t>PROM_PRGM</t>
        </is>
      </c>
      <c r="I42" s="415" t="inlineStr">
        <is>
          <t>VARCHAR2</t>
        </is>
      </c>
      <c r="J42" s="415" t="n">
        <v>20</v>
      </c>
      <c r="K42" s="433" t="inlineStr">
        <is>
          <t>Mã chương trình KM cho vay</t>
        </is>
      </c>
      <c r="M42" s="334">
        <f>"COMMENT ON COLUMN PG_SILVER."&amp;G42&amp;"."&amp;H42&amp;" IS '"&amp;K42&amp;"';"</f>
        <v/>
      </c>
      <c r="N42" s="414" t="inlineStr">
        <is>
          <t>Bổ sung từ khóa `END`.</t>
        </is>
      </c>
    </row>
    <row r="43" ht="41.25" customHeight="1" s="335">
      <c r="A43" s="433" t="inlineStr">
        <is>
          <t>PG_BRONZE</t>
        </is>
      </c>
      <c r="B43" s="415" t="inlineStr">
        <is>
          <t>FLEXBO_PGBLD_CONTRACT_UDFIELD_HIST, T24CORE_MB_MG_SAVING_MULTI, T24CORE_CUSTOMER</t>
        </is>
      </c>
      <c r="C43" s="433" t="inlineStr">
        <is>
          <t>CTKM2, MB_LD_TYPE, KHOI</t>
        </is>
      </c>
      <c r="D43" s="463" t="inlineStr">
        <is>
          <t>CASE WHEN e.CTKM2 IS NULL AND i.KHOI &lt;&gt; 'INDIV' THEN f.MB_LD_TYPE ELSE e.CTKM2 END</t>
        </is>
      </c>
      <c r="E43" s="433" t="inlineStr">
        <is>
          <t>Loan Arrangement Profile</t>
        </is>
      </c>
      <c r="F43" s="433" t="inlineStr">
        <is>
          <t>Promotion Program 2</t>
        </is>
      </c>
      <c r="G43" s="558" t="inlineStr">
        <is>
          <t>LOAN_AR_PRFL</t>
        </is>
      </c>
      <c r="H43" s="433" t="inlineStr">
        <is>
          <t>PROM_PRGM_2</t>
        </is>
      </c>
      <c r="I43" s="415" t="inlineStr">
        <is>
          <t>VARCHAR2</t>
        </is>
      </c>
      <c r="J43" s="415" t="n">
        <v>20</v>
      </c>
      <c r="K43" s="433" t="inlineStr">
        <is>
          <t>Mã CTKM2</t>
        </is>
      </c>
      <c r="M43" s="334">
        <f>"COMMENT ON COLUMN PG_SILVER."&amp;G43&amp;"."&amp;H43&amp;" IS '"&amp;K43&amp;"';"</f>
        <v/>
      </c>
      <c r="N43" s="414" t="inlineStr">
        <is>
          <t>Bổ sung `ELSE e.CTKM2 END`.</t>
        </is>
      </c>
    </row>
    <row r="44" ht="14.25" customHeight="1" s="335">
      <c r="A44" s="433" t="inlineStr">
        <is>
          <t>PG_BRONZE</t>
        </is>
      </c>
      <c r="B44" s="415" t="inlineStr">
        <is>
          <t>FLEXBO_PGBLD_RT_CONTRACT_UDFIELD_HIST</t>
        </is>
      </c>
      <c r="C44" s="433" t="inlineStr">
        <is>
          <t>CO_CAU_NO</t>
        </is>
      </c>
      <c r="D44" s="415" t="inlineStr">
        <is>
          <t>1:1</t>
        </is>
      </c>
      <c r="E44" s="433" t="inlineStr">
        <is>
          <t>Loan Arrangement Profile</t>
        </is>
      </c>
      <c r="F44" s="433" t="inlineStr">
        <is>
          <t>Debt Restructuring Type Code</t>
        </is>
      </c>
      <c r="G44" s="558" t="inlineStr">
        <is>
          <t>LOAN_AR_PRFL</t>
        </is>
      </c>
      <c r="H44" s="433" t="inlineStr">
        <is>
          <t>DBT_RSTC_TP_CODE</t>
        </is>
      </c>
      <c r="I44" s="415" t="inlineStr">
        <is>
          <t>VARCHAR2</t>
        </is>
      </c>
      <c r="J44" s="415" t="n">
        <v>20</v>
      </c>
      <c r="K44" s="433" t="inlineStr">
        <is>
          <t>Cơ cấu nợ</t>
        </is>
      </c>
      <c r="M44" s="334">
        <f>"COMMENT ON COLUMN PG_SILVER."&amp;G44&amp;"."&amp;H44&amp;" IS '"&amp;K44&amp;"';"</f>
        <v/>
      </c>
    </row>
    <row r="45" ht="14.25" customHeight="1" s="335">
      <c r="A45" s="433" t="inlineStr">
        <is>
          <t>PG_BRONZE</t>
        </is>
      </c>
      <c r="B45" s="415" t="inlineStr">
        <is>
          <t>FLEXBO_PGBLD_RT_CONTRACT_UDFIELD_HIST</t>
        </is>
      </c>
      <c r="C45" s="433" t="inlineStr">
        <is>
          <t>NGAY_HET_COVID19</t>
        </is>
      </c>
      <c r="D45" s="415" t="inlineStr">
        <is>
          <t>1:1</t>
        </is>
      </c>
      <c r="E45" s="433" t="inlineStr">
        <is>
          <t>Loan Arrangement Profile</t>
        </is>
      </c>
      <c r="F45" s="433" t="inlineStr">
        <is>
          <t>Covid19 Restructuring Completion Date</t>
        </is>
      </c>
      <c r="G45" s="558" t="inlineStr">
        <is>
          <t>LOAN_AR_PRFL</t>
        </is>
      </c>
      <c r="H45" s="433" t="inlineStr">
        <is>
          <t>COVID19_RSTC_COMPL_DT</t>
        </is>
      </c>
      <c r="I45" s="415" t="inlineStr">
        <is>
          <t>DATE</t>
        </is>
      </c>
      <c r="J45" s="415" t="n"/>
      <c r="K45" s="433" t="inlineStr">
        <is>
          <t>Ngày hết covid/ Ngày hết hạn cơ cấu</t>
        </is>
      </c>
      <c r="M45" s="334">
        <f>"COMMENT ON COLUMN PG_SILVER."&amp;G45&amp;"."&amp;H45&amp;" IS '"&amp;K45&amp;"';"</f>
        <v/>
      </c>
    </row>
    <row r="46" ht="14.25" customHeight="1" s="335">
      <c r="A46" s="433" t="inlineStr">
        <is>
          <t>PG_BRONZE</t>
        </is>
      </c>
      <c r="B46" s="415" t="inlineStr">
        <is>
          <t>SOURCE_SAOKE_MVMT</t>
        </is>
      </c>
      <c r="C46" s="433" t="inlineStr">
        <is>
          <t>SBV_CODE</t>
        </is>
      </c>
      <c r="D46" s="415" t="inlineStr">
        <is>
          <t>1:1</t>
        </is>
      </c>
      <c r="E46" s="433" t="inlineStr">
        <is>
          <t>Loan Arrangement Profile</t>
        </is>
      </c>
      <c r="F46" s="334" t="inlineStr">
        <is>
          <t>General Ledger Item Code</t>
        </is>
      </c>
      <c r="G46" s="558" t="inlineStr">
        <is>
          <t>LOAN_AR_PRFL</t>
        </is>
      </c>
      <c r="H46" s="433" t="inlineStr">
        <is>
          <t>GL_ITM_CODE</t>
        </is>
      </c>
      <c r="I46" s="415" t="inlineStr">
        <is>
          <t>VARCHAR2</t>
        </is>
      </c>
      <c r="J46" s="415" t="n">
        <v>20</v>
      </c>
      <c r="K46" s="433" t="inlineStr">
        <is>
          <t>Mã hạch toán theo SBV</t>
        </is>
      </c>
      <c r="M46" s="334">
        <f>"COMMENT ON COLUMN PG_SILVER."&amp;G46&amp;"."&amp;H46&amp;" IS '"&amp;K46&amp;"';"</f>
        <v/>
      </c>
    </row>
    <row r="47" ht="14.25" customHeight="1" s="335">
      <c r="A47" s="433" t="inlineStr">
        <is>
          <t>PG_BRONZE</t>
        </is>
      </c>
      <c r="B47" s="415" t="inlineStr">
        <is>
          <t>SOURCE_SAOKE_MVMT</t>
        </is>
      </c>
      <c r="C47" s="433" t="inlineStr">
        <is>
          <t>SBV_CODE</t>
        </is>
      </c>
      <c r="D47" s="463" t="inlineStr">
        <is>
          <t>CASE WHEN h.SBV_CODE IS NOT NULL THEN fn_hash("T24_GL_ITM", h.SBV_CODE) ELSE NULL END</t>
        </is>
      </c>
      <c r="E47" s="433" t="inlineStr">
        <is>
          <t>Loan Arrangement Profile</t>
        </is>
      </c>
      <c r="F47" s="415" t="inlineStr">
        <is>
          <t>General Ledger Item Id</t>
        </is>
      </c>
      <c r="G47" s="558" t="inlineStr">
        <is>
          <t>LOAN_AR_PRFL</t>
        </is>
      </c>
      <c r="H47" s="433" t="inlineStr">
        <is>
          <t>GL_ITM_ID</t>
        </is>
      </c>
      <c r="I47" s="415" t="inlineStr">
        <is>
          <t>CHAR</t>
        </is>
      </c>
      <c r="J47" s="415" t="n">
        <v>32</v>
      </c>
      <c r="K47" s="433" t="inlineStr">
        <is>
          <t>ID Mã hạch toán theo SBV</t>
        </is>
      </c>
      <c r="M47" s="334">
        <f>"COMMENT ON COLUMN PG_SILVER."&amp;G47&amp;"."&amp;H47&amp;" IS '"&amp;K47&amp;"';"</f>
        <v/>
      </c>
    </row>
    <row r="48" ht="14.25" customHeight="1" s="335">
      <c r="A48" s="415" t="inlineStr">
        <is>
          <t>PG_BRONZE</t>
        </is>
      </c>
      <c r="B48" s="415" t="inlineStr">
        <is>
          <t>T24CORE_LD_LOANS_AND_DEPOSITS</t>
        </is>
      </c>
      <c r="C48" s="415" t="inlineStr">
        <is>
          <t>RECID</t>
        </is>
      </c>
      <c r="D48" s="415" t="inlineStr">
        <is>
          <t>'1'</t>
        </is>
      </c>
      <c r="E48" s="433" t="inlineStr">
        <is>
          <t>Loan Arrangement Profile</t>
        </is>
      </c>
      <c r="F48" s="588" t="inlineStr">
        <is>
          <t>Financial Status Code</t>
        </is>
      </c>
      <c r="G48" s="657" t="inlineStr">
        <is>
          <t>LOAN_AR_PRFL</t>
        </is>
      </c>
      <c r="H48" s="588" t="inlineStr">
        <is>
          <t>FNC_ST_CODE</t>
        </is>
      </c>
      <c r="I48" s="415" t="inlineStr">
        <is>
          <t>VARCHAR2</t>
        </is>
      </c>
      <c r="J48" s="415" t="n">
        <v>20</v>
      </c>
      <c r="K48" s="415" t="inlineStr">
        <is>
          <t>Nhóm nợ hợp đồng</t>
        </is>
      </c>
      <c r="M48" s="334">
        <f>"COMMENT ON COLUMN PG_SILVER."&amp;G48&amp;"."&amp;H48&amp;" IS '"&amp;K48&amp;"';"</f>
        <v/>
      </c>
    </row>
    <row r="49" ht="14.25" customHeight="1" s="335">
      <c r="A49" s="415" t="inlineStr">
        <is>
          <t>PG_BRONZE</t>
        </is>
      </c>
      <c r="B49" s="415" t="inlineStr">
        <is>
          <t>FLEXBO_PGB_LOS_CONTRACT_FIELDS_TDATE</t>
        </is>
      </c>
      <c r="C49" s="415" t="inlineStr">
        <is>
          <t>BDS_TT11</t>
        </is>
      </c>
      <c r="D49" s="415" t="inlineStr">
        <is>
          <t>1:1</t>
        </is>
      </c>
      <c r="E49" s="433" t="inlineStr">
        <is>
          <t>Loan Arrangement Profile</t>
        </is>
      </c>
      <c r="F49" s="588" t="inlineStr">
        <is>
          <t>Real Estate Circular 11 Code</t>
        </is>
      </c>
      <c r="G49" s="657" t="inlineStr">
        <is>
          <t>LOAN_AR_PRFL</t>
        </is>
      </c>
      <c r="H49" s="588" t="inlineStr">
        <is>
          <t>BDS_TT11</t>
        </is>
      </c>
      <c r="I49" s="415" t="inlineStr">
        <is>
          <t>VARCHAR2</t>
        </is>
      </c>
      <c r="J49" s="415" t="n">
        <v>20</v>
      </c>
      <c r="K49" s="415" t="inlineStr">
        <is>
          <t>Phân loại bất động sản theo Thông tư 11</t>
        </is>
      </c>
      <c r="M49" s="415">
        <f>"COMMENT ON COLUMN PG_SILVER."&amp;G49&amp;"."&amp;H49&amp;" IS '"&amp;K49&amp;"';"</f>
        <v/>
      </c>
      <c r="N49" s="334" t="inlineStr">
        <is>
          <t>Map 1:1 từ FLEXBO_PGB_LOS_CONTRACT_FIELDS_TDATE.BDS_TT11 (DDL R21).</t>
        </is>
      </c>
    </row>
    <row r="50" ht="14.25" customHeight="1" s="335">
      <c r="A50" s="415" t="inlineStr">
        <is>
          <t>PG_BRONZE</t>
        </is>
      </c>
      <c r="B50" s="415" t="inlineStr">
        <is>
          <t>T24CORE_LD_LOANS_AND_DEPOSITS</t>
        </is>
      </c>
      <c r="C50" s="415" t="inlineStr">
        <is>
          <t>RECID</t>
        </is>
      </c>
      <c r="D50" s="415" t="inlineStr">
        <is>
          <t>ETL_DATE if not exists AR_ID</t>
        </is>
      </c>
      <c r="E50" s="433" t="inlineStr">
        <is>
          <t>Loan Arrangement Profile</t>
        </is>
      </c>
      <c r="F50" s="415" t="inlineStr">
        <is>
          <t>System Effective Date</t>
        </is>
      </c>
      <c r="G50" s="558" t="inlineStr">
        <is>
          <t>LOAN_AR_PRFL</t>
        </is>
      </c>
      <c r="H50" s="415" t="inlineStr">
        <is>
          <t>SYS_EFF_DT</t>
        </is>
      </c>
      <c r="I50" s="415" t="inlineStr">
        <is>
          <t>DATE</t>
        </is>
      </c>
      <c r="J50" s="415" t="n"/>
      <c r="K50" s="415" t="inlineStr">
        <is>
          <t>Ngày bản ghi lần đầu tiên vào hệ thống</t>
        </is>
      </c>
      <c r="M50" s="415">
        <f>"COMMENT ON COLUMN PG_SILVER."&amp;G50&amp;"."&amp;H50&amp;" IS '"&amp;K50&amp;"';"</f>
        <v/>
      </c>
    </row>
    <row r="51" ht="14.25" customHeight="1" s="335">
      <c r="A51" s="415" t="inlineStr">
        <is>
          <t>PG_BRONZE</t>
        </is>
      </c>
      <c r="B51" s="415" t="inlineStr">
        <is>
          <t>T24CORE_LD_LOANS_AND_DEPOSITS</t>
        </is>
      </c>
      <c r="C51" s="415" t="inlineStr">
        <is>
          <t>RECID</t>
        </is>
      </c>
      <c r="D51" s="415" t="inlineStr">
        <is>
          <t>ETL_DATE if RECID was deleted</t>
        </is>
      </c>
      <c r="E51" s="433" t="inlineStr">
        <is>
          <t>Loan Arrangement Profile</t>
        </is>
      </c>
      <c r="F51" s="415" t="inlineStr">
        <is>
          <t>System Expiry Date</t>
        </is>
      </c>
      <c r="G51" s="558" t="inlineStr">
        <is>
          <t>LOAN_AR_PRFL</t>
        </is>
      </c>
      <c r="H51" s="415" t="inlineStr">
        <is>
          <t>SYS_EXP_DT</t>
        </is>
      </c>
      <c r="I51" s="415" t="inlineStr">
        <is>
          <t>DATE</t>
        </is>
      </c>
      <c r="J51" s="415" t="n"/>
      <c r="K51" s="415" t="inlineStr">
        <is>
          <t>Ngày hết hạn của bản ghi</t>
        </is>
      </c>
      <c r="M51" s="415">
        <f>"COMMENT ON COLUMN PG_SILVER."&amp;G51&amp;"."&amp;H51&amp;" IS '"&amp;K51&amp;"';"</f>
        <v/>
      </c>
    </row>
    <row r="52" ht="14.25" customHeight="1" s="335">
      <c r="A52" s="415" t="inlineStr">
        <is>
          <t>PG_BRONZE</t>
        </is>
      </c>
      <c r="B52" s="415" t="inlineStr">
        <is>
          <t>T24CORE_LD_LOANS_AND_DEPOSITS</t>
        </is>
      </c>
      <c r="C52" s="415" t="inlineStr">
        <is>
          <t>RECID</t>
        </is>
      </c>
      <c r="D52" s="415" t="inlineStr">
        <is>
          <t>ETL_DATE</t>
        </is>
      </c>
      <c r="E52" s="433" t="inlineStr">
        <is>
          <t>Loan Arrangement Profile</t>
        </is>
      </c>
      <c r="F52" s="415" t="inlineStr">
        <is>
          <t>System Update Date</t>
        </is>
      </c>
      <c r="G52" s="558" t="inlineStr">
        <is>
          <t>LOAN_AR_PRFL</t>
        </is>
      </c>
      <c r="H52" s="415" t="inlineStr">
        <is>
          <t>SYS_UDT_DT</t>
        </is>
      </c>
      <c r="I52" s="415" t="inlineStr">
        <is>
          <t>DATE</t>
        </is>
      </c>
      <c r="J52" s="415" t="n"/>
      <c r="K52" s="415" t="inlineStr">
        <is>
          <t>Ngày update dữ liệu gần nhất</t>
        </is>
      </c>
      <c r="M52" s="415">
        <f>"COMMENT ON COLUMN PG_SILVER."&amp;G52&amp;"."&amp;H52&amp;" IS '"&amp;K52&amp;"';"</f>
        <v/>
      </c>
    </row>
    <row r="53" ht="14.25" customHeight="1" s="335"/>
    <row r="54" ht="14.25" customHeight="1" s="335">
      <c r="A54" s="500" t="inlineStr">
        <is>
          <t>UNION ALL</t>
        </is>
      </c>
      <c r="B54" s="500" t="inlineStr">
        <is>
          <t>Khởi tạo dữ liệu</t>
        </is>
      </c>
      <c r="C54" s="500" t="n"/>
      <c r="D54" s="500" t="n"/>
      <c r="E54" s="500" t="n"/>
      <c r="F54" s="500" t="n"/>
      <c r="G54" s="500" t="n"/>
      <c r="H54" s="500" t="n"/>
      <c r="I54" s="500" t="n"/>
      <c r="J54" s="500" t="n"/>
      <c r="K54" s="500" t="n"/>
    </row>
    <row r="55" ht="172.5" customHeight="1" s="335">
      <c r="A55" s="432" t="inlineStr">
        <is>
          <t>Nguồn</t>
        </is>
      </c>
      <c r="B55" s="432" t="inlineStr">
        <is>
          <t>Bảng nguồn</t>
        </is>
      </c>
      <c r="C55" s="432" t="inlineStr">
        <is>
          <t>Short table</t>
        </is>
      </c>
      <c r="D55" s="432" t="inlineStr">
        <is>
          <t>Business Rule</t>
        </is>
      </c>
      <c r="E55" s="432" t="n"/>
      <c r="F55" s="432" t="n"/>
      <c r="G55" s="432" t="n"/>
      <c r="H55" s="432" t="n"/>
      <c r="I55" s="432" t="n"/>
      <c r="J55" s="432" t="n"/>
      <c r="K55" s="432" t="n"/>
    </row>
    <row r="56" ht="42.75" customHeight="1" s="335">
      <c r="A56" s="433" t="inlineStr">
        <is>
          <t>PG_BRONZE</t>
        </is>
      </c>
      <c r="B56" s="433" t="inlineStr">
        <is>
          <t>T24CORE_LD_LOANS_AND_DEPOSITS_HIS</t>
        </is>
      </c>
      <c r="C56" s="433" t="inlineStr">
        <is>
          <t>a</t>
        </is>
      </c>
      <c r="D56" s="443" t="inlineStr">
        <is>
          <t>WHERE a.CURR_NO =  (SELECT  max(CURR_NO) FROM PG_BRONZE.T24CORE_LD_LOANS_AND_DEPOSITS_HIS t
WHERE SUBSTR(a.RECID,1,INSTR(a.RECID,';')-1) = SUBSTR(t.RECID,1,INSTR(t.RECID,';')-1) )
AND NOT EXISTS (SELECT * FROM PG_BRONZE.T24CORE_LD_LOANS_AND_DEPOSITS_HIS t
WHERE SUBSTR(a.RECID,1,INSTR(a.RECID,';')-1) = SUBSTR(t.RECID,1,INSTR(t.RECID,';')-1)
AND NVL(t.RECORD_STATUS,'_') = 'REVE' )
and NOT EXISTS (SELECT * FROM PG_BRONZE.T24CORE_LD_LOANS_AND_DEPOSITS ld
WHERE SUBSTR(a.RECID,1,INSTR(a.RECID,';')-1) = ld.RECID )</t>
        </is>
      </c>
      <c r="E56" s="433" t="n"/>
      <c r="F56" s="435" t="n"/>
      <c r="G56" s="435" t="n"/>
      <c r="H56" s="435" t="n"/>
      <c r="I56" s="435" t="n"/>
      <c r="J56" s="435" t="n"/>
      <c r="K56" s="435" t="n"/>
    </row>
    <row r="57" ht="28.5" customHeight="1" s="335">
      <c r="A57" s="433" t="inlineStr">
        <is>
          <t>PG_BRONZE</t>
        </is>
      </c>
      <c r="B57" s="433" t="inlineStr">
        <is>
          <t>EBANKING_COL_UDF_VALUE</t>
        </is>
      </c>
      <c r="C57" s="443" t="inlineStr">
        <is>
          <t>b</t>
        </is>
      </c>
      <c r="D57" s="443" t="inlineStr">
        <is>
          <t>(left join) ON (b.COL_REF = a.ACC_FCC and b.FUNCTION_CODE = 'CONTRACT_INFOR' and a.RECID  LIKE 'LD%')  AND b.UDF_ID = 'NHANNO_BATBUOC'</t>
        </is>
      </c>
      <c r="E57" s="433" t="n"/>
      <c r="F57" s="435" t="n"/>
      <c r="G57" s="435" t="n"/>
      <c r="H57" s="435" t="n"/>
      <c r="I57" s="435" t="n"/>
      <c r="J57" s="435" t="n"/>
      <c r="K57" s="435" t="n"/>
    </row>
    <row r="58" ht="28.5" customHeight="1" s="335">
      <c r="A58" s="433" t="inlineStr">
        <is>
          <t>PG_BRONZE</t>
        </is>
      </c>
      <c r="B58" s="415" t="inlineStr">
        <is>
          <t>FLEXBO_PGB_CONTRACT_UDF_MAP</t>
        </is>
      </c>
      <c r="C58" s="433" t="inlineStr">
        <is>
          <t>c</t>
        </is>
      </c>
      <c r="D58" s="443" t="inlineStr">
        <is>
          <t>(left join) ON c.CONTRACT_REF_NO = a.ACC_FCC and c.field_name ='SO LAN CO CAU'</t>
        </is>
      </c>
      <c r="E58" s="433" t="n"/>
      <c r="F58" s="435" t="n"/>
      <c r="G58" s="435" t="n"/>
      <c r="H58" s="435" t="n"/>
      <c r="I58" s="435" t="n"/>
      <c r="J58" s="435" t="n"/>
      <c r="K58" s="435" t="n"/>
    </row>
    <row r="59" ht="42.75" customHeight="1" s="335">
      <c r="A59" s="433" t="inlineStr">
        <is>
          <t>PG_BRONZE</t>
        </is>
      </c>
      <c r="B59" s="415" t="inlineStr">
        <is>
          <t>FLEXBO_PGB_CONTRACT_UDF_MAP</t>
        </is>
      </c>
      <c r="C59" s="433" t="inlineStr">
        <is>
          <t>c1</t>
        </is>
      </c>
      <c r="D59" s="443" t="inlineStr">
        <is>
          <t>(left join) ON c1.CONTRACT_REF_NO = a.ACC_FCC and c1.field_name ='LOAI CHUNG KHOAN'</t>
        </is>
      </c>
      <c r="E59" s="433" t="n"/>
      <c r="F59" s="435" t="n"/>
      <c r="G59" s="435" t="n"/>
      <c r="H59" s="435" t="n"/>
      <c r="I59" s="435" t="n"/>
      <c r="J59" s="435" t="n"/>
      <c r="K59" s="435" t="n"/>
    </row>
    <row r="60" ht="14.25" customHeight="1" s="335">
      <c r="A60" s="415" t="inlineStr">
        <is>
          <t>PG_BRONZE</t>
        </is>
      </c>
      <c r="B60" s="415" t="inlineStr">
        <is>
          <t>FLEXBO_PGB_LOS_CONTRACT_FIELDS_TDATE</t>
        </is>
      </c>
      <c r="C60" s="433" t="inlineStr">
        <is>
          <t>d</t>
        </is>
      </c>
      <c r="D60" s="443" t="inlineStr">
        <is>
          <t>(left join) ON d.CONTRACT_REF_NO =  SUBSTR(a.RECID,1,INSTR(a.RECID,';')-1) AND d.MOV_DATE = TO_DATE(COALESCE(a.ORIG_VAL_DATE,a.VALUE_DATE), 'YYYYMMDD')</t>
        </is>
      </c>
      <c r="E60" s="433" t="n"/>
      <c r="F60" s="435" t="n"/>
      <c r="G60" s="435" t="n"/>
      <c r="H60" s="435" t="n"/>
      <c r="I60" s="435" t="n"/>
      <c r="J60" s="435" t="n"/>
      <c r="K60" s="435" t="n"/>
    </row>
    <row r="61" ht="14.25" customHeight="1" s="335">
      <c r="A61" s="433" t="inlineStr">
        <is>
          <t>PG_BRONZE</t>
        </is>
      </c>
      <c r="B61" s="415" t="inlineStr">
        <is>
          <t>FLEXBO_PGBLD_CONTRACT_UDFIELD_HIST</t>
        </is>
      </c>
      <c r="C61" s="433" t="inlineStr">
        <is>
          <t>e</t>
        </is>
      </c>
      <c r="D61" s="441" t="inlineStr">
        <is>
          <t>(left join) ON e.CONTRACT_REF_NO = a.ACC_FCC -- AND e.MOV_DATE = TO_DATE('20181130','YYYYMMDD')</t>
        </is>
      </c>
      <c r="E61" s="433" t="n"/>
      <c r="F61" s="435" t="n"/>
      <c r="G61" s="435" t="n"/>
      <c r="H61" s="435" t="n"/>
      <c r="I61" s="435" t="n"/>
      <c r="J61" s="435" t="n"/>
      <c r="K61" s="435" t="n"/>
    </row>
    <row r="62" ht="14.25" customHeight="1" s="335">
      <c r="A62" s="415" t="inlineStr">
        <is>
          <t>PG_BRONZE</t>
        </is>
      </c>
      <c r="B62" s="415" t="inlineStr">
        <is>
          <t>T24CORE_MB_MG_SAVING_MULTI</t>
        </is>
      </c>
      <c r="C62" s="433" t="inlineStr">
        <is>
          <t>f</t>
        </is>
      </c>
      <c r="D62" s="433" t="inlineStr">
        <is>
          <t>(left join) ON f.LD_ID =  SUBSTR(a.RECID,1,INSTR(a.RECID,';')-1)</t>
        </is>
      </c>
      <c r="E62" s="433" t="n"/>
      <c r="F62" s="435" t="n"/>
      <c r="G62" s="435" t="n"/>
      <c r="H62" s="435" t="n"/>
      <c r="I62" s="435" t="n"/>
      <c r="J62" s="435" t="n"/>
      <c r="K62" s="435" t="n"/>
    </row>
    <row r="63" ht="28.5" customHeight="1" s="335">
      <c r="A63" s="433" t="inlineStr">
        <is>
          <t>PG_BRONZE</t>
        </is>
      </c>
      <c r="B63" s="415" t="inlineStr">
        <is>
          <t>FLEXBO_PGBLD_RT_CONTRACT_UDFIELD_HIST</t>
        </is>
      </c>
      <c r="C63" s="433" t="inlineStr">
        <is>
          <t>g</t>
        </is>
      </c>
      <c r="D63" s="433" t="inlineStr">
        <is>
          <t>(left join) ON g.CONTRACT_REF_NO = a.ACC_FCC -- AND g.MOV_DATE = TO_DATE('20211212','YYYYMMDD')</t>
        </is>
      </c>
      <c r="E63" s="433" t="n"/>
      <c r="F63" s="435" t="n"/>
      <c r="G63" s="435" t="n"/>
      <c r="H63" s="435" t="n"/>
      <c r="I63" s="435" t="n"/>
      <c r="J63" s="435" t="n"/>
      <c r="K63" s="435" t="n"/>
    </row>
    <row r="64" ht="14.25" customHeight="1" s="335">
      <c r="A64" s="433" t="inlineStr">
        <is>
          <t>PG_BRONZE</t>
        </is>
      </c>
      <c r="B64" s="415" t="inlineStr">
        <is>
          <t>SOURCE_SAOKE_MVMT</t>
        </is>
      </c>
      <c r="C64" s="433" t="inlineStr">
        <is>
          <t>h</t>
        </is>
      </c>
      <c r="D64" s="443" t="inlineStr">
        <is>
          <t>(left join) ON h.TRANS_REF =  SUBSTR(a.RECID,1,INSTR(a.RECID,';')-1) and h.SBV_CODE LIKE '39%'</t>
        </is>
      </c>
      <c r="E64" s="433" t="inlineStr">
        <is>
          <t>Lấy distinct TRANS_REF, SBV_CODE</t>
        </is>
      </c>
      <c r="F64" s="435" t="n"/>
      <c r="G64" s="435" t="n"/>
      <c r="H64" s="435" t="n"/>
      <c r="I64" s="435" t="n"/>
      <c r="J64" s="435" t="n"/>
      <c r="K64" s="435" t="n"/>
    </row>
    <row r="65" ht="14.25" customHeight="1" s="335">
      <c r="A65" s="415" t="inlineStr">
        <is>
          <t>PG_BRONZE</t>
        </is>
      </c>
      <c r="B65" s="415" t="inlineStr">
        <is>
          <t>T24CORE_CUSTOMER</t>
        </is>
      </c>
      <c r="C65" s="435" t="inlineStr">
        <is>
          <t>i</t>
        </is>
      </c>
      <c r="D65" s="433" t="inlineStr">
        <is>
          <t>(left join) ON i.RECID = a.CUSTOMER_ID</t>
        </is>
      </c>
      <c r="E65" s="433" t="n"/>
      <c r="F65" s="435" t="n"/>
      <c r="G65" s="435" t="n"/>
      <c r="H65" s="435" t="n"/>
      <c r="I65" s="435" t="n"/>
      <c r="J65" s="435" t="n"/>
      <c r="K65" s="435" t="n"/>
    </row>
    <row r="66" ht="14.25" customHeight="1" s="335">
      <c r="G66" s="500" t="n"/>
      <c r="H66" s="500" t="n"/>
      <c r="I66" s="500" t="n"/>
      <c r="J66" s="500" t="n"/>
      <c r="K66" s="500" t="n"/>
    </row>
    <row r="67" ht="14.25" customHeight="1" s="335">
      <c r="A67" s="432" t="inlineStr">
        <is>
          <t>Nguồn</t>
        </is>
      </c>
      <c r="B67" s="432" t="inlineStr">
        <is>
          <t>Bảng nguồn</t>
        </is>
      </c>
      <c r="C67" s="432" t="inlineStr">
        <is>
          <t>Cột nguồn</t>
        </is>
      </c>
      <c r="D67" s="432" t="inlineStr">
        <is>
          <t>Transform</t>
        </is>
      </c>
      <c r="E67" s="432" t="inlineStr">
        <is>
          <t>Entity</t>
        </is>
      </c>
      <c r="F67" s="432" t="inlineStr">
        <is>
          <t>Attribute</t>
        </is>
      </c>
      <c r="G67" s="432" t="inlineStr">
        <is>
          <t>Bảng đích</t>
        </is>
      </c>
      <c r="H67" s="432" t="inlineStr">
        <is>
          <t>Cột đích</t>
        </is>
      </c>
      <c r="I67" s="432" t="inlineStr">
        <is>
          <t>Kiểu dữ liệu</t>
        </is>
      </c>
      <c r="J67" s="432" t="inlineStr">
        <is>
          <t>Độ dài</t>
        </is>
      </c>
      <c r="K67" s="432" t="inlineStr">
        <is>
          <t>Diễn giải</t>
        </is>
      </c>
      <c r="L67" s="432" t="inlineStr">
        <is>
          <t>Glossary</t>
        </is>
      </c>
      <c r="M67" s="432" t="inlineStr">
        <is>
          <t>DDL Comment</t>
        </is>
      </c>
      <c r="N67" s="413" t="inlineStr">
        <is>
          <t>Ghi chú kỹ thuật &amp; Business Rule</t>
        </is>
      </c>
    </row>
    <row r="68" ht="14.25" customHeight="1" s="335">
      <c r="A68" s="334" t="inlineStr">
        <is>
          <t>PG_BRONZE</t>
        </is>
      </c>
      <c r="B68" s="438" t="inlineStr">
        <is>
          <t>T24CORE_LD_LOANS_AND_DEPOSITS_HIS</t>
        </is>
      </c>
      <c r="C68" s="334" t="inlineStr">
        <is>
          <t>RECID</t>
        </is>
      </c>
      <c r="D68" s="334" t="inlineStr">
        <is>
          <t>'T24_LD_LOANS_AND_DEPOSITS_HIS'</t>
        </is>
      </c>
      <c r="E68" s="558" t="inlineStr">
        <is>
          <t>Loan Arrangement Profile</t>
        </is>
      </c>
      <c r="F68" s="415" t="inlineStr">
        <is>
          <t>Source System Code</t>
        </is>
      </c>
      <c r="G68" s="558" t="inlineStr">
        <is>
          <t>LOAN_AR_PRFL</t>
        </is>
      </c>
      <c r="H68" s="415" t="inlineStr">
        <is>
          <t>SRC_STM_CODE</t>
        </is>
      </c>
      <c r="I68" s="467" t="inlineStr">
        <is>
          <t>VARCHAR2</t>
        </is>
      </c>
      <c r="J68" s="467" t="n">
        <v>40</v>
      </c>
      <c r="K68" s="415" t="inlineStr">
        <is>
          <t>Mã hệ thống nguồn dữ liệu</t>
        </is>
      </c>
      <c r="L68" s="588" t="n"/>
      <c r="M68" s="415">
        <f>"COMMENT ON COLUMN PG_SILVER."&amp;G68&amp;"."&amp;H68&amp;" IS '"&amp;K68&amp;"';"</f>
        <v/>
      </c>
      <c r="N68" s="588" t="n"/>
    </row>
    <row r="69" ht="14.25" customHeight="1" s="335">
      <c r="A69" s="415" t="inlineStr">
        <is>
          <t>PG_BRONZE</t>
        </is>
      </c>
      <c r="B69" s="415" t="inlineStr">
        <is>
          <t>T24CORE_LD_LOANS_AND_DEPOSITS_HIS</t>
        </is>
      </c>
      <c r="C69" s="433" t="inlineStr">
        <is>
          <t>RECID</t>
        </is>
      </c>
      <c r="D69" s="433" t="inlineStr">
        <is>
          <t>fn_hash("T24_LD_LOANS_AND_DEPOSITS",SUBSTR(a.RECID,1,INSTR(a.RECID,';')-1))</t>
        </is>
      </c>
      <c r="E69" s="433" t="inlineStr">
        <is>
          <t>Loan Arrangement Profile</t>
        </is>
      </c>
      <c r="F69" s="433" t="inlineStr">
        <is>
          <t>Arrangement ID</t>
        </is>
      </c>
      <c r="G69" s="558" t="inlineStr">
        <is>
          <t>LOAN_AR_PRFL</t>
        </is>
      </c>
      <c r="H69" s="558" t="inlineStr">
        <is>
          <t>AR_ID</t>
        </is>
      </c>
      <c r="I69" s="467" t="inlineStr">
        <is>
          <t>CHAR</t>
        </is>
      </c>
      <c r="J69" s="467" t="n">
        <v>32</v>
      </c>
      <c r="K69" s="467" t="inlineStr">
        <is>
          <t>Unique key trên DWH</t>
        </is>
      </c>
      <c r="L69" s="588" t="n"/>
      <c r="M69" s="467">
        <f>"COMMENT ON COLUMN PG_SILVER."&amp;G69&amp;"."&amp;H69&amp;" IS '"&amp;K69&amp;"';"</f>
        <v/>
      </c>
      <c r="N69" s="588" t="n"/>
    </row>
    <row r="70" ht="14.25" customHeight="1" s="335">
      <c r="A70" s="415" t="inlineStr">
        <is>
          <t>PG_BRONZE</t>
        </is>
      </c>
      <c r="B70" s="415" t="inlineStr">
        <is>
          <t>T24CORE_LD_LOANS_AND_DEPOSITS_HIS</t>
        </is>
      </c>
      <c r="C70" s="433" t="inlineStr">
        <is>
          <t>RECID</t>
        </is>
      </c>
      <c r="D70" s="433" t="inlineStr">
        <is>
          <t>SUBSTR(a.RECID,1,INSTR(a.RECID,';')-1)</t>
        </is>
      </c>
      <c r="E70" s="433" t="inlineStr">
        <is>
          <t>Loan Arrangement Profile</t>
        </is>
      </c>
      <c r="F70" s="433" t="inlineStr">
        <is>
          <t>Arrangement Code</t>
        </is>
      </c>
      <c r="G70" s="558" t="inlineStr">
        <is>
          <t>LOAN_AR_PRFL</t>
        </is>
      </c>
      <c r="H70" s="558" t="inlineStr">
        <is>
          <t>AR_CODE</t>
        </is>
      </c>
      <c r="I70" s="467" t="inlineStr">
        <is>
          <t>VARCHAR2</t>
        </is>
      </c>
      <c r="J70" s="467" t="n">
        <v>40</v>
      </c>
      <c r="K70" s="658" t="inlineStr">
        <is>
          <t>Mã hợp đồng</t>
        </is>
      </c>
      <c r="L70" s="588" t="n"/>
      <c r="M70" s="658">
        <f>"COMMENT ON COLUMN PG_SILVER."&amp;G70&amp;"."&amp;H70&amp;" IS '"&amp;K70&amp;"';"</f>
        <v/>
      </c>
      <c r="N70" s="588" t="n"/>
    </row>
    <row r="71" ht="14.25" customHeight="1" s="335">
      <c r="A71" s="415" t="inlineStr">
        <is>
          <t>PG_BRONZE</t>
        </is>
      </c>
      <c r="B71" s="415" t="inlineStr">
        <is>
          <t>T24CORE_LD_LOANS_AND_DEPOSITS_HIS</t>
        </is>
      </c>
      <c r="C71" s="433" t="inlineStr">
        <is>
          <t>INT_LIQ_ACCT</t>
        </is>
      </c>
      <c r="D71" s="433" t="inlineStr">
        <is>
          <t>1:1</t>
        </is>
      </c>
      <c r="E71" s="433" t="inlineStr">
        <is>
          <t>Loan Arrangement Profile</t>
        </is>
      </c>
      <c r="F71" s="433" t="inlineStr">
        <is>
          <t>Interest Liquid Arrangement Code</t>
        </is>
      </c>
      <c r="G71" s="558" t="inlineStr">
        <is>
          <t>LOAN_AR_PRFL</t>
        </is>
      </c>
      <c r="H71" s="558" t="inlineStr">
        <is>
          <t>INT_LQD_AR_CODE</t>
        </is>
      </c>
      <c r="I71" s="415" t="inlineStr">
        <is>
          <t>VARCHAR2</t>
        </is>
      </c>
      <c r="J71" s="415" t="n">
        <v>40</v>
      </c>
      <c r="K71" s="433" t="inlineStr">
        <is>
          <t>Tài khoản thanh toán lãi</t>
        </is>
      </c>
      <c r="M71" s="433">
        <f>"COMMENT ON COLUMN PG_SILVER."&amp;G71&amp;"."&amp;H71&amp;" IS '"&amp;K71&amp;"';"</f>
        <v/>
      </c>
    </row>
    <row r="72" ht="14.25" customHeight="1" s="335">
      <c r="A72" s="415" t="inlineStr">
        <is>
          <t>PG_BRONZE</t>
        </is>
      </c>
      <c r="B72" s="415" t="inlineStr">
        <is>
          <t>T24CORE_LD_LOANS_AND_DEPOSITS_HIS</t>
        </is>
      </c>
      <c r="C72" s="433" t="inlineStr">
        <is>
          <t>INT_LIQ_ACCT</t>
        </is>
      </c>
      <c r="D72" s="441" t="inlineStr">
        <is>
          <t>CASE WHEN a.INT_LIQ_ACCT IS NOT NULL THEN fn_hash("T24_LD_LOANS_AND_DEPOSITS", a.INT_LIQ_ACCT) ELSE NULL END</t>
        </is>
      </c>
      <c r="E72" s="433" t="inlineStr">
        <is>
          <t>Loan Arrangement Profile</t>
        </is>
      </c>
      <c r="F72" s="433" t="inlineStr">
        <is>
          <t>Interest Liquid Arrangement Id</t>
        </is>
      </c>
      <c r="G72" s="558" t="inlineStr">
        <is>
          <t>LOAN_AR_PRFL</t>
        </is>
      </c>
      <c r="H72" s="558" t="inlineStr">
        <is>
          <t>INT_LQD_AR_ID</t>
        </is>
      </c>
      <c r="I72" s="415" t="inlineStr">
        <is>
          <t>CHAR</t>
        </is>
      </c>
      <c r="J72" s="415" t="n">
        <v>32</v>
      </c>
      <c r="K72" s="433" t="inlineStr">
        <is>
          <t>Tài khoản thanh toán lãi</t>
        </is>
      </c>
      <c r="M72" s="433">
        <f>"COMMENT ON COLUMN PG_SILVER."&amp;G72&amp;"."&amp;H72&amp;" IS '"&amp;K72&amp;"';"</f>
        <v/>
      </c>
    </row>
    <row r="73" ht="14.25" customHeight="1" s="335">
      <c r="A73" s="415" t="inlineStr">
        <is>
          <t>PG_BRONZE</t>
        </is>
      </c>
      <c r="B73" s="415" t="inlineStr">
        <is>
          <t>T24CORE_LD_LOANS_AND_DEPOSITS_HIS</t>
        </is>
      </c>
      <c r="C73" s="433" t="inlineStr">
        <is>
          <t>PRIN_LIQ_ACCT</t>
        </is>
      </c>
      <c r="D73" s="433" t="inlineStr">
        <is>
          <t>1:1</t>
        </is>
      </c>
      <c r="E73" s="433" t="inlineStr">
        <is>
          <t>Loan Arrangement Profile</t>
        </is>
      </c>
      <c r="F73" s="433" t="inlineStr">
        <is>
          <t>Principal Liquid Arrangement Code</t>
        </is>
      </c>
      <c r="G73" s="558" t="inlineStr">
        <is>
          <t>LOAN_AR_PRFL</t>
        </is>
      </c>
      <c r="H73" s="558" t="inlineStr">
        <is>
          <t>PNP_LQD_AR_CODE</t>
        </is>
      </c>
      <c r="I73" s="415" t="inlineStr">
        <is>
          <t>VARCHAR2</t>
        </is>
      </c>
      <c r="J73" s="415" t="n">
        <v>40</v>
      </c>
      <c r="K73" s="433" t="inlineStr">
        <is>
          <t>Tài khoản thanh toán gốc</t>
        </is>
      </c>
      <c r="M73" s="433">
        <f>"COMMENT ON COLUMN PG_SILVER."&amp;G73&amp;"."&amp;H73&amp;" IS '"&amp;K73&amp;"';"</f>
        <v/>
      </c>
    </row>
    <row r="74" ht="14.25" customHeight="1" s="335">
      <c r="A74" s="415" t="inlineStr">
        <is>
          <t>PG_BRONZE</t>
        </is>
      </c>
      <c r="B74" s="415" t="inlineStr">
        <is>
          <t>T24CORE_LD_LOANS_AND_DEPOSITS_HIS</t>
        </is>
      </c>
      <c r="C74" s="433" t="inlineStr">
        <is>
          <t>PRIN_LIQ_ACCT</t>
        </is>
      </c>
      <c r="D74" s="441" t="inlineStr">
        <is>
          <t>CASE WHEN a.PRIN_LIQ_ACCT IS NOT NULL THEN fn_hash("T24_LD_LOANS_AND_DEPOSITS", a.PRIN_LIQ_ACCT) ELSE NULL END</t>
        </is>
      </c>
      <c r="E74" s="433" t="inlineStr">
        <is>
          <t>Loan Arrangement Profile</t>
        </is>
      </c>
      <c r="F74" s="433" t="inlineStr">
        <is>
          <t>Principal Liquid Arrangement Id</t>
        </is>
      </c>
      <c r="G74" s="558" t="inlineStr">
        <is>
          <t>LOAN_AR_PRFL</t>
        </is>
      </c>
      <c r="H74" s="558" t="inlineStr">
        <is>
          <t>PNP_LQD_AR_ID</t>
        </is>
      </c>
      <c r="I74" s="415" t="inlineStr">
        <is>
          <t>CHAR</t>
        </is>
      </c>
      <c r="J74" s="415" t="n">
        <v>32</v>
      </c>
      <c r="K74" s="433" t="inlineStr">
        <is>
          <t>Tài khoản thanh toán gốc</t>
        </is>
      </c>
      <c r="M74" s="433">
        <f>"COMMENT ON COLUMN PG_SILVER."&amp;G74&amp;"."&amp;H74&amp;" IS '"&amp;K74&amp;"';"</f>
        <v/>
      </c>
    </row>
    <row r="75" ht="14.25" customHeight="1" s="335">
      <c r="A75" s="415" t="inlineStr">
        <is>
          <t>PG_BRONZE</t>
        </is>
      </c>
      <c r="B75" s="415" t="inlineStr">
        <is>
          <t>T24CORE_LD_LOANS_AND_DEPOSITS_HIS</t>
        </is>
      </c>
      <c r="C75" s="433" t="inlineStr">
        <is>
          <t>RECID</t>
        </is>
      </c>
      <c r="D75" s="433" t="inlineStr">
        <is>
          <t>NULL</t>
        </is>
      </c>
      <c r="E75" s="433" t="inlineStr">
        <is>
          <t>Loan Arrangement Profile</t>
        </is>
      </c>
      <c r="F75" s="433" t="inlineStr">
        <is>
          <t>Arrangement Life Cycle Status Type Code</t>
        </is>
      </c>
      <c r="G75" s="558" t="inlineStr">
        <is>
          <t>LOAN_AR_PRFL</t>
        </is>
      </c>
      <c r="H75" s="558" t="inlineStr">
        <is>
          <t>AR_LCS_TP_CODE</t>
        </is>
      </c>
      <c r="I75" s="415" t="inlineStr">
        <is>
          <t>VARCHAR2</t>
        </is>
      </c>
      <c r="J75" s="415" t="n">
        <v>40</v>
      </c>
      <c r="K75" s="433" t="inlineStr">
        <is>
          <t>Trạng thái</t>
        </is>
      </c>
      <c r="M75" s="433">
        <f>"COMMENT ON COLUMN PG_SILVER."&amp;G75&amp;"."&amp;H75&amp;" IS '"&amp;K75&amp;"';"</f>
        <v/>
      </c>
    </row>
    <row r="76" ht="14.25" customHeight="1" s="335">
      <c r="A76" s="415" t="inlineStr">
        <is>
          <t>PG_BRONZE</t>
        </is>
      </c>
      <c r="B76" s="415" t="inlineStr">
        <is>
          <t>T24CORE_LD_LOANS_AND_DEPOSITS_HIS</t>
        </is>
      </c>
      <c r="C76" s="433" t="inlineStr">
        <is>
          <t>CO_CODE</t>
        </is>
      </c>
      <c r="D76" s="433" t="inlineStr">
        <is>
          <t>1:1</t>
        </is>
      </c>
      <c r="E76" s="433" t="inlineStr">
        <is>
          <t>Loan Arrangement Profile</t>
        </is>
      </c>
      <c r="F76" s="415" t="inlineStr">
        <is>
          <t>Organization Unit Code</t>
        </is>
      </c>
      <c r="G76" s="558" t="inlineStr">
        <is>
          <t>LOAN_AR_PRFL</t>
        </is>
      </c>
      <c r="H76" s="558" t="inlineStr">
        <is>
          <t>OU_CODE</t>
        </is>
      </c>
      <c r="I76" s="415" t="inlineStr">
        <is>
          <t>VARCHAR2</t>
        </is>
      </c>
      <c r="J76" s="415" t="n">
        <v>32</v>
      </c>
      <c r="K76" s="433" t="inlineStr">
        <is>
          <t>Mã chi nhánh quản lý hiện tại</t>
        </is>
      </c>
      <c r="M76" s="433">
        <f>"COMMENT ON COLUMN PG_SILVER."&amp;G76&amp;"."&amp;H76&amp;" IS '"&amp;K76&amp;"';"</f>
        <v/>
      </c>
    </row>
    <row r="77" ht="14.25" customHeight="1" s="335">
      <c r="A77" s="433" t="inlineStr">
        <is>
          <t>PG_BRONZE</t>
        </is>
      </c>
      <c r="B77" s="433" t="inlineStr">
        <is>
          <t>EBANKING_COL_UDF_VALUE</t>
        </is>
      </c>
      <c r="C77" s="433" t="inlineStr">
        <is>
          <t>UDF_VALUE, UDF_ID</t>
        </is>
      </c>
      <c r="D77" s="415" t="inlineStr">
        <is>
          <t>1:1</t>
        </is>
      </c>
      <c r="E77" s="433" t="inlineStr">
        <is>
          <t>Loan Arrangement Profile</t>
        </is>
      </c>
      <c r="F77" s="433" t="inlineStr">
        <is>
          <t>Mandatory Repayment</t>
        </is>
      </c>
      <c r="G77" s="558" t="inlineStr">
        <is>
          <t>LOAN_AR_PRFL</t>
        </is>
      </c>
      <c r="H77" s="433" t="inlineStr">
        <is>
          <t>MAND_REPYMT</t>
        </is>
      </c>
      <c r="I77" s="415" t="inlineStr">
        <is>
          <t>VARCHAR2</t>
        </is>
      </c>
      <c r="J77" s="415" t="n">
        <v>20</v>
      </c>
      <c r="K77" s="433" t="inlineStr">
        <is>
          <t>Giá trị UDF</t>
        </is>
      </c>
      <c r="M77" s="433">
        <f>"COMMENT ON COLUMN PG_SILVER."&amp;G77&amp;"."&amp;H77&amp;" IS '"&amp;K77&amp;"';"</f>
        <v/>
      </c>
    </row>
    <row r="78" ht="14.25" customHeight="1" s="335">
      <c r="A78" s="433" t="inlineStr">
        <is>
          <t>PG_BRONZE</t>
        </is>
      </c>
      <c r="B78" s="415" t="inlineStr">
        <is>
          <t>FLEXBO_PGB_CONTRACT_UDF_MAP, FLEXBO_PGB_LOS_CONTRACT_FIELDS_TDATE</t>
        </is>
      </c>
      <c r="C78" s="433" t="inlineStr">
        <is>
          <t>FIELD_VAL, SO_LAN_CO_CAU</t>
        </is>
      </c>
      <c r="D78" s="415" t="inlineStr">
        <is>
          <t>NVL(d.SO_LAN_CO_CAU,c.FIELD_VAL)</t>
        </is>
      </c>
      <c r="E78" s="433" t="inlineStr">
        <is>
          <t>Loan Arrangement Profile</t>
        </is>
      </c>
      <c r="F78" s="334" t="inlineStr">
        <is>
          <t>Number of debt restructurings</t>
        </is>
      </c>
      <c r="G78" s="558" t="inlineStr">
        <is>
          <t>LOAN_AR_PRFL</t>
        </is>
      </c>
      <c r="H78" s="433" t="inlineStr">
        <is>
          <t>NBR_OF_DBT_RSTC</t>
        </is>
      </c>
      <c r="I78" s="415" t="inlineStr">
        <is>
          <t>NUMBER</t>
        </is>
      </c>
      <c r="J78" s="415" t="n">
        <v>22</v>
      </c>
      <c r="K78" s="433" t="inlineStr">
        <is>
          <t>Giá trị tương ứng với từng trường</t>
        </is>
      </c>
      <c r="M78" s="433">
        <f>"COMMENT ON COLUMN PG_SILVER."&amp;G78&amp;"."&amp;H78&amp;" IS '"&amp;K78&amp;"';"</f>
        <v/>
      </c>
    </row>
    <row r="79" ht="14.25" customHeight="1" s="335">
      <c r="A79" s="433" t="inlineStr">
        <is>
          <t>PG_BRONZE</t>
        </is>
      </c>
      <c r="B79" s="415" t="inlineStr">
        <is>
          <t>FLEXBO_PGB_CONTRACT_UDF_MAP</t>
        </is>
      </c>
      <c r="C79" s="433" t="inlineStr">
        <is>
          <t>FIELD_VAL</t>
        </is>
      </c>
      <c r="D79" s="415" t="inlineStr">
        <is>
          <t>c1.FIELD_VAL</t>
        </is>
      </c>
      <c r="E79" s="433" t="inlineStr">
        <is>
          <t>Loan Arrangement Profile</t>
        </is>
      </c>
      <c r="F79" s="433" t="inlineStr">
        <is>
          <t>Security Type</t>
        </is>
      </c>
      <c r="G79" s="558" t="inlineStr">
        <is>
          <t>LOAN_AR_PRFL</t>
        </is>
      </c>
      <c r="H79" s="433" t="inlineStr">
        <is>
          <t>SCR_TP</t>
        </is>
      </c>
      <c r="I79" s="415" t="inlineStr">
        <is>
          <t>VARCHAR2</t>
        </is>
      </c>
      <c r="J79" s="415" t="n">
        <v>20</v>
      </c>
      <c r="K79" s="433" t="inlineStr">
        <is>
          <t>Giá trị tương ứng với từng trường</t>
        </is>
      </c>
      <c r="M79" s="433">
        <f>"COMMENT ON COLUMN PG_SILVER."&amp;G79&amp;"."&amp;H79&amp;" IS '"&amp;K79&amp;"';"</f>
        <v/>
      </c>
    </row>
    <row r="80" ht="14.25" customHeight="1" s="335">
      <c r="A80" s="415" t="inlineStr">
        <is>
          <t>PG_BRONZE</t>
        </is>
      </c>
      <c r="B80" s="415" t="inlineStr">
        <is>
          <t>FLEXBO_PGB_LOS_CONTRACT_FIELDS_TDATE</t>
        </is>
      </c>
      <c r="C80" s="433" t="inlineStr">
        <is>
          <t>CAR_APPLICATION_CODE</t>
        </is>
      </c>
      <c r="D80" s="415" t="inlineStr">
        <is>
          <t>1:1</t>
        </is>
      </c>
      <c r="E80" s="433" t="inlineStr">
        <is>
          <t>Loan Arrangement Profile</t>
        </is>
      </c>
      <c r="F80" s="433" t="inlineStr">
        <is>
          <t>LOS Application Code</t>
        </is>
      </c>
      <c r="G80" s="558" t="inlineStr">
        <is>
          <t>LOAN_AR_PRFL</t>
        </is>
      </c>
      <c r="H80" s="433" t="inlineStr">
        <is>
          <t>CAR_AP_CODE</t>
        </is>
      </c>
      <c r="I80" s="415" t="inlineStr">
        <is>
          <t>VARCHAR2</t>
        </is>
      </c>
      <c r="J80" s="415" t="n">
        <v>40</v>
      </c>
      <c r="K80" s="433" t="inlineStr">
        <is>
          <t>Mã hồ sơ LOS</t>
        </is>
      </c>
      <c r="M80" s="433">
        <f>"COMMENT ON COLUMN PG_SILVER."&amp;G80&amp;"."&amp;H80&amp;" IS '"&amp;K80&amp;"';"</f>
        <v/>
      </c>
    </row>
    <row r="81" ht="14.25" customHeight="1" s="335">
      <c r="A81" s="415" t="inlineStr">
        <is>
          <t>PG_BRONZE</t>
        </is>
      </c>
      <c r="B81" s="415" t="inlineStr">
        <is>
          <t>FLEXBO_PGB_LOS_CONTRACT_FIELDS_TDATE</t>
        </is>
      </c>
      <c r="C81" s="433" t="inlineStr">
        <is>
          <t>LOS_CONTRACT_CODE</t>
        </is>
      </c>
      <c r="D81" s="415" t="inlineStr">
        <is>
          <t>1:1</t>
        </is>
      </c>
      <c r="E81" s="433" t="inlineStr">
        <is>
          <t>Loan Arrangement Profile</t>
        </is>
      </c>
      <c r="F81" s="433" t="inlineStr">
        <is>
          <t>LOS Contract Code</t>
        </is>
      </c>
      <c r="G81" s="558" t="inlineStr">
        <is>
          <t>LOAN_AR_PRFL</t>
        </is>
      </c>
      <c r="H81" s="433" t="inlineStr">
        <is>
          <t>LOS_CTR_CODE</t>
        </is>
      </c>
      <c r="I81" s="415" t="inlineStr">
        <is>
          <t>VARCHAR2</t>
        </is>
      </c>
      <c r="J81" s="415" t="n">
        <v>40</v>
      </c>
      <c r="K81" s="433" t="inlineStr">
        <is>
          <t>mã hợp đồng vay</t>
        </is>
      </c>
      <c r="M81" s="433">
        <f>"COMMENT ON COLUMN PG_SILVER."&amp;G81&amp;"."&amp;H81&amp;" IS '"&amp;K81&amp;"';"</f>
        <v/>
      </c>
    </row>
    <row r="82" ht="14.25" customHeight="1" s="335">
      <c r="A82" s="415" t="inlineStr">
        <is>
          <t>PG_BRONZE</t>
        </is>
      </c>
      <c r="B82" s="415" t="inlineStr">
        <is>
          <t>FLEXBO_PGB_LOS_CONTRACT_FIELDS_TDATE</t>
        </is>
      </c>
      <c r="C82" s="433" t="inlineStr">
        <is>
          <t>LOS_CONTRACT_ID</t>
        </is>
      </c>
      <c r="D82" s="415" t="inlineStr">
        <is>
          <t>1:1</t>
        </is>
      </c>
      <c r="E82" s="433" t="inlineStr">
        <is>
          <t>Loan Arrangement Profile</t>
        </is>
      </c>
      <c r="F82" s="334" t="inlineStr">
        <is>
          <t>LOS Contract ID</t>
        </is>
      </c>
      <c r="G82" s="558" t="inlineStr">
        <is>
          <t>LOAN_AR_PRFL</t>
        </is>
      </c>
      <c r="H82" s="433" t="inlineStr">
        <is>
          <t>LOS_CTR_ID</t>
        </is>
      </c>
      <c r="I82" s="415" t="inlineStr">
        <is>
          <t>VARCHAR2</t>
        </is>
      </c>
      <c r="J82" s="415" t="n">
        <v>20</v>
      </c>
      <c r="K82" s="334" t="inlineStr">
        <is>
          <t>mã hồ sơ trên LOS</t>
        </is>
      </c>
      <c r="M82" s="334">
        <f>"COMMENT ON COLUMN PG_SILVER."&amp;G82&amp;"."&amp;H82&amp;" IS '"&amp;K82&amp;"';"</f>
        <v/>
      </c>
    </row>
    <row r="83" ht="14.25" customHeight="1" s="335">
      <c r="A83" s="415" t="inlineStr">
        <is>
          <t>PG_BRONZE</t>
        </is>
      </c>
      <c r="B83" s="415" t="inlineStr">
        <is>
          <t>FLEXBO_PGB_LOS_CONTRACT_FIELDS_TDATE</t>
        </is>
      </c>
      <c r="C83" s="433" t="inlineStr">
        <is>
          <t>CO_CAU_NO_MIEN_GIAM_LAI</t>
        </is>
      </c>
      <c r="D83" s="415" t="inlineStr">
        <is>
          <t>1:1</t>
        </is>
      </c>
      <c r="E83" s="433" t="inlineStr">
        <is>
          <t>Loan Arrangement Profile</t>
        </is>
      </c>
      <c r="F83" s="334" t="inlineStr">
        <is>
          <t>Debt Waiver Flag</t>
        </is>
      </c>
      <c r="G83" s="558" t="inlineStr">
        <is>
          <t>LOAN_AR_PRFL</t>
        </is>
      </c>
      <c r="H83" s="558" t="inlineStr">
        <is>
          <t>DBT_WVR_F</t>
        </is>
      </c>
      <c r="I83" s="415" t="inlineStr">
        <is>
          <t>VARCHAR2</t>
        </is>
      </c>
      <c r="J83" s="415" t="n">
        <v>20</v>
      </c>
      <c r="K83" s="558" t="inlineStr">
        <is>
          <t>Đánh dấu cơ cấu miễn giảm</t>
        </is>
      </c>
      <c r="M83" s="558">
        <f>"COMMENT ON COLUMN PG_SILVER."&amp;G83&amp;"."&amp;H83&amp;" IS '"&amp;K83&amp;"';"</f>
        <v/>
      </c>
    </row>
    <row r="84" ht="14.25" customHeight="1" s="335">
      <c r="A84" s="415" t="inlineStr">
        <is>
          <t>PG_BRONZE</t>
        </is>
      </c>
      <c r="B84" s="415" t="inlineStr">
        <is>
          <t>FLEXBO_PGB_LOS_CONTRACT_FIELDS_TDATE</t>
        </is>
      </c>
      <c r="C84" s="433" t="inlineStr">
        <is>
          <t>MDVAY_NKT</t>
        </is>
      </c>
      <c r="D84" s="415" t="inlineStr">
        <is>
          <t>1:1</t>
        </is>
      </c>
      <c r="E84" s="433" t="inlineStr">
        <is>
          <t>Loan Arrangement Profile</t>
        </is>
      </c>
      <c r="F84" s="433" t="inlineStr">
        <is>
          <t>Arrangement purpose by industry</t>
        </is>
      </c>
      <c r="G84" s="558" t="inlineStr">
        <is>
          <t>LOAN_AR_PRFL</t>
        </is>
      </c>
      <c r="H84" s="433" t="inlineStr">
        <is>
          <t>AR_PPS_BY_IDY</t>
        </is>
      </c>
      <c r="I84" s="415" t="inlineStr">
        <is>
          <t>VARCHAR2</t>
        </is>
      </c>
      <c r="J84" s="415" t="n">
        <v>20</v>
      </c>
      <c r="K84" s="433" t="inlineStr">
        <is>
          <t>Mục đích vay theo ngành kinh tế</t>
        </is>
      </c>
      <c r="M84" s="433">
        <f>"COMMENT ON COLUMN PG_SILVER."&amp;G84&amp;"."&amp;H84&amp;" IS '"&amp;K84&amp;"';"</f>
        <v/>
      </c>
    </row>
    <row r="85" ht="14.25" customHeight="1" s="335">
      <c r="A85" s="456" t="inlineStr">
        <is>
          <t>PG_BRONZE</t>
        </is>
      </c>
      <c r="B85" s="456" t="inlineStr">
        <is>
          <t>FLEXBO_PGB_LOS_CONTRACT_FIELDS_TDATE</t>
        </is>
      </c>
      <c r="C85" s="455" t="inlineStr">
        <is>
          <t>MDVAY_SP</t>
        </is>
      </c>
      <c r="D85" s="456" t="inlineStr">
        <is>
          <t>1:1</t>
        </is>
      </c>
      <c r="E85" s="455" t="inlineStr">
        <is>
          <t>Loan Arrangement Profile</t>
        </is>
      </c>
      <c r="F85" s="455" t="inlineStr">
        <is>
          <t>Arrangement purpose by product</t>
        </is>
      </c>
      <c r="G85" s="643" t="inlineStr">
        <is>
          <t>LOAN_AR_PRFL</t>
        </is>
      </c>
      <c r="H85" s="455" t="inlineStr">
        <is>
          <t>AR_PPS_BY_PD</t>
        </is>
      </c>
      <c r="I85" s="456" t="inlineStr">
        <is>
          <t>VARCHAR2</t>
        </is>
      </c>
      <c r="J85" s="456" t="n">
        <v>20</v>
      </c>
      <c r="K85" s="455" t="inlineStr">
        <is>
          <t>Mục đích vay theo sản phẩm</t>
        </is>
      </c>
      <c r="L85" s="452" t="n"/>
      <c r="M85" s="455">
        <f>"COMMENT ON COLUMN PG_SILVER."&amp;G85&amp;"."&amp;H85&amp;" IS '"&amp;K85&amp;"';"</f>
        <v/>
      </c>
      <c r="N85" s="452" t="n"/>
    </row>
    <row r="86" ht="14.25" customHeight="1" s="335">
      <c r="A86" s="415" t="inlineStr">
        <is>
          <t>PG_BRONZE</t>
        </is>
      </c>
      <c r="B86" s="415" t="inlineStr">
        <is>
          <t>FLEXBO_PGB_LOS_CONTRACT_FIELDS_TDATE</t>
        </is>
      </c>
      <c r="C86" s="433" t="inlineStr">
        <is>
          <t>CAN_BO_DE_XUAT_GN</t>
        </is>
      </c>
      <c r="D86" s="415" t="inlineStr">
        <is>
          <t>1:1</t>
        </is>
      </c>
      <c r="E86" s="433" t="inlineStr">
        <is>
          <t>Loan Arrangement Profile</t>
        </is>
      </c>
      <c r="F86" s="433" t="inlineStr">
        <is>
          <t>Disbursement proposal officer</t>
        </is>
      </c>
      <c r="G86" s="558" t="inlineStr">
        <is>
          <t>LOAN_AR_PRFL</t>
        </is>
      </c>
      <c r="H86" s="433" t="inlineStr">
        <is>
          <t>DSBR_PRPSL_OFCR</t>
        </is>
      </c>
      <c r="I86" s="415" t="inlineStr">
        <is>
          <t>VARCHAR2</t>
        </is>
      </c>
      <c r="J86" s="415" t="n">
        <v>40</v>
      </c>
      <c r="K86" s="433" t="inlineStr">
        <is>
          <t>Cán bộ đề xuất giải ngân</t>
        </is>
      </c>
      <c r="M86" s="433">
        <f>"COMMENT ON COLUMN PG_SILVER."&amp;G86&amp;"."&amp;H86&amp;" IS '"&amp;K86&amp;"';"</f>
        <v/>
      </c>
    </row>
    <row r="87" ht="14.25" customHeight="1" s="335">
      <c r="A87" s="415" t="inlineStr">
        <is>
          <t>PG_BRONZE</t>
        </is>
      </c>
      <c r="B87" s="415" t="inlineStr">
        <is>
          <t>FLEXBO_PGB_LOS_CONTRACT_FIELDS_TDATE</t>
        </is>
      </c>
      <c r="C87" s="433" t="inlineStr">
        <is>
          <t>TT_PP_DE_XUAT_GN</t>
        </is>
      </c>
      <c r="D87" s="415" t="inlineStr">
        <is>
          <t>1:1</t>
        </is>
      </c>
      <c r="E87" s="433" t="inlineStr">
        <is>
          <t>Loan Arrangement Profile</t>
        </is>
      </c>
      <c r="F87" s="433" t="inlineStr">
        <is>
          <t>Disbursement Proposal Manager</t>
        </is>
      </c>
      <c r="G87" s="558" t="inlineStr">
        <is>
          <t>LOAN_AR_PRFL</t>
        </is>
      </c>
      <c r="H87" s="433" t="inlineStr">
        <is>
          <t>DSBR_PRPSL_MGR</t>
        </is>
      </c>
      <c r="I87" s="415" t="inlineStr">
        <is>
          <t>VARCHAR2</t>
        </is>
      </c>
      <c r="J87" s="415" t="n">
        <v>40</v>
      </c>
      <c r="K87" s="433" t="inlineStr">
        <is>
          <t>Người đề xuất giải ngân</t>
        </is>
      </c>
      <c r="M87" s="433">
        <f>"COMMENT ON COLUMN PG_SILVER."&amp;G87&amp;"."&amp;H87&amp;" IS '"&amp;K87&amp;"';"</f>
        <v/>
      </c>
    </row>
    <row r="88" ht="14.25" customHeight="1" s="335">
      <c r="A88" s="415" t="inlineStr">
        <is>
          <t>PG_BRONZE</t>
        </is>
      </c>
      <c r="B88" s="415" t="inlineStr">
        <is>
          <t>FLEXBO_PGB_LOS_CONTRACT_FIELDS_TDATE</t>
        </is>
      </c>
      <c r="C88" s="433" t="inlineStr">
        <is>
          <t>CBTD_QL_KHOAN_VAY</t>
        </is>
      </c>
      <c r="D88" s="415" t="inlineStr">
        <is>
          <t>1:1</t>
        </is>
      </c>
      <c r="E88" s="433" t="inlineStr">
        <is>
          <t>Loan Arrangement Profile</t>
        </is>
      </c>
      <c r="F88" s="433" t="inlineStr">
        <is>
          <t>Management Officer</t>
        </is>
      </c>
      <c r="G88" s="558" t="inlineStr">
        <is>
          <t>LOAN_AR_PRFL</t>
        </is>
      </c>
      <c r="H88" s="558" t="inlineStr">
        <is>
          <t>MGT_OFCR</t>
        </is>
      </c>
      <c r="I88" s="415" t="inlineStr">
        <is>
          <t>VARCHAR2</t>
        </is>
      </c>
      <c r="J88" s="415" t="n">
        <v>40</v>
      </c>
      <c r="K88" s="558" t="inlineStr">
        <is>
          <t>Cán bộ quản lý khoản vay</t>
        </is>
      </c>
      <c r="M88" s="558">
        <f>"COMMENT ON COLUMN PG_SILVER."&amp;G88&amp;"."&amp;H88&amp;" IS '"&amp;K88&amp;"';"</f>
        <v/>
      </c>
    </row>
    <row r="89" ht="14.25" customHeight="1" s="335">
      <c r="A89" s="415" t="inlineStr">
        <is>
          <t>PG_BRONZE</t>
        </is>
      </c>
      <c r="B89" s="415" t="inlineStr">
        <is>
          <t>FLEXBO_PGB_LOS_CONTRACT_FIELDS_TDATE</t>
        </is>
      </c>
      <c r="C89" s="433" t="inlineStr">
        <is>
          <t>TP_PP_QL_KHOAN_VAY</t>
        </is>
      </c>
      <c r="D89" s="415" t="inlineStr">
        <is>
          <t>1:1</t>
        </is>
      </c>
      <c r="E89" s="433" t="inlineStr">
        <is>
          <t>Loan Arrangement Profile</t>
        </is>
      </c>
      <c r="F89" s="433" t="inlineStr">
        <is>
          <t>Management Manager</t>
        </is>
      </c>
      <c r="G89" s="558" t="inlineStr">
        <is>
          <t>LOAN_AR_PRFL</t>
        </is>
      </c>
      <c r="H89" s="558" t="inlineStr">
        <is>
          <t>MGT_MGR</t>
        </is>
      </c>
      <c r="I89" s="415" t="inlineStr">
        <is>
          <t>VARCHAR2</t>
        </is>
      </c>
      <c r="J89" s="415" t="n">
        <v>40</v>
      </c>
      <c r="K89" s="558" t="inlineStr">
        <is>
          <t>Người quản lý khoản vay</t>
        </is>
      </c>
      <c r="M89" s="558">
        <f>"COMMENT ON COLUMN PG_SILVER."&amp;G89&amp;"."&amp;H89&amp;" IS '"&amp;K89&amp;"';"</f>
        <v/>
      </c>
    </row>
    <row r="90" ht="14.25" customHeight="1" s="335">
      <c r="A90" s="415" t="inlineStr">
        <is>
          <t>PG_BRONZE</t>
        </is>
      </c>
      <c r="B90" s="415" t="inlineStr">
        <is>
          <t>FLEXBO_PGB_LOS_CONTRACT_FIELDS_TDATE</t>
        </is>
      </c>
      <c r="C90" s="433" t="inlineStr">
        <is>
          <t>CAP_PHE_DUYET_GNTL</t>
        </is>
      </c>
      <c r="D90" s="415" t="inlineStr">
        <is>
          <t>1:1</t>
        </is>
      </c>
      <c r="E90" s="433" t="inlineStr">
        <is>
          <t>Loan Arrangement Profile</t>
        </is>
      </c>
      <c r="F90" s="433" t="inlineStr">
        <is>
          <t>Approval Authority</t>
        </is>
      </c>
      <c r="G90" s="558" t="inlineStr">
        <is>
          <t>LOAN_AR_PRFL</t>
        </is>
      </c>
      <c r="H90" s="558" t="inlineStr">
        <is>
          <t>APRV_AHR</t>
        </is>
      </c>
      <c r="I90" s="415" t="inlineStr">
        <is>
          <t>VARCHAR2</t>
        </is>
      </c>
      <c r="J90" s="415" t="n">
        <v>1000</v>
      </c>
      <c r="K90" s="558" t="inlineStr">
        <is>
          <t>Cấp phê duyệt giải ngân</t>
        </is>
      </c>
      <c r="M90" s="558">
        <f>"COMMENT ON COLUMN PG_SILVER."&amp;G90&amp;"."&amp;H90&amp;" IS '"&amp;K90&amp;"';"</f>
        <v/>
      </c>
    </row>
    <row r="91" ht="14.25" customHeight="1" s="335">
      <c r="A91" s="415" t="inlineStr">
        <is>
          <t>PG_BRONZE</t>
        </is>
      </c>
      <c r="B91" s="415" t="inlineStr">
        <is>
          <t>T24CORE_LD_LOANS_AND_DEPOSITS_HIS</t>
        </is>
      </c>
      <c r="C91" s="433" t="inlineStr">
        <is>
          <t>RECID</t>
        </is>
      </c>
      <c r="D91" s="415" t="inlineStr">
        <is>
          <t>NULL</t>
        </is>
      </c>
      <c r="E91" s="433" t="inlineStr">
        <is>
          <t>Loan Arrangement Profile</t>
        </is>
      </c>
      <c r="F91" s="433" t="inlineStr">
        <is>
          <t>Checker Officer</t>
        </is>
      </c>
      <c r="G91" s="558" t="inlineStr">
        <is>
          <t>LOAN_AR_PRFL</t>
        </is>
      </c>
      <c r="H91" s="558" t="inlineStr">
        <is>
          <t>CHKER_OFCR</t>
        </is>
      </c>
      <c r="I91" s="415" t="inlineStr">
        <is>
          <t>VARCHAR2</t>
        </is>
      </c>
      <c r="J91" s="415" t="n">
        <v>40</v>
      </c>
      <c r="K91" s="433" t="inlineStr">
        <is>
          <t>Mã người phê duyệt</t>
        </is>
      </c>
      <c r="M91" s="433">
        <f>"COMMENT ON COLUMN PG_SILVER."&amp;G91&amp;"."&amp;H91&amp;" IS '"&amp;K91&amp;"';"</f>
        <v/>
      </c>
    </row>
    <row r="92" ht="14.25" customHeight="1" s="335">
      <c r="A92" s="415" t="inlineStr">
        <is>
          <t>PG_BRONZE</t>
        </is>
      </c>
      <c r="B92" s="415" t="inlineStr">
        <is>
          <t>T24CORE_LD_LOANS_AND_DEPOSITS_HIS</t>
        </is>
      </c>
      <c r="C92" s="433" t="inlineStr">
        <is>
          <t>RECID</t>
        </is>
      </c>
      <c r="D92" s="415" t="inlineStr">
        <is>
          <t>NULL</t>
        </is>
      </c>
      <c r="E92" s="433" t="inlineStr">
        <is>
          <t>Loan Arrangement Profile</t>
        </is>
      </c>
      <c r="F92" s="433" t="inlineStr">
        <is>
          <t>Maker Officer</t>
        </is>
      </c>
      <c r="G92" s="558" t="inlineStr">
        <is>
          <t>LOAN_AR_PRFL</t>
        </is>
      </c>
      <c r="H92" s="558" t="inlineStr">
        <is>
          <t>MAKER_OFCR</t>
        </is>
      </c>
      <c r="I92" s="415" t="inlineStr">
        <is>
          <t>VARCHAR2</t>
        </is>
      </c>
      <c r="J92" s="415" t="n">
        <v>40</v>
      </c>
      <c r="K92" s="433" t="inlineStr">
        <is>
          <t>ID người nhập liệu</t>
        </is>
      </c>
      <c r="M92" s="433">
        <f>"COMMENT ON COLUMN PG_SILVER."&amp;G92&amp;"."&amp;H92&amp;" IS '"&amp;K92&amp;"';"</f>
        <v/>
      </c>
    </row>
    <row r="93" ht="41.25" customHeight="1" s="335">
      <c r="A93" s="415" t="inlineStr">
        <is>
          <t>PG_BRONZE</t>
        </is>
      </c>
      <c r="B93" s="415" t="inlineStr">
        <is>
          <t>T24CORE_LD_LOANS_AND_DEPOSITS_HIS</t>
        </is>
      </c>
      <c r="C93" s="433" t="inlineStr">
        <is>
          <t>MB_RM_BANCHEO</t>
        </is>
      </c>
      <c r="D93" s="415" t="inlineStr">
        <is>
          <t>1:1</t>
        </is>
      </c>
      <c r="E93" s="433" t="inlineStr">
        <is>
          <t>Loan Arrangement Profile</t>
        </is>
      </c>
      <c r="F93" s="433" t="inlineStr">
        <is>
          <t>Referrer Officer</t>
        </is>
      </c>
      <c r="G93" s="558" t="inlineStr">
        <is>
          <t>LOAN_AR_PRFL</t>
        </is>
      </c>
      <c r="H93" s="558" t="inlineStr">
        <is>
          <t>REFRRER_OFCR</t>
        </is>
      </c>
      <c r="I93" s="415" t="inlineStr">
        <is>
          <t>VARCHAR2</t>
        </is>
      </c>
      <c r="J93" s="415" t="n">
        <v>40</v>
      </c>
      <c r="K93" s="433" t="inlineStr">
        <is>
          <t>ID nhân viên giới thiệu</t>
        </is>
      </c>
      <c r="M93" s="433">
        <f>"COMMENT ON COLUMN PG_SILVER."&amp;G93&amp;"."&amp;H93&amp;" IS '"&amp;K93&amp;"';"</f>
        <v/>
      </c>
    </row>
    <row r="94" ht="41.25" customHeight="1" s="335">
      <c r="A94" s="433" t="inlineStr">
        <is>
          <t>PG_BRONZE</t>
        </is>
      </c>
      <c r="B94" s="415" t="inlineStr">
        <is>
          <t>FLEXBO_PGBLD_CONTRACT_UDFIELD_HIST, T24CORE_MB_MG_SAVING_MULTI, T24CORE_CUSTOMER</t>
        </is>
      </c>
      <c r="C94" s="433" t="inlineStr">
        <is>
          <t>CT_KHUYEN_MAI_CHO_VAY, MB_LD_TYPE, KHOI</t>
        </is>
      </c>
      <c r="D94" s="445" t="inlineStr">
        <is>
          <t>CASE WHEN e.CT_KHUYEN_MAI_CHO_VAY IS NULL AND i.KHOI = 'INDIV' THEN f.MB_LD_TYPE ELSE e.CT_KHUYEN_MAI_CHO_VAY END</t>
        </is>
      </c>
      <c r="E94" s="433" t="inlineStr">
        <is>
          <t>Loan Arrangement Profile</t>
        </is>
      </c>
      <c r="F94" s="433" t="inlineStr">
        <is>
          <t>Promotion Program</t>
        </is>
      </c>
      <c r="G94" s="558" t="inlineStr">
        <is>
          <t>LOAN_AR_PRFL</t>
        </is>
      </c>
      <c r="H94" s="433" t="inlineStr">
        <is>
          <t>PROM_PRGM</t>
        </is>
      </c>
      <c r="I94" s="415" t="inlineStr">
        <is>
          <t>VARCHAR2</t>
        </is>
      </c>
      <c r="J94" s="415" t="n">
        <v>20</v>
      </c>
      <c r="K94" s="433" t="inlineStr">
        <is>
          <t>Mã chương trình KM cho vay</t>
        </is>
      </c>
      <c r="M94" s="433">
        <f>"COMMENT ON COLUMN PG_SILVER."&amp;G94&amp;"."&amp;H94&amp;" IS '"&amp;K94&amp;"';"</f>
        <v/>
      </c>
      <c r="N94" s="414" t="inlineStr">
        <is>
          <t>Bổ sung từ khóa `END`.</t>
        </is>
      </c>
    </row>
    <row r="95" ht="14.25" customHeight="1" s="335">
      <c r="A95" s="433" t="inlineStr">
        <is>
          <t>PG_BRONZE</t>
        </is>
      </c>
      <c r="B95" s="415" t="inlineStr">
        <is>
          <t>FLEXBO_PGBLD_CONTRACT_UDFIELD_HIST, T24CORE_MB_MG_SAVING_MULTI, T24CORE_CUSTOMER</t>
        </is>
      </c>
      <c r="C95" s="433" t="inlineStr">
        <is>
          <t>CTKM2, MB_LD_TYPE, KHOI</t>
        </is>
      </c>
      <c r="D95" s="463" t="inlineStr">
        <is>
          <t>CASE WHEN e.CTKM2 IS NULL AND i.KHOI &lt;&gt; 'INDIV' THEN f.MB_LD_TYPE ELSE e.CTKM2 END</t>
        </is>
      </c>
      <c r="E95" s="433" t="inlineStr">
        <is>
          <t>Loan Arrangement Profile</t>
        </is>
      </c>
      <c r="F95" s="433" t="inlineStr">
        <is>
          <t>Promotion Program 2</t>
        </is>
      </c>
      <c r="G95" s="558" t="inlineStr">
        <is>
          <t>LOAN_AR_PRFL</t>
        </is>
      </c>
      <c r="H95" s="433" t="inlineStr">
        <is>
          <t>PROM_PRGM_2</t>
        </is>
      </c>
      <c r="I95" s="415" t="inlineStr">
        <is>
          <t>VARCHAR2</t>
        </is>
      </c>
      <c r="J95" s="415" t="n">
        <v>20</v>
      </c>
      <c r="K95" s="433" t="inlineStr">
        <is>
          <t>Mã CTKM2</t>
        </is>
      </c>
      <c r="M95" s="433">
        <f>"COMMENT ON COLUMN PG_SILVER."&amp;G95&amp;"."&amp;H95&amp;" IS '"&amp;K95&amp;"';"</f>
        <v/>
      </c>
      <c r="N95" s="414" t="inlineStr">
        <is>
          <t>Bổ sung `ELSE e.CTKM2 END`.</t>
        </is>
      </c>
    </row>
    <row r="96" ht="14.25" customHeight="1" s="335">
      <c r="A96" s="433" t="inlineStr">
        <is>
          <t>PG_BRONZE</t>
        </is>
      </c>
      <c r="B96" s="415" t="inlineStr">
        <is>
          <t>FLEXBO_PGBLD_RT_CONTRACT_UDFIELD_HIST</t>
        </is>
      </c>
      <c r="C96" s="433" t="inlineStr">
        <is>
          <t>CO_CAU_NO</t>
        </is>
      </c>
      <c r="D96" s="415" t="inlineStr">
        <is>
          <t>1:1</t>
        </is>
      </c>
      <c r="E96" s="433" t="inlineStr">
        <is>
          <t>Loan Arrangement Profile</t>
        </is>
      </c>
      <c r="F96" s="433" t="inlineStr">
        <is>
          <t>Debt Restructuring Type Code</t>
        </is>
      </c>
      <c r="G96" s="558" t="inlineStr">
        <is>
          <t>LOAN_AR_PRFL</t>
        </is>
      </c>
      <c r="H96" s="433" t="inlineStr">
        <is>
          <t>DBT_RSTC_TP_CODE</t>
        </is>
      </c>
      <c r="I96" s="415" t="inlineStr">
        <is>
          <t>VARCHAR2</t>
        </is>
      </c>
      <c r="J96" s="415" t="n">
        <v>20</v>
      </c>
      <c r="K96" s="433" t="inlineStr">
        <is>
          <t>Cơ cấu nợ</t>
        </is>
      </c>
      <c r="M96" s="433">
        <f>"COMMENT ON COLUMN PG_SILVER."&amp;G96&amp;"."&amp;H96&amp;" IS '"&amp;K96&amp;"';"</f>
        <v/>
      </c>
    </row>
    <row r="97" ht="14.25" customHeight="1" s="335">
      <c r="A97" s="433" t="inlineStr">
        <is>
          <t>PG_BRONZE</t>
        </is>
      </c>
      <c r="B97" s="415" t="inlineStr">
        <is>
          <t>FLEXBO_PGBLD_RT_CONTRACT_UDFIELD_HIST</t>
        </is>
      </c>
      <c r="C97" s="433" t="inlineStr">
        <is>
          <t>NGAY_HET_COVID19</t>
        </is>
      </c>
      <c r="D97" s="415" t="inlineStr">
        <is>
          <t>1:1</t>
        </is>
      </c>
      <c r="E97" s="433" t="inlineStr">
        <is>
          <t>Loan Arrangement Profile</t>
        </is>
      </c>
      <c r="F97" s="433" t="inlineStr">
        <is>
          <t>Covid19 Restructuring Completion Date</t>
        </is>
      </c>
      <c r="G97" s="558" t="inlineStr">
        <is>
          <t>LOAN_AR_PRFL</t>
        </is>
      </c>
      <c r="H97" s="433" t="inlineStr">
        <is>
          <t>COVID19_RSTC_COMPL_DT</t>
        </is>
      </c>
      <c r="I97" s="415" t="inlineStr">
        <is>
          <t>DATE</t>
        </is>
      </c>
      <c r="J97" s="415" t="n"/>
      <c r="K97" s="433" t="inlineStr">
        <is>
          <t>Ngày hết covid/ Ngày hết hạn cơ cấu</t>
        </is>
      </c>
      <c r="M97" s="433">
        <f>"COMMENT ON COLUMN PG_SILVER."&amp;G97&amp;"."&amp;H97&amp;" IS '"&amp;K97&amp;"';"</f>
        <v/>
      </c>
    </row>
    <row r="98" ht="14.25" customHeight="1" s="335">
      <c r="A98" s="433" t="inlineStr">
        <is>
          <t>PG_BRONZE</t>
        </is>
      </c>
      <c r="B98" s="415" t="inlineStr">
        <is>
          <t>SOURCE_SAOKE_MVMT</t>
        </is>
      </c>
      <c r="C98" s="433" t="inlineStr">
        <is>
          <t>SBV_CODE</t>
        </is>
      </c>
      <c r="D98" s="415" t="inlineStr">
        <is>
          <t>1:1</t>
        </is>
      </c>
      <c r="E98" s="433" t="inlineStr">
        <is>
          <t>Loan Arrangement Profile</t>
        </is>
      </c>
      <c r="F98" s="334" t="inlineStr">
        <is>
          <t>General Ledger Item Code</t>
        </is>
      </c>
      <c r="G98" s="558" t="inlineStr">
        <is>
          <t>LOAN_AR_PRFL</t>
        </is>
      </c>
      <c r="H98" s="433" t="inlineStr">
        <is>
          <t>GL_ITM_CODE</t>
        </is>
      </c>
      <c r="I98" s="415" t="inlineStr">
        <is>
          <t>VARCHAR2</t>
        </is>
      </c>
      <c r="J98" s="415" t="n">
        <v>20</v>
      </c>
      <c r="K98" s="433" t="inlineStr">
        <is>
          <t>Mã hạch toán theo SBV</t>
        </is>
      </c>
      <c r="M98" s="433">
        <f>"COMMENT ON COLUMN PG_SILVER."&amp;G98&amp;"."&amp;H98&amp;" IS '"&amp;K98&amp;"';"</f>
        <v/>
      </c>
    </row>
    <row r="99" ht="14.25" customHeight="1" s="335">
      <c r="A99" s="433" t="inlineStr">
        <is>
          <t>PG_BRONZE</t>
        </is>
      </c>
      <c r="B99" s="415" t="inlineStr">
        <is>
          <t>SOURCE_SAOKE_MVMT</t>
        </is>
      </c>
      <c r="C99" s="433" t="inlineStr">
        <is>
          <t>SBV_CODE</t>
        </is>
      </c>
      <c r="D99" s="463" t="inlineStr">
        <is>
          <t>CASE WHEN h.SBV_CODE IS NOT NULL THEN fn_hash("T24_GL_ITM", h.SBV_CODE) ELSE NULL END</t>
        </is>
      </c>
      <c r="E99" s="433" t="inlineStr">
        <is>
          <t>Loan Arrangement Profile</t>
        </is>
      </c>
      <c r="F99" s="415" t="inlineStr">
        <is>
          <t>General Ledger Item Id</t>
        </is>
      </c>
      <c r="G99" s="558" t="inlineStr">
        <is>
          <t>LOAN_AR_PRFL</t>
        </is>
      </c>
      <c r="H99" s="433" t="inlineStr">
        <is>
          <t>GL_ITM_ID</t>
        </is>
      </c>
      <c r="I99" s="415" t="inlineStr">
        <is>
          <t>CHAR</t>
        </is>
      </c>
      <c r="J99" s="415" t="n">
        <v>32</v>
      </c>
      <c r="K99" s="433" t="inlineStr">
        <is>
          <t>ID Mã hạch toán theo SBV</t>
        </is>
      </c>
      <c r="M99" s="433">
        <f>"COMMENT ON COLUMN PG_SILVER."&amp;G99&amp;"."&amp;H99&amp;" IS '"&amp;K99&amp;"';"</f>
        <v/>
      </c>
    </row>
    <row r="100" ht="14.25" customHeight="1" s="335">
      <c r="A100" s="415" t="inlineStr">
        <is>
          <t>PG_BRONZE</t>
        </is>
      </c>
      <c r="B100" s="415" t="inlineStr">
        <is>
          <t>T24CORE_LD_LOANS_AND_DEPOSITS_HIS</t>
        </is>
      </c>
      <c r="C100" s="415" t="inlineStr">
        <is>
          <t>RECID</t>
        </is>
      </c>
      <c r="D100" s="415" t="inlineStr">
        <is>
          <t>'1'</t>
        </is>
      </c>
      <c r="E100" s="433" t="inlineStr">
        <is>
          <t>Loan Arrangement Profile</t>
        </is>
      </c>
      <c r="F100" s="334" t="inlineStr">
        <is>
          <t>Financial Status Code</t>
        </is>
      </c>
      <c r="G100" s="558" t="inlineStr">
        <is>
          <t>LOAN_AR_PRFL</t>
        </is>
      </c>
      <c r="H100" s="334" t="inlineStr">
        <is>
          <t>FNC_ST_CODE</t>
        </is>
      </c>
      <c r="I100" s="415" t="inlineStr">
        <is>
          <t>VARCHAR2</t>
        </is>
      </c>
      <c r="J100" s="415" t="n">
        <v>20</v>
      </c>
      <c r="K100" s="415" t="inlineStr">
        <is>
          <t>Nhóm nợ hợp đồng</t>
        </is>
      </c>
      <c r="M100" s="415">
        <f>"COMMENT ON COLUMN PG_SILVER."&amp;G100&amp;"."&amp;H100&amp;" IS '"&amp;K100&amp;"';"</f>
        <v/>
      </c>
    </row>
    <row r="101" ht="14.25" customHeight="1" s="335">
      <c r="A101" s="415" t="inlineStr">
        <is>
          <t>PG_BRONZE</t>
        </is>
      </c>
      <c r="B101" s="415" t="inlineStr">
        <is>
          <t>FLEXBO_PGB_LOS_CONTRACT_FIELDS_TDATE</t>
        </is>
      </c>
      <c r="C101" s="415" t="inlineStr">
        <is>
          <t>BDS_TT11</t>
        </is>
      </c>
      <c r="D101" s="415" t="inlineStr">
        <is>
          <t>1:1</t>
        </is>
      </c>
      <c r="E101" s="433" t="inlineStr">
        <is>
          <t>Loan Arrangement Profile</t>
        </is>
      </c>
      <c r="F101" s="334" t="inlineStr">
        <is>
          <t>Real Estate Circular 11 Code</t>
        </is>
      </c>
      <c r="G101" s="558" t="inlineStr">
        <is>
          <t>LOAN_AR_PRFL</t>
        </is>
      </c>
      <c r="H101" s="334" t="inlineStr">
        <is>
          <t>BDS_TT11</t>
        </is>
      </c>
      <c r="I101" s="415" t="inlineStr">
        <is>
          <t>VARCHAR2</t>
        </is>
      </c>
      <c r="J101" s="415" t="n">
        <v>20</v>
      </c>
      <c r="K101" s="415" t="inlineStr">
        <is>
          <t>Phân loại bất động sản theo Thông tư 11</t>
        </is>
      </c>
      <c r="M101" s="415">
        <f>"COMMENT ON COLUMN PG_SILVER."&amp;G101&amp;"."&amp;H101&amp;" IS '"&amp;K101&amp;"';"</f>
        <v/>
      </c>
      <c r="N101" s="334" t="inlineStr">
        <is>
          <t>Map 1:1 từ FLEXBO_PGB_LOS_CONTRACT_FIELDS_TDATE.BDS_TT11 (DDL R21).</t>
        </is>
      </c>
    </row>
    <row r="102" ht="14.25" customHeight="1" s="335">
      <c r="A102" s="415" t="inlineStr">
        <is>
          <t>PG_BRONZE</t>
        </is>
      </c>
      <c r="B102" s="415" t="inlineStr">
        <is>
          <t>T24CORE_LD_LOANS_AND_DEPOSITS_HIS</t>
        </is>
      </c>
      <c r="C102" s="415" t="inlineStr">
        <is>
          <t>RECID</t>
        </is>
      </c>
      <c r="D102" s="415" t="inlineStr">
        <is>
          <t>ETL_DATE if not exists AR_ID</t>
        </is>
      </c>
      <c r="E102" s="433" t="inlineStr">
        <is>
          <t>Loan Arrangement Profile</t>
        </is>
      </c>
      <c r="F102" s="415" t="inlineStr">
        <is>
          <t>System Effective Date</t>
        </is>
      </c>
      <c r="G102" s="558" t="inlineStr">
        <is>
          <t>LOAN_AR_PRFL</t>
        </is>
      </c>
      <c r="H102" s="415" t="inlineStr">
        <is>
          <t>SYS_EFF_DT</t>
        </is>
      </c>
      <c r="I102" s="415" t="inlineStr">
        <is>
          <t>DATE</t>
        </is>
      </c>
      <c r="J102" s="415" t="n"/>
      <c r="K102" s="415" t="inlineStr">
        <is>
          <t>Ngày bản ghi lần đầu tiên vào hệ thống</t>
        </is>
      </c>
      <c r="M102" s="415">
        <f>"COMMENT ON COLUMN PG_SILVER."&amp;G102&amp;"."&amp;H102&amp;" IS '"&amp;K102&amp;"';"</f>
        <v/>
      </c>
    </row>
    <row r="103" ht="14.25" customHeight="1" s="335">
      <c r="A103" s="415" t="inlineStr">
        <is>
          <t>PG_BRONZE</t>
        </is>
      </c>
      <c r="B103" s="415" t="inlineStr">
        <is>
          <t>T24CORE_LD_LOANS_AND_DEPOSITS_HIS</t>
        </is>
      </c>
      <c r="C103" s="415" t="inlineStr">
        <is>
          <t>RECID</t>
        </is>
      </c>
      <c r="D103" s="415" t="inlineStr">
        <is>
          <t>ETL_DATE if RECID was deleted</t>
        </is>
      </c>
      <c r="E103" s="433" t="inlineStr">
        <is>
          <t>Loan Arrangement Profile</t>
        </is>
      </c>
      <c r="F103" s="415" t="inlineStr">
        <is>
          <t>System Expiry Date</t>
        </is>
      </c>
      <c r="G103" s="558" t="inlineStr">
        <is>
          <t>LOAN_AR_PRFL</t>
        </is>
      </c>
      <c r="H103" s="415" t="inlineStr">
        <is>
          <t>SYS_EXP_DT</t>
        </is>
      </c>
      <c r="I103" s="415" t="inlineStr">
        <is>
          <t>DATE</t>
        </is>
      </c>
      <c r="J103" s="415" t="n"/>
      <c r="K103" s="415" t="inlineStr">
        <is>
          <t>Ngày hết hạn của bản ghi</t>
        </is>
      </c>
      <c r="M103" s="415">
        <f>"COMMENT ON COLUMN PG_SILVER."&amp;G103&amp;"."&amp;H103&amp;" IS '"&amp;K103&amp;"';"</f>
        <v/>
      </c>
    </row>
    <row r="104" ht="14.25" customHeight="1" s="335">
      <c r="A104" s="415" t="inlineStr">
        <is>
          <t>PG_BRONZE</t>
        </is>
      </c>
      <c r="B104" s="415" t="inlineStr">
        <is>
          <t>T24CORE_LD_LOANS_AND_DEPOSITS_HIS</t>
        </is>
      </c>
      <c r="C104" s="415" t="inlineStr">
        <is>
          <t>RECID</t>
        </is>
      </c>
      <c r="D104" s="415" t="inlineStr">
        <is>
          <t>ETL_DATE</t>
        </is>
      </c>
      <c r="E104" s="433" t="inlineStr">
        <is>
          <t>Loan Arrangement Profile</t>
        </is>
      </c>
      <c r="F104" s="415" t="inlineStr">
        <is>
          <t>System Update Date</t>
        </is>
      </c>
      <c r="G104" s="558" t="inlineStr">
        <is>
          <t>LOAN_AR_PRFL</t>
        </is>
      </c>
      <c r="H104" s="415" t="inlineStr">
        <is>
          <t>SYS_UDT_DT</t>
        </is>
      </c>
      <c r="I104" s="415" t="inlineStr">
        <is>
          <t>DATE</t>
        </is>
      </c>
      <c r="J104" s="415" t="n"/>
      <c r="K104" s="415" t="inlineStr">
        <is>
          <t>Ngày update dữ liệu gần nhất</t>
        </is>
      </c>
      <c r="M104" s="415">
        <f>"COMMENT ON COLUMN PG_SILVER."&amp;G104&amp;"."&amp;H104&amp;" IS '"&amp;K104&amp;"';"</f>
        <v/>
      </c>
    </row>
    <row r="105" ht="14.25" customHeight="1" s="335"/>
    <row r="106" ht="14.25" customHeight="1" s="335">
      <c r="A106" s="500" t="inlineStr">
        <is>
          <t>UNION ALL</t>
        </is>
      </c>
      <c r="B106" s="500" t="n"/>
      <c r="C106" s="500" t="n"/>
      <c r="D106" s="500" t="n"/>
      <c r="E106" s="500" t="n"/>
      <c r="F106" s="500" t="n"/>
      <c r="G106" s="500" t="n"/>
      <c r="H106" s="500" t="n"/>
      <c r="I106" s="500" t="n"/>
      <c r="J106" s="500" t="n"/>
      <c r="K106" s="500" t="n"/>
    </row>
    <row r="107" ht="14.25" customHeight="1" s="335">
      <c r="A107" s="432" t="inlineStr">
        <is>
          <t>Nguồn</t>
        </is>
      </c>
      <c r="B107" s="432" t="inlineStr">
        <is>
          <t>Bảng nguồn</t>
        </is>
      </c>
      <c r="C107" s="432" t="inlineStr">
        <is>
          <t>Short table</t>
        </is>
      </c>
      <c r="D107" s="432" t="inlineStr">
        <is>
          <t>Business Rule</t>
        </is>
      </c>
      <c r="E107" s="432" t="n"/>
      <c r="F107" s="432" t="n"/>
      <c r="G107" s="432" t="n"/>
      <c r="H107" s="432" t="n"/>
      <c r="I107" s="432" t="n"/>
      <c r="J107" s="432" t="n"/>
      <c r="K107" s="432" t="n"/>
    </row>
    <row r="108" ht="14.25" customHeight="1" s="335">
      <c r="A108" s="433" t="inlineStr">
        <is>
          <t>PG_BRONZE</t>
        </is>
      </c>
      <c r="B108" s="415" t="inlineStr">
        <is>
          <t>T24CORE_PD_PAYMENT_DUE</t>
        </is>
      </c>
      <c r="C108" s="433" t="inlineStr">
        <is>
          <t>d</t>
        </is>
      </c>
      <c r="D108" s="433" t="inlineStr">
        <is>
          <t>WHERE NVL(d.FLAG_STATUS, '_') &lt;&gt; 'DELETE'</t>
        </is>
      </c>
      <c r="E108" s="433" t="n"/>
      <c r="F108" s="435" t="n"/>
      <c r="G108" s="435" t="n"/>
      <c r="H108" s="435" t="n"/>
      <c r="I108" s="435" t="n"/>
      <c r="J108" s="435" t="n"/>
      <c r="K108" s="435" t="n"/>
    </row>
    <row r="109" ht="14.25" customHeight="1" s="335">
      <c r="A109" s="433" t="inlineStr">
        <is>
          <t>PG_BRONZE</t>
        </is>
      </c>
      <c r="B109" s="415" t="inlineStr">
        <is>
          <t>T24CORE_PD_PAYMENT_DUE_MV</t>
        </is>
      </c>
      <c r="C109" s="443" t="inlineStr">
        <is>
          <t>d1</t>
        </is>
      </c>
      <c r="D109" s="443" t="inlineStr">
        <is>
          <t>(LEFT JOIN) (SELECT RECID, MAX(CO_CODE) AS CO_CODE, MAX(REPAYMENT_ACCT) AS REPAYMENT_ACCT FROM PG_BRONZE.T24CORE_PD_PAYMENT_DUE_MV WHERE NVL(FLAG_STATUS, '_') &lt;&gt; 'DELETE' GROUP BY RECID) d1 ON d.RECID = d1.RECID</t>
        </is>
      </c>
      <c r="E109" s="433" t="n"/>
      <c r="F109" s="435" t="n"/>
      <c r="G109" s="435" t="n"/>
      <c r="H109" s="435" t="n"/>
      <c r="I109" s="435" t="n"/>
      <c r="J109" s="435" t="n"/>
      <c r="K109" s="435" t="n"/>
    </row>
    <row r="110" ht="14.25" customHeight="1" s="335">
      <c r="G110" s="500" t="n"/>
      <c r="H110" s="500" t="n"/>
      <c r="I110" s="500" t="n"/>
      <c r="J110" s="500" t="n"/>
      <c r="K110" s="500" t="n"/>
    </row>
    <row r="111" ht="14.25" customHeight="1" s="335">
      <c r="G111" s="500" t="n"/>
      <c r="H111" s="500" t="n"/>
      <c r="I111" s="500" t="n"/>
      <c r="J111" s="500" t="n"/>
      <c r="K111" s="500" t="n"/>
    </row>
    <row r="112" ht="14.25" customHeight="1" s="335">
      <c r="G112" s="500" t="n"/>
      <c r="H112" s="500" t="n"/>
      <c r="I112" s="500" t="n"/>
      <c r="J112" s="500" t="n"/>
      <c r="K112" s="500" t="n"/>
    </row>
    <row r="113" ht="41.25" customHeight="1" s="335">
      <c r="A113" s="432" t="inlineStr">
        <is>
          <t>Nguồn</t>
        </is>
      </c>
      <c r="B113" s="432" t="inlineStr">
        <is>
          <t>Bảng nguồn</t>
        </is>
      </c>
      <c r="C113" s="432" t="inlineStr">
        <is>
          <t>Cột nguồn</t>
        </is>
      </c>
      <c r="D113" s="432" t="inlineStr">
        <is>
          <t>Transform</t>
        </is>
      </c>
      <c r="E113" s="432" t="inlineStr">
        <is>
          <t>Entity</t>
        </is>
      </c>
      <c r="F113" s="432" t="inlineStr">
        <is>
          <t>Attribute</t>
        </is>
      </c>
      <c r="G113" s="432" t="inlineStr">
        <is>
          <t>Bảng đích</t>
        </is>
      </c>
      <c r="H113" s="432" t="inlineStr">
        <is>
          <t>Cột đích</t>
        </is>
      </c>
      <c r="I113" s="432" t="inlineStr">
        <is>
          <t>Kiểu dữ liệu</t>
        </is>
      </c>
      <c r="J113" s="432" t="inlineStr">
        <is>
          <t>Độ dài</t>
        </is>
      </c>
      <c r="K113" s="432" t="inlineStr">
        <is>
          <t>Diễn giải</t>
        </is>
      </c>
      <c r="L113" s="432" t="inlineStr">
        <is>
          <t>Glossary</t>
        </is>
      </c>
      <c r="M113" s="432" t="inlineStr">
        <is>
          <t>DDL Comment</t>
        </is>
      </c>
      <c r="N113" s="413" t="inlineStr">
        <is>
          <t>Ghi chú kỹ thuật &amp; Business Rule</t>
        </is>
      </c>
    </row>
    <row r="114" ht="14.25" customHeight="1" s="335">
      <c r="A114" s="334" t="inlineStr">
        <is>
          <t>PG_BRONZE</t>
        </is>
      </c>
      <c r="B114" s="438" t="inlineStr">
        <is>
          <t>T24CORE_PD_PAYMENT_DUE</t>
        </is>
      </c>
      <c r="C114" s="334" t="inlineStr">
        <is>
          <t>RECID</t>
        </is>
      </c>
      <c r="D114" s="334" t="inlineStr">
        <is>
          <t>'T24_PD_PAYMENT_DUE'</t>
        </is>
      </c>
      <c r="E114" s="558" t="inlineStr">
        <is>
          <t>Loan Arrangement Profile</t>
        </is>
      </c>
      <c r="F114" s="415" t="inlineStr">
        <is>
          <t>Source System Code</t>
        </is>
      </c>
      <c r="G114" s="558" t="inlineStr">
        <is>
          <t>LOAN_AR_PRFL</t>
        </is>
      </c>
      <c r="H114" s="415" t="inlineStr">
        <is>
          <t>SRC_STM_CODE</t>
        </is>
      </c>
      <c r="I114" s="467" t="inlineStr">
        <is>
          <t>VARCHAR2</t>
        </is>
      </c>
      <c r="J114" s="467" t="n">
        <v>40</v>
      </c>
      <c r="K114" s="415" t="inlineStr">
        <is>
          <t>Mã hệ thống nguồn dữ liệu</t>
        </is>
      </c>
      <c r="L114" s="588" t="n"/>
      <c r="M114" s="415">
        <f>"COMMENT ON COLUMN PG_SILVER."&amp;G114&amp;"."&amp;H114&amp;" IS '"&amp;K114&amp;"';"</f>
        <v/>
      </c>
      <c r="N114" s="588" t="n"/>
    </row>
    <row r="115" ht="14.25" customHeight="1" s="335">
      <c r="A115" s="433" t="inlineStr">
        <is>
          <t>PG_BRONZE</t>
        </is>
      </c>
      <c r="B115" s="415" t="inlineStr">
        <is>
          <t>T24CORE_PD_PAYMENT_DUE</t>
        </is>
      </c>
      <c r="C115" s="433" t="inlineStr">
        <is>
          <t>RECID</t>
        </is>
      </c>
      <c r="D115" s="441" t="inlineStr">
        <is>
          <t>fn_hash("T24_LD_LOANS_AND_DEPOSITS", SUBSTR(d.RECID, 1, 14))</t>
        </is>
      </c>
      <c r="E115" s="433" t="inlineStr">
        <is>
          <t>Loan Arrangement Profile</t>
        </is>
      </c>
      <c r="F115" s="433" t="inlineStr">
        <is>
          <t>Arrangement ID</t>
        </is>
      </c>
      <c r="G115" s="558" t="inlineStr">
        <is>
          <t>LOAN_AR_PRFL</t>
        </is>
      </c>
      <c r="H115" s="558" t="inlineStr">
        <is>
          <t>AR_ID</t>
        </is>
      </c>
      <c r="I115" s="415" t="inlineStr">
        <is>
          <t>CHAR</t>
        </is>
      </c>
      <c r="J115" s="415" t="n">
        <v>32</v>
      </c>
      <c r="K115" s="415" t="inlineStr">
        <is>
          <t>Unique key trên DWH</t>
        </is>
      </c>
      <c r="M115" s="415">
        <f>"COMMENT ON COLUMN PG_SILVER."&amp;G115&amp;"."&amp;H115&amp;" IS '"&amp;K115&amp;"';"</f>
        <v/>
      </c>
      <c r="N115" s="414" t="inlineStr">
        <is>
          <t>Sửa thành `SUBSTR(d.RECID, 1, 14)`.</t>
        </is>
      </c>
    </row>
    <row r="116" ht="14.25" customHeight="1" s="335">
      <c r="A116" s="433" t="inlineStr">
        <is>
          <t>PG_BRONZE</t>
        </is>
      </c>
      <c r="B116" s="415" t="inlineStr">
        <is>
          <t>T24CORE_PD_PAYMENT_DUE</t>
        </is>
      </c>
      <c r="C116" s="433" t="inlineStr">
        <is>
          <t>RECID</t>
        </is>
      </c>
      <c r="D116" s="433" t="inlineStr">
        <is>
          <t>SUBSTR(d.RECID, 1, 14)</t>
        </is>
      </c>
      <c r="E116" s="433" t="inlineStr">
        <is>
          <t>Loan Arrangement Profile</t>
        </is>
      </c>
      <c r="F116" s="433" t="inlineStr">
        <is>
          <t>Arrangement Code</t>
        </is>
      </c>
      <c r="G116" s="558" t="inlineStr">
        <is>
          <t>LOAN_AR_PRFL</t>
        </is>
      </c>
      <c r="H116" s="558" t="inlineStr">
        <is>
          <t>AR_CODE</t>
        </is>
      </c>
      <c r="I116" s="415" t="inlineStr">
        <is>
          <t>VARCHAR2</t>
        </is>
      </c>
      <c r="J116" s="415" t="n">
        <v>40</v>
      </c>
      <c r="K116" s="433" t="inlineStr">
        <is>
          <t>Mã hợp đồng</t>
        </is>
      </c>
      <c r="M116" s="433">
        <f>"COMMENT ON COLUMN PG_SILVER."&amp;G116&amp;"."&amp;H116&amp;" IS '"&amp;K116&amp;"';"</f>
        <v/>
      </c>
      <c r="N116" s="334" t="inlineStr">
        <is>
          <t>Cắt SUBSTR(d.RECID, 1, 14) cho AR_CODE ở Nhánh 3 (PD) để đồng bộ 100% với khóa băm AR_ID ở dòng 113.</t>
        </is>
      </c>
    </row>
    <row r="117" ht="14.25" customHeight="1" s="335">
      <c r="A117" s="433" t="inlineStr">
        <is>
          <t>PG_BRONZE</t>
        </is>
      </c>
      <c r="B117" s="415" t="inlineStr">
        <is>
          <t>T24CORE_PD_PAYMENT_DUE, T24CORE_PD_PAYMENT_DUE_MV</t>
        </is>
      </c>
      <c r="C117" s="433" t="inlineStr">
        <is>
          <t>REPAYMENT_ACCT</t>
        </is>
      </c>
      <c r="D117" s="433" t="inlineStr">
        <is>
          <t>COALESCE(d.REPAYMENT_ACCT, d1.REPAYMENT_ACCT)</t>
        </is>
      </c>
      <c r="E117" s="433" t="inlineStr">
        <is>
          <t>Loan Arrangement Profile</t>
        </is>
      </c>
      <c r="F117" s="433" t="inlineStr">
        <is>
          <t>Interest Liquid Arrangement Code</t>
        </is>
      </c>
      <c r="G117" s="558" t="inlineStr">
        <is>
          <t>LOAN_AR_PRFL</t>
        </is>
      </c>
      <c r="H117" s="558" t="inlineStr">
        <is>
          <t>INT_LQD_AR_CODE</t>
        </is>
      </c>
      <c r="I117" s="415" t="inlineStr">
        <is>
          <t>VARCHAR2</t>
        </is>
      </c>
      <c r="J117" s="415" t="n">
        <v>40</v>
      </c>
      <c r="K117" s="433" t="inlineStr">
        <is>
          <t>Tài khoản thanh toán lãi</t>
        </is>
      </c>
      <c r="M117" s="433">
        <f>"COMMENT ON COLUMN PG_SILVER."&amp;G117&amp;"."&amp;H117&amp;" IS '"&amp;K117&amp;"';"</f>
        <v/>
      </c>
    </row>
    <row r="118" ht="14.25" customHeight="1" s="335">
      <c r="A118" s="433" t="inlineStr">
        <is>
          <t>PG_BRONZE</t>
        </is>
      </c>
      <c r="B118" s="415" t="inlineStr">
        <is>
          <t>T24CORE_PD_PAYMENT_DUE, T24CORE_PD_PAYMENT_DUE_MV</t>
        </is>
      </c>
      <c r="C118" s="433" t="inlineStr">
        <is>
          <t>REPAYMENT_ACCT</t>
        </is>
      </c>
      <c r="D118" s="433" t="inlineStr">
        <is>
          <t>CASE WHEN COALESCE(d.REPAYMENT_ACCT, d1.REPAYMENT_ACCT) IS NOT NULL THEN fn_hash("T24_LD_LOANS_AND_DEPOSITS", COALESCE(d.REPAYMENT_ACCT, d1.REPAYMENT_ACCT)) ELSE NULL END</t>
        </is>
      </c>
      <c r="E118" s="433" t="inlineStr">
        <is>
          <t>Loan Arrangement Profile</t>
        </is>
      </c>
      <c r="F118" s="433" t="inlineStr">
        <is>
          <t>Interest Liquid Arrangement Id</t>
        </is>
      </c>
      <c r="G118" s="558" t="inlineStr">
        <is>
          <t>LOAN_AR_PRFL</t>
        </is>
      </c>
      <c r="H118" s="558" t="inlineStr">
        <is>
          <t>INT_LQD_AR_ID</t>
        </is>
      </c>
      <c r="I118" s="415" t="inlineStr">
        <is>
          <t>CHAR</t>
        </is>
      </c>
      <c r="J118" s="415" t="n">
        <v>32</v>
      </c>
      <c r="K118" s="433" t="inlineStr">
        <is>
          <t>Tài khoản thanh toán lãi</t>
        </is>
      </c>
      <c r="M118" s="433">
        <f>"COMMENT ON COLUMN PG_SILVER."&amp;G118&amp;"."&amp;H118&amp;" IS '"&amp;K118&amp;"';"</f>
        <v/>
      </c>
      <c r="N118" s="334" t="inlineStr">
        <is>
          <t>Băm khóa `fn_hash("T24_LD_LOANS_AND_DEPOSITS", d.REPAYMENT_ACCT)` đồng bộ với INT_LQD_AR_CODE (R115).</t>
        </is>
      </c>
    </row>
    <row r="119" ht="14.25" customHeight="1" s="335">
      <c r="A119" s="433" t="inlineStr">
        <is>
          <t>PG_BRONZE</t>
        </is>
      </c>
      <c r="B119" s="415" t="inlineStr">
        <is>
          <t>T24CORE_PD_PAYMENT_DUE</t>
        </is>
      </c>
      <c r="C119" s="433" t="inlineStr">
        <is>
          <t>RECID</t>
        </is>
      </c>
      <c r="D119" s="433" t="inlineStr">
        <is>
          <t>NULL</t>
        </is>
      </c>
      <c r="E119" s="433" t="inlineStr">
        <is>
          <t>Loan Arrangement Profile</t>
        </is>
      </c>
      <c r="F119" s="433" t="inlineStr">
        <is>
          <t>Principal Liquid Arrangement Code</t>
        </is>
      </c>
      <c r="G119" s="558" t="inlineStr">
        <is>
          <t>LOAN_AR_PRFL</t>
        </is>
      </c>
      <c r="H119" s="558" t="inlineStr">
        <is>
          <t>PNP_LQD_AR_CODE</t>
        </is>
      </c>
      <c r="I119" s="415" t="inlineStr">
        <is>
          <t>VARCHAR2</t>
        </is>
      </c>
      <c r="J119" s="415" t="n">
        <v>40</v>
      </c>
      <c r="K119" s="433" t="inlineStr">
        <is>
          <t>Tài khoản thanh toán gốc</t>
        </is>
      </c>
      <c r="M119" s="433">
        <f>"COMMENT ON COLUMN PG_SILVER."&amp;G119&amp;"."&amp;H119&amp;" IS '"&amp;K119&amp;"';"</f>
        <v/>
      </c>
    </row>
    <row r="120" ht="14.25" customHeight="1" s="335">
      <c r="A120" s="433" t="inlineStr">
        <is>
          <t>PG_BRONZE</t>
        </is>
      </c>
      <c r="B120" s="415" t="inlineStr">
        <is>
          <t>T24CORE_PD_PAYMENT_DUE</t>
        </is>
      </c>
      <c r="C120" s="433" t="inlineStr">
        <is>
          <t>RECID</t>
        </is>
      </c>
      <c r="D120" s="433" t="inlineStr">
        <is>
          <t>NULL</t>
        </is>
      </c>
      <c r="E120" s="433" t="inlineStr">
        <is>
          <t>Loan Arrangement Profile</t>
        </is>
      </c>
      <c r="F120" s="433" t="inlineStr">
        <is>
          <t>Principal Liquid Arrangement Id</t>
        </is>
      </c>
      <c r="G120" s="558" t="inlineStr">
        <is>
          <t>LOAN_AR_PRFL</t>
        </is>
      </c>
      <c r="H120" s="558" t="inlineStr">
        <is>
          <t>PNP_LQD_AR_ID</t>
        </is>
      </c>
      <c r="I120" s="415" t="inlineStr">
        <is>
          <t>CHAR</t>
        </is>
      </c>
      <c r="J120" s="415" t="n">
        <v>32</v>
      </c>
      <c r="K120" s="433" t="inlineStr">
        <is>
          <t>Tài khoản thanh toán gốc</t>
        </is>
      </c>
      <c r="M120" s="433">
        <f>"COMMENT ON COLUMN PG_SILVER."&amp;G120&amp;"."&amp;H120&amp;" IS '"&amp;K120&amp;"';"</f>
        <v/>
      </c>
    </row>
    <row r="121" ht="14.25" customHeight="1" s="335">
      <c r="A121" s="433" t="inlineStr">
        <is>
          <t>PG_BRONZE</t>
        </is>
      </c>
      <c r="B121" s="415" t="inlineStr">
        <is>
          <t>T24CORE_PD_PAYMENT_DUE</t>
        </is>
      </c>
      <c r="C121" s="433" t="inlineStr">
        <is>
          <t>STATUS</t>
        </is>
      </c>
      <c r="D121" s="433" t="inlineStr">
        <is>
          <t>1:1</t>
        </is>
      </c>
      <c r="E121" s="433" t="inlineStr">
        <is>
          <t>Loan Arrangement Profile</t>
        </is>
      </c>
      <c r="F121" s="433" t="inlineStr">
        <is>
          <t>Arrangement Life Cycle Status Type Code</t>
        </is>
      </c>
      <c r="G121" s="558" t="inlineStr">
        <is>
          <t>LOAN_AR_PRFL</t>
        </is>
      </c>
      <c r="H121" s="558" t="inlineStr">
        <is>
          <t>AR_LCS_TP_CODE</t>
        </is>
      </c>
      <c r="I121" s="415" t="inlineStr">
        <is>
          <t>VARCHAR2</t>
        </is>
      </c>
      <c r="J121" s="415" t="n">
        <v>40</v>
      </c>
      <c r="K121" s="433" t="inlineStr">
        <is>
          <t>Trạng thái</t>
        </is>
      </c>
      <c r="M121" s="433">
        <f>"COMMENT ON COLUMN PG_SILVER."&amp;G121&amp;"."&amp;H121&amp;" IS '"&amp;K121&amp;"';"</f>
        <v/>
      </c>
    </row>
    <row r="122" ht="14.25" customHeight="1" s="335">
      <c r="A122" s="433" t="inlineStr">
        <is>
          <t>PG_BRONZE</t>
        </is>
      </c>
      <c r="B122" s="415" t="inlineStr">
        <is>
          <t>T24CORE_PD_PAYMENT_DUE_MV</t>
        </is>
      </c>
      <c r="C122" s="433" t="inlineStr">
        <is>
          <t>CO_CODE</t>
        </is>
      </c>
      <c r="D122" s="433" t="inlineStr">
        <is>
          <t>1:1</t>
        </is>
      </c>
      <c r="E122" s="433" t="inlineStr">
        <is>
          <t>Loan Arrangement Profile</t>
        </is>
      </c>
      <c r="F122" s="415" t="inlineStr">
        <is>
          <t>Organization Unit Code</t>
        </is>
      </c>
      <c r="G122" s="558" t="inlineStr">
        <is>
          <t>LOAN_AR_PRFL</t>
        </is>
      </c>
      <c r="H122" s="558" t="inlineStr">
        <is>
          <t>OU_CODE</t>
        </is>
      </c>
      <c r="I122" s="415" t="inlineStr">
        <is>
          <t>VARCHAR2</t>
        </is>
      </c>
      <c r="J122" s="415" t="n">
        <v>32</v>
      </c>
      <c r="K122" s="433" t="inlineStr">
        <is>
          <t>Mã chi nhánh quản lý hiện tại</t>
        </is>
      </c>
      <c r="M122" s="433">
        <f>"COMMENT ON COLUMN PG_SILVER."&amp;G122&amp;"."&amp;H122&amp;" IS '"&amp;K122&amp;"';"</f>
        <v/>
      </c>
    </row>
    <row r="123" ht="14.25" customHeight="1" s="335">
      <c r="A123" s="433" t="inlineStr">
        <is>
          <t>PG_BRONZE</t>
        </is>
      </c>
      <c r="B123" s="415" t="inlineStr">
        <is>
          <t>T24CORE_PD_PAYMENT_DUE</t>
        </is>
      </c>
      <c r="C123" s="433" t="inlineStr">
        <is>
          <t>RECID</t>
        </is>
      </c>
      <c r="D123" s="433" t="inlineStr">
        <is>
          <t>NULL</t>
        </is>
      </c>
      <c r="E123" s="433" t="inlineStr">
        <is>
          <t>Loan Arrangement Profile</t>
        </is>
      </c>
      <c r="F123" s="433" t="inlineStr">
        <is>
          <t>Mandatory Repayment</t>
        </is>
      </c>
      <c r="G123" s="558" t="inlineStr">
        <is>
          <t>LOAN_AR_PRFL</t>
        </is>
      </c>
      <c r="H123" s="433" t="inlineStr">
        <is>
          <t>MAND_REPYMT</t>
        </is>
      </c>
      <c r="I123" s="415" t="inlineStr">
        <is>
          <t>VARCHAR2</t>
        </is>
      </c>
      <c r="J123" s="415" t="n">
        <v>20</v>
      </c>
      <c r="K123" s="433" t="inlineStr">
        <is>
          <t>Giá trị UDF</t>
        </is>
      </c>
      <c r="M123" s="433">
        <f>"COMMENT ON COLUMN PG_SILVER."&amp;G123&amp;"."&amp;H123&amp;" IS '"&amp;K123&amp;"';"</f>
        <v/>
      </c>
    </row>
    <row r="124" ht="14.25" customHeight="1" s="335">
      <c r="A124" s="433" t="inlineStr">
        <is>
          <t>PG_BRONZE</t>
        </is>
      </c>
      <c r="B124" s="415" t="inlineStr">
        <is>
          <t>T24CORE_PD_PAYMENT_DUE</t>
        </is>
      </c>
      <c r="C124" s="433" t="inlineStr">
        <is>
          <t>RECID</t>
        </is>
      </c>
      <c r="D124" s="433" t="inlineStr">
        <is>
          <t>NULL</t>
        </is>
      </c>
      <c r="E124" s="433" t="inlineStr">
        <is>
          <t>Loan Arrangement Profile</t>
        </is>
      </c>
      <c r="F124" s="334" t="inlineStr">
        <is>
          <t>Number of debt restructurings</t>
        </is>
      </c>
      <c r="G124" s="558" t="inlineStr">
        <is>
          <t>LOAN_AR_PRFL</t>
        </is>
      </c>
      <c r="H124" s="433" t="inlineStr">
        <is>
          <t>NBR_OF_DBT_RSTC</t>
        </is>
      </c>
      <c r="I124" s="415" t="inlineStr">
        <is>
          <t>NUMBER</t>
        </is>
      </c>
      <c r="J124" s="415" t="n">
        <v>22</v>
      </c>
      <c r="K124" s="433" t="inlineStr">
        <is>
          <t>Giá trị tương ứng với từng trường</t>
        </is>
      </c>
      <c r="M124" s="433">
        <f>"COMMENT ON COLUMN PG_SILVER."&amp;G124&amp;"."&amp;H124&amp;" IS '"&amp;K124&amp;"';"</f>
        <v/>
      </c>
    </row>
    <row r="125" ht="14.25" customHeight="1" s="335">
      <c r="A125" s="433" t="inlineStr">
        <is>
          <t>PG_BRONZE</t>
        </is>
      </c>
      <c r="B125" s="415" t="inlineStr">
        <is>
          <t>T24CORE_PD_PAYMENT_DUE</t>
        </is>
      </c>
      <c r="C125" s="433" t="inlineStr">
        <is>
          <t>RECID</t>
        </is>
      </c>
      <c r="D125" s="433" t="inlineStr">
        <is>
          <t>NULL</t>
        </is>
      </c>
      <c r="E125" s="433" t="inlineStr">
        <is>
          <t>Loan Arrangement Profile</t>
        </is>
      </c>
      <c r="F125" s="433" t="inlineStr">
        <is>
          <t>Security Type</t>
        </is>
      </c>
      <c r="G125" s="558" t="inlineStr">
        <is>
          <t>LOAN_AR_PRFL</t>
        </is>
      </c>
      <c r="H125" s="433" t="inlineStr">
        <is>
          <t>SCR_TP</t>
        </is>
      </c>
      <c r="I125" s="415" t="inlineStr">
        <is>
          <t>VARCHAR2</t>
        </is>
      </c>
      <c r="J125" s="415" t="n">
        <v>20</v>
      </c>
      <c r="K125" s="433" t="inlineStr">
        <is>
          <t>Giá trị tương ứng với từng trường</t>
        </is>
      </c>
      <c r="M125" s="433">
        <f>"COMMENT ON COLUMN PG_SILVER."&amp;G125&amp;"."&amp;H125&amp;" IS '"&amp;K125&amp;"';"</f>
        <v/>
      </c>
    </row>
    <row r="126" ht="14.25" customHeight="1" s="335">
      <c r="A126" s="433" t="inlineStr">
        <is>
          <t>PG_BRONZE</t>
        </is>
      </c>
      <c r="B126" s="415" t="inlineStr">
        <is>
          <t>T24CORE_PD_PAYMENT_DUE</t>
        </is>
      </c>
      <c r="C126" s="433" t="inlineStr">
        <is>
          <t>RECID</t>
        </is>
      </c>
      <c r="D126" s="433" t="inlineStr">
        <is>
          <t>NULL</t>
        </is>
      </c>
      <c r="E126" s="433" t="inlineStr">
        <is>
          <t>Loan Arrangement Profile</t>
        </is>
      </c>
      <c r="F126" s="433" t="inlineStr">
        <is>
          <t>LOS Application Code</t>
        </is>
      </c>
      <c r="G126" s="558" t="inlineStr">
        <is>
          <t>LOAN_AR_PRFL</t>
        </is>
      </c>
      <c r="H126" s="433" t="inlineStr">
        <is>
          <t>CAR_AP_CODE</t>
        </is>
      </c>
      <c r="I126" s="415" t="inlineStr">
        <is>
          <t>VARCHAR2</t>
        </is>
      </c>
      <c r="J126" s="415" t="n">
        <v>40</v>
      </c>
      <c r="K126" s="433" t="inlineStr">
        <is>
          <t>Mã hồ sơ LOS</t>
        </is>
      </c>
      <c r="M126" s="433">
        <f>"COMMENT ON COLUMN PG_SILVER."&amp;G126&amp;"."&amp;H126&amp;" IS '"&amp;K126&amp;"';"</f>
        <v/>
      </c>
    </row>
    <row r="127" ht="14.25" customHeight="1" s="335">
      <c r="A127" s="433" t="inlineStr">
        <is>
          <t>PG_BRONZE</t>
        </is>
      </c>
      <c r="B127" s="415" t="inlineStr">
        <is>
          <t>T24CORE_PD_PAYMENT_DUE</t>
        </is>
      </c>
      <c r="C127" s="433" t="inlineStr">
        <is>
          <t>RECID</t>
        </is>
      </c>
      <c r="D127" s="433" t="inlineStr">
        <is>
          <t>NULL</t>
        </is>
      </c>
      <c r="E127" s="433" t="inlineStr">
        <is>
          <t>Loan Arrangement Profile</t>
        </is>
      </c>
      <c r="F127" s="334" t="inlineStr">
        <is>
          <t>LOS Contract Code</t>
        </is>
      </c>
      <c r="G127" s="558" t="inlineStr">
        <is>
          <t>LOAN_AR_PRFL</t>
        </is>
      </c>
      <c r="H127" s="433" t="inlineStr">
        <is>
          <t>LOS_CTR_CODE</t>
        </is>
      </c>
      <c r="I127" s="415" t="inlineStr">
        <is>
          <t>VARCHAR2</t>
        </is>
      </c>
      <c r="J127" s="415" t="n">
        <v>40</v>
      </c>
      <c r="K127" s="334" t="inlineStr">
        <is>
          <t>mã hợp đồng vay</t>
        </is>
      </c>
      <c r="M127" s="334">
        <f>"COMMENT ON COLUMN PG_SILVER."&amp;G127&amp;"."&amp;H127&amp;" IS '"&amp;K127&amp;"';"</f>
        <v/>
      </c>
      <c r="N127" s="334" t="inlineStr">
        <is>
          <t>Đồng bộ lại thứ tự 3 cột LOS_CTR_CODE -&gt; LOS_CTR_ID -&gt; DBT_WVR_F ở Nhánh 3 (PD_PAYMENT_DUE) khớp 100% với Nhánh 1 (LD) và Nhánh 2 (LD_HIS) khi UNION ALL.</t>
        </is>
      </c>
    </row>
    <row r="128" ht="14.25" customHeight="1" s="335">
      <c r="A128" s="433" t="inlineStr">
        <is>
          <t>PG_BRONZE</t>
        </is>
      </c>
      <c r="B128" s="415" t="inlineStr">
        <is>
          <t>T24CORE_PD_PAYMENT_DUE</t>
        </is>
      </c>
      <c r="C128" s="433" t="inlineStr">
        <is>
          <t>RECID</t>
        </is>
      </c>
      <c r="D128" s="433" t="inlineStr">
        <is>
          <t>NULL</t>
        </is>
      </c>
      <c r="E128" s="433" t="inlineStr">
        <is>
          <t>Loan Arrangement Profile</t>
        </is>
      </c>
      <c r="F128" s="334" t="inlineStr">
        <is>
          <t>LOS Contract ID</t>
        </is>
      </c>
      <c r="G128" s="558" t="inlineStr">
        <is>
          <t>LOAN_AR_PRFL</t>
        </is>
      </c>
      <c r="H128" s="558" t="inlineStr">
        <is>
          <t>LOS_CTR_ID</t>
        </is>
      </c>
      <c r="I128" s="415" t="inlineStr">
        <is>
          <t>VARCHAR2</t>
        </is>
      </c>
      <c r="J128" s="415" t="n">
        <v>20</v>
      </c>
      <c r="K128" s="334" t="inlineStr">
        <is>
          <t>mã hồ sơ trên LOS</t>
        </is>
      </c>
      <c r="M128" s="334">
        <f>"COMMENT ON COLUMN PG_SILVER."&amp;G128&amp;"."&amp;H128&amp;" IS '"&amp;K128&amp;"';"</f>
        <v/>
      </c>
      <c r="N128" s="334" t="inlineStr">
        <is>
          <t>Đồng bộ lại thứ tự 3 cột LOS_CTR_CODE -&gt; LOS_CTR_ID -&gt; DBT_WVR_F ở Nhánh 3 (PD_PAYMENT_DUE) khớp 100% với Nhánh 1 (LD) và Nhánh 2 (LD_HIS) khi UNION ALL.</t>
        </is>
      </c>
    </row>
    <row r="129" ht="14.25" customHeight="1" s="335">
      <c r="A129" s="433" t="inlineStr">
        <is>
          <t>PG_BRONZE</t>
        </is>
      </c>
      <c r="B129" s="415" t="inlineStr">
        <is>
          <t>T24CORE_PD_PAYMENT_DUE</t>
        </is>
      </c>
      <c r="C129" s="433" t="inlineStr">
        <is>
          <t>RECID</t>
        </is>
      </c>
      <c r="D129" s="433" t="inlineStr">
        <is>
          <t>NULL</t>
        </is>
      </c>
      <c r="E129" s="433" t="inlineStr">
        <is>
          <t>Loan Arrangement Profile</t>
        </is>
      </c>
      <c r="F129" s="433" t="inlineStr">
        <is>
          <t>Debt Waiver Flag</t>
        </is>
      </c>
      <c r="G129" s="558" t="inlineStr">
        <is>
          <t>LOAN_AR_PRFL</t>
        </is>
      </c>
      <c r="H129" s="433" t="inlineStr">
        <is>
          <t>DBT_WVR_F</t>
        </is>
      </c>
      <c r="I129" s="415" t="inlineStr">
        <is>
          <t>VARCHAR2</t>
        </is>
      </c>
      <c r="J129" s="415" t="n">
        <v>20</v>
      </c>
      <c r="K129" s="433" t="inlineStr">
        <is>
          <t>Cờ đánh dấu cơ cấu nợ miễn giảm lãi</t>
        </is>
      </c>
      <c r="M129" s="433">
        <f>"COMMENT ON COLUMN PG_SILVER."&amp;G129&amp;"."&amp;H129&amp;" IS '"&amp;K129&amp;"';"</f>
        <v/>
      </c>
      <c r="N129" s="334" t="inlineStr">
        <is>
          <t>Đồng bộ lại thứ tự 3 cột LOS_CTR_CODE -&gt; LOS_CTR_ID -&gt; DBT_WVR_F ở Nhánh 3 (PD_PAYMENT_DUE) khớp 100% với Nhánh 1 (LD) và Nhánh 2 (LD_HIS) khi UNION ALL.</t>
        </is>
      </c>
    </row>
    <row r="130" ht="14.25" customHeight="1" s="335">
      <c r="A130" s="433" t="inlineStr">
        <is>
          <t>PG_BRONZE</t>
        </is>
      </c>
      <c r="B130" s="415" t="inlineStr">
        <is>
          <t>T24CORE_PD_PAYMENT_DUE</t>
        </is>
      </c>
      <c r="C130" s="433" t="inlineStr">
        <is>
          <t>RECID</t>
        </is>
      </c>
      <c r="D130" s="433" t="inlineStr">
        <is>
          <t>NULL</t>
        </is>
      </c>
      <c r="E130" s="433" t="inlineStr">
        <is>
          <t>Loan Arrangement Profile</t>
        </is>
      </c>
      <c r="F130" s="433" t="inlineStr">
        <is>
          <t>Arrangement purpose by industry</t>
        </is>
      </c>
      <c r="G130" s="558" t="inlineStr">
        <is>
          <t>LOAN_AR_PRFL</t>
        </is>
      </c>
      <c r="H130" s="433" t="inlineStr">
        <is>
          <t>AR_PPS_BY_IDY</t>
        </is>
      </c>
      <c r="I130" s="415" t="inlineStr">
        <is>
          <t>VARCHAR2</t>
        </is>
      </c>
      <c r="J130" s="415" t="n">
        <v>20</v>
      </c>
      <c r="K130" s="433" t="inlineStr">
        <is>
          <t>Mục đích vay theo ngành kinh tế</t>
        </is>
      </c>
      <c r="M130" s="433">
        <f>"COMMENT ON COLUMN PG_SILVER."&amp;G130&amp;"."&amp;H130&amp;" IS '"&amp;K130&amp;"';"</f>
        <v/>
      </c>
    </row>
    <row r="131" ht="14.25" customHeight="1" s="335">
      <c r="A131" s="455" t="inlineStr">
        <is>
          <t>PG_BRONZE</t>
        </is>
      </c>
      <c r="B131" s="456" t="inlineStr">
        <is>
          <t>T24CORE_PD_PAYMENT_DUE</t>
        </is>
      </c>
      <c r="C131" s="455" t="inlineStr">
        <is>
          <t>RECID</t>
        </is>
      </c>
      <c r="D131" s="455" t="inlineStr">
        <is>
          <t>NULL</t>
        </is>
      </c>
      <c r="E131" s="455" t="inlineStr">
        <is>
          <t>Loan Arrangement Profile</t>
        </is>
      </c>
      <c r="F131" s="455" t="inlineStr">
        <is>
          <t>Arrangement purpose by product</t>
        </is>
      </c>
      <c r="G131" s="643" t="inlineStr">
        <is>
          <t>LOAN_AR_PRFL</t>
        </is>
      </c>
      <c r="H131" s="455" t="inlineStr">
        <is>
          <t>AR_PPS_BY_PD</t>
        </is>
      </c>
      <c r="I131" s="456" t="inlineStr">
        <is>
          <t>VARCHAR2</t>
        </is>
      </c>
      <c r="J131" s="456" t="n">
        <v>20</v>
      </c>
      <c r="K131" s="455" t="inlineStr">
        <is>
          <t>Mục đích vay theo sản phẩm</t>
        </is>
      </c>
      <c r="L131" s="452" t="n"/>
      <c r="M131" s="455">
        <f>"COMMENT ON COLUMN PG_SILVER."&amp;G131&amp;"."&amp;H131&amp;" IS '"&amp;K131&amp;"';"</f>
        <v/>
      </c>
      <c r="N131" s="452" t="n"/>
    </row>
    <row r="132" ht="14.25" customHeight="1" s="335">
      <c r="A132" s="415" t="inlineStr">
        <is>
          <t>PG_BRONZE</t>
        </is>
      </c>
      <c r="B132" s="415" t="inlineStr">
        <is>
          <t>T24CORE_PD_PAYMENT_DUE</t>
        </is>
      </c>
      <c r="C132" s="433" t="inlineStr">
        <is>
          <t>RECID</t>
        </is>
      </c>
      <c r="D132" s="415" t="inlineStr">
        <is>
          <t>NULL</t>
        </is>
      </c>
      <c r="E132" s="433" t="inlineStr">
        <is>
          <t>Loan Arrangement Profile</t>
        </is>
      </c>
      <c r="F132" s="433" t="inlineStr">
        <is>
          <t>Disbursement proposal officer</t>
        </is>
      </c>
      <c r="G132" s="558" t="inlineStr">
        <is>
          <t>LOAN_AR_PRFL</t>
        </is>
      </c>
      <c r="H132" s="433" t="inlineStr">
        <is>
          <t>DSBR_PRPSL_OFCR</t>
        </is>
      </c>
      <c r="I132" s="415" t="inlineStr">
        <is>
          <t>VARCHAR2</t>
        </is>
      </c>
      <c r="J132" s="415" t="n">
        <v>40</v>
      </c>
      <c r="K132" s="433" t="inlineStr">
        <is>
          <t>Cán bộ đề xuất giải ngân</t>
        </is>
      </c>
      <c r="M132" s="433">
        <f>"COMMENT ON COLUMN PG_SILVER."&amp;G132&amp;"."&amp;H132&amp;" IS '"&amp;K132&amp;"';"</f>
        <v/>
      </c>
    </row>
    <row r="133" ht="14.25" customHeight="1" s="335">
      <c r="A133" s="415" t="inlineStr">
        <is>
          <t>PG_BRONZE</t>
        </is>
      </c>
      <c r="B133" s="415" t="inlineStr">
        <is>
          <t>T24CORE_PD_PAYMENT_DUE</t>
        </is>
      </c>
      <c r="C133" s="433" t="inlineStr">
        <is>
          <t>RECID</t>
        </is>
      </c>
      <c r="D133" s="415" t="inlineStr">
        <is>
          <t>NULL</t>
        </is>
      </c>
      <c r="E133" s="433" t="inlineStr">
        <is>
          <t>Loan Arrangement Profile</t>
        </is>
      </c>
      <c r="F133" s="433" t="inlineStr">
        <is>
          <t>Disbursement Proposal Manager</t>
        </is>
      </c>
      <c r="G133" s="558" t="inlineStr">
        <is>
          <t>LOAN_AR_PRFL</t>
        </is>
      </c>
      <c r="H133" s="433" t="inlineStr">
        <is>
          <t>DSBR_PRPSL_MGR</t>
        </is>
      </c>
      <c r="I133" s="415" t="inlineStr">
        <is>
          <t>VARCHAR2</t>
        </is>
      </c>
      <c r="J133" s="415" t="n">
        <v>40</v>
      </c>
      <c r="K133" s="433" t="inlineStr">
        <is>
          <t>Người đề xuất giải ngân</t>
        </is>
      </c>
      <c r="M133" s="433">
        <f>"COMMENT ON COLUMN PG_SILVER."&amp;G133&amp;"."&amp;H133&amp;" IS '"&amp;K133&amp;"';"</f>
        <v/>
      </c>
    </row>
    <row r="134" ht="14.25" customHeight="1" s="335">
      <c r="A134" s="415" t="inlineStr">
        <is>
          <t>PG_BRONZE</t>
        </is>
      </c>
      <c r="B134" s="415" t="inlineStr">
        <is>
          <t>T24CORE_PD_PAYMENT_DUE</t>
        </is>
      </c>
      <c r="C134" s="433" t="inlineStr">
        <is>
          <t>RECID</t>
        </is>
      </c>
      <c r="D134" s="415" t="inlineStr">
        <is>
          <t>NULL</t>
        </is>
      </c>
      <c r="E134" s="433" t="inlineStr">
        <is>
          <t>Loan Arrangement Profile</t>
        </is>
      </c>
      <c r="F134" s="433" t="inlineStr">
        <is>
          <t>Management Officer</t>
        </is>
      </c>
      <c r="G134" s="558" t="inlineStr">
        <is>
          <t>LOAN_AR_PRFL</t>
        </is>
      </c>
      <c r="H134" s="558" t="inlineStr">
        <is>
          <t>MGT_OFCR</t>
        </is>
      </c>
      <c r="I134" s="415" t="inlineStr">
        <is>
          <t>VARCHAR2</t>
        </is>
      </c>
      <c r="J134" s="415" t="n">
        <v>40</v>
      </c>
      <c r="K134" s="558" t="inlineStr">
        <is>
          <t>Cán bộ quản lý khoản vay</t>
        </is>
      </c>
      <c r="M134" s="558">
        <f>"COMMENT ON COLUMN PG_SILVER."&amp;G134&amp;"."&amp;H134&amp;" IS '"&amp;K134&amp;"';"</f>
        <v/>
      </c>
    </row>
    <row r="135" ht="14.25" customHeight="1" s="335">
      <c r="A135" s="415" t="inlineStr">
        <is>
          <t>PG_BRONZE</t>
        </is>
      </c>
      <c r="B135" s="415" t="inlineStr">
        <is>
          <t>T24CORE_PD_PAYMENT_DUE</t>
        </is>
      </c>
      <c r="C135" s="433" t="inlineStr">
        <is>
          <t>RECID</t>
        </is>
      </c>
      <c r="D135" s="415" t="inlineStr">
        <is>
          <t>NULL</t>
        </is>
      </c>
      <c r="E135" s="433" t="inlineStr">
        <is>
          <t>Loan Arrangement Profile</t>
        </is>
      </c>
      <c r="F135" s="433" t="inlineStr">
        <is>
          <t>Management Manager</t>
        </is>
      </c>
      <c r="G135" s="558" t="inlineStr">
        <is>
          <t>LOAN_AR_PRFL</t>
        </is>
      </c>
      <c r="H135" s="558" t="inlineStr">
        <is>
          <t>MGT_MGR</t>
        </is>
      </c>
      <c r="I135" s="415" t="inlineStr">
        <is>
          <t>VARCHAR2</t>
        </is>
      </c>
      <c r="J135" s="415" t="n">
        <v>40</v>
      </c>
      <c r="K135" s="558" t="inlineStr">
        <is>
          <t>Người quản lý khoản vay</t>
        </is>
      </c>
      <c r="M135" s="558">
        <f>"COMMENT ON COLUMN PG_SILVER."&amp;G135&amp;"."&amp;H135&amp;" IS '"&amp;K135&amp;"';"</f>
        <v/>
      </c>
    </row>
    <row r="136" ht="14.25" customHeight="1" s="335">
      <c r="A136" s="415" t="inlineStr">
        <is>
          <t>PG_BRONZE</t>
        </is>
      </c>
      <c r="B136" s="415" t="inlineStr">
        <is>
          <t>T24CORE_PD_PAYMENT_DUE</t>
        </is>
      </c>
      <c r="C136" s="433" t="inlineStr">
        <is>
          <t>RECID</t>
        </is>
      </c>
      <c r="D136" s="415" t="inlineStr">
        <is>
          <t>NULL</t>
        </is>
      </c>
      <c r="E136" s="433" t="inlineStr">
        <is>
          <t>Loan Arrangement Profile</t>
        </is>
      </c>
      <c r="F136" s="433" t="inlineStr">
        <is>
          <t>Approval Authority</t>
        </is>
      </c>
      <c r="G136" s="558" t="inlineStr">
        <is>
          <t>LOAN_AR_PRFL</t>
        </is>
      </c>
      <c r="H136" s="558" t="inlineStr">
        <is>
          <t>APRV_AHR</t>
        </is>
      </c>
      <c r="I136" s="415" t="inlineStr">
        <is>
          <t>VARCHAR2</t>
        </is>
      </c>
      <c r="J136" s="415" t="n">
        <v>1000</v>
      </c>
      <c r="K136" s="558" t="inlineStr">
        <is>
          <t>Cấp phê duyệt giải ngân</t>
        </is>
      </c>
      <c r="M136" s="558">
        <f>"COMMENT ON COLUMN PG_SILVER."&amp;G136&amp;"."&amp;H136&amp;" IS '"&amp;K136&amp;"';"</f>
        <v/>
      </c>
    </row>
    <row r="137" ht="14.25" customHeight="1" s="335">
      <c r="A137" s="415" t="inlineStr">
        <is>
          <t>PG_BRONZE</t>
        </is>
      </c>
      <c r="B137" s="415" t="inlineStr">
        <is>
          <t>T24CORE_PD_PAYMENT_DUE</t>
        </is>
      </c>
      <c r="C137" s="433" t="inlineStr">
        <is>
          <t>AUTHORISER</t>
        </is>
      </c>
      <c r="D137" s="415" t="inlineStr">
        <is>
          <t>1:1</t>
        </is>
      </c>
      <c r="E137" s="433" t="inlineStr">
        <is>
          <t>Loan Arrangement Profile</t>
        </is>
      </c>
      <c r="F137" s="433" t="inlineStr">
        <is>
          <t>Checker Officer</t>
        </is>
      </c>
      <c r="G137" s="558" t="inlineStr">
        <is>
          <t>LOAN_AR_PRFL</t>
        </is>
      </c>
      <c r="H137" s="558" t="inlineStr">
        <is>
          <t>CHKER_OFCR</t>
        </is>
      </c>
      <c r="I137" s="415" t="inlineStr">
        <is>
          <t>VARCHAR2</t>
        </is>
      </c>
      <c r="J137" s="415" t="n">
        <v>40</v>
      </c>
      <c r="K137" s="433" t="inlineStr">
        <is>
          <t>Mã người phê duyệt</t>
        </is>
      </c>
      <c r="M137" s="433">
        <f>"COMMENT ON COLUMN PG_SILVER."&amp;G137&amp;"."&amp;H137&amp;" IS '"&amp;K137&amp;"';"</f>
        <v/>
      </c>
    </row>
    <row r="138" ht="14.25" customHeight="1" s="335">
      <c r="A138" s="415" t="inlineStr">
        <is>
          <t>PG_BRONZE</t>
        </is>
      </c>
      <c r="B138" s="415" t="inlineStr">
        <is>
          <t>T24CORE_PD_PAYMENT_DUE</t>
        </is>
      </c>
      <c r="C138" s="433" t="inlineStr">
        <is>
          <t>INPUTTER</t>
        </is>
      </c>
      <c r="D138" s="415" t="inlineStr">
        <is>
          <t>1:1</t>
        </is>
      </c>
      <c r="E138" s="433" t="inlineStr">
        <is>
          <t>Loan Arrangement Profile</t>
        </is>
      </c>
      <c r="F138" s="433" t="inlineStr">
        <is>
          <t>Maker Officer</t>
        </is>
      </c>
      <c r="G138" s="558" t="inlineStr">
        <is>
          <t>LOAN_AR_PRFL</t>
        </is>
      </c>
      <c r="H138" s="558" t="inlineStr">
        <is>
          <t>MAKER_OFCR</t>
        </is>
      </c>
      <c r="I138" s="415" t="inlineStr">
        <is>
          <t>VARCHAR2</t>
        </is>
      </c>
      <c r="J138" s="415" t="n">
        <v>40</v>
      </c>
      <c r="K138" s="433" t="inlineStr">
        <is>
          <t>ID người nhập liệu</t>
        </is>
      </c>
      <c r="M138" s="433">
        <f>"COMMENT ON COLUMN PG_SILVER."&amp;G138&amp;"."&amp;H138&amp;" IS '"&amp;K138&amp;"';"</f>
        <v/>
      </c>
    </row>
    <row r="139" ht="14.25" customHeight="1" s="335">
      <c r="A139" s="415" t="inlineStr">
        <is>
          <t>PG_BRONZE</t>
        </is>
      </c>
      <c r="B139" s="415" t="inlineStr">
        <is>
          <t>T24CORE_PD_PAYMENT_DUE</t>
        </is>
      </c>
      <c r="C139" s="433" t="inlineStr">
        <is>
          <t>RECID</t>
        </is>
      </c>
      <c r="D139" s="415" t="inlineStr">
        <is>
          <t>NULL</t>
        </is>
      </c>
      <c r="E139" s="433" t="inlineStr">
        <is>
          <t>Loan Arrangement Profile</t>
        </is>
      </c>
      <c r="F139" s="433" t="inlineStr">
        <is>
          <t>Referrer Officer</t>
        </is>
      </c>
      <c r="G139" s="558" t="inlineStr">
        <is>
          <t>LOAN_AR_PRFL</t>
        </is>
      </c>
      <c r="H139" s="558" t="inlineStr">
        <is>
          <t>REFRRER_OFCR</t>
        </is>
      </c>
      <c r="I139" s="415" t="inlineStr">
        <is>
          <t>VARCHAR2</t>
        </is>
      </c>
      <c r="J139" s="415" t="n">
        <v>40</v>
      </c>
      <c r="K139" s="433" t="inlineStr">
        <is>
          <t>ID nhân viên giới thiệu</t>
        </is>
      </c>
      <c r="M139" s="433">
        <f>"COMMENT ON COLUMN PG_SILVER."&amp;G139&amp;"."&amp;H139&amp;" IS '"&amp;K139&amp;"';"</f>
        <v/>
      </c>
    </row>
    <row r="140" ht="14.25" customHeight="1" s="335">
      <c r="A140" s="433" t="inlineStr">
        <is>
          <t>PG_BRONZE</t>
        </is>
      </c>
      <c r="B140" s="415" t="inlineStr">
        <is>
          <t>T24CORE_PD_PAYMENT_DUE</t>
        </is>
      </c>
      <c r="C140" s="433" t="inlineStr">
        <is>
          <t>RECID</t>
        </is>
      </c>
      <c r="D140" s="433" t="inlineStr">
        <is>
          <t>NULL</t>
        </is>
      </c>
      <c r="E140" s="433" t="inlineStr">
        <is>
          <t>Loan Arrangement Profile</t>
        </is>
      </c>
      <c r="F140" s="433" t="inlineStr">
        <is>
          <t>Promotion Program</t>
        </is>
      </c>
      <c r="G140" s="558" t="inlineStr">
        <is>
          <t>LOAN_AR_PRFL</t>
        </is>
      </c>
      <c r="H140" s="433" t="inlineStr">
        <is>
          <t>PROM_PRGM</t>
        </is>
      </c>
      <c r="I140" s="415" t="inlineStr">
        <is>
          <t>VARCHAR2</t>
        </is>
      </c>
      <c r="J140" s="415" t="n">
        <v>20</v>
      </c>
      <c r="K140" s="433" t="inlineStr">
        <is>
          <t>Mã chương trình KM cho vay</t>
        </is>
      </c>
      <c r="M140" s="433">
        <f>"COMMENT ON COLUMN PG_SILVER."&amp;G140&amp;"."&amp;H140&amp;" IS '"&amp;K140&amp;"';"</f>
        <v/>
      </c>
    </row>
    <row r="141" ht="14.25" customHeight="1" s="335">
      <c r="A141" s="433" t="inlineStr">
        <is>
          <t>PG_BRONZE</t>
        </is>
      </c>
      <c r="B141" s="415" t="inlineStr">
        <is>
          <t>T24CORE_PD_PAYMENT_DUE</t>
        </is>
      </c>
      <c r="C141" s="433" t="inlineStr">
        <is>
          <t>RECID</t>
        </is>
      </c>
      <c r="D141" s="433" t="inlineStr">
        <is>
          <t>NULL</t>
        </is>
      </c>
      <c r="E141" s="433" t="inlineStr">
        <is>
          <t>Loan Arrangement Profile</t>
        </is>
      </c>
      <c r="F141" s="433" t="inlineStr">
        <is>
          <t>Promotion Program 2</t>
        </is>
      </c>
      <c r="G141" s="558" t="inlineStr">
        <is>
          <t>LOAN_AR_PRFL</t>
        </is>
      </c>
      <c r="H141" s="433" t="inlineStr">
        <is>
          <t>PROM_PRGM_2</t>
        </is>
      </c>
      <c r="I141" s="415" t="inlineStr">
        <is>
          <t>VARCHAR2</t>
        </is>
      </c>
      <c r="J141" s="415" t="n">
        <v>20</v>
      </c>
      <c r="K141" s="433" t="inlineStr">
        <is>
          <t>Mã CTKM2</t>
        </is>
      </c>
      <c r="M141" s="433">
        <f>"COMMENT ON COLUMN PG_SILVER."&amp;G141&amp;"."&amp;H141&amp;" IS '"&amp;K141&amp;"';"</f>
        <v/>
      </c>
    </row>
    <row r="142" ht="14.25" customHeight="1" s="335">
      <c r="A142" s="433" t="inlineStr">
        <is>
          <t>PG_BRONZE</t>
        </is>
      </c>
      <c r="B142" s="415" t="inlineStr">
        <is>
          <t>T24CORE_PD_PAYMENT_DUE</t>
        </is>
      </c>
      <c r="C142" s="433" t="inlineStr">
        <is>
          <t>RECID</t>
        </is>
      </c>
      <c r="D142" s="433" t="inlineStr">
        <is>
          <t>NULL</t>
        </is>
      </c>
      <c r="E142" s="433" t="inlineStr">
        <is>
          <t>Loan Arrangement Profile</t>
        </is>
      </c>
      <c r="F142" s="433" t="inlineStr">
        <is>
          <t>Debt Restructuring Type Code</t>
        </is>
      </c>
      <c r="G142" s="558" t="inlineStr">
        <is>
          <t>LOAN_AR_PRFL</t>
        </is>
      </c>
      <c r="H142" s="433" t="inlineStr">
        <is>
          <t>DBT_RSTC_TP_CODE</t>
        </is>
      </c>
      <c r="I142" s="415" t="inlineStr">
        <is>
          <t>VARCHAR2</t>
        </is>
      </c>
      <c r="J142" s="415" t="n">
        <v>20</v>
      </c>
      <c r="K142" s="433" t="inlineStr">
        <is>
          <t>Cơ cấu nợ</t>
        </is>
      </c>
      <c r="M142" s="433">
        <f>"COMMENT ON COLUMN PG_SILVER."&amp;G142&amp;"."&amp;H142&amp;" IS '"&amp;K142&amp;"';"</f>
        <v/>
      </c>
    </row>
    <row r="143" ht="14.25" customHeight="1" s="335">
      <c r="A143" s="433" t="inlineStr">
        <is>
          <t>PG_BRONZE</t>
        </is>
      </c>
      <c r="B143" s="415" t="inlineStr">
        <is>
          <t>T24CORE_PD_PAYMENT_DUE</t>
        </is>
      </c>
      <c r="C143" s="433" t="inlineStr">
        <is>
          <t>RECID</t>
        </is>
      </c>
      <c r="D143" s="433" t="inlineStr">
        <is>
          <t>NULL</t>
        </is>
      </c>
      <c r="E143" s="433" t="inlineStr">
        <is>
          <t>Loan Arrangement Profile</t>
        </is>
      </c>
      <c r="F143" s="433" t="inlineStr">
        <is>
          <t>Covid19 Restructuring Completion Date</t>
        </is>
      </c>
      <c r="G143" s="558" t="inlineStr">
        <is>
          <t>LOAN_AR_PRFL</t>
        </is>
      </c>
      <c r="H143" s="433" t="inlineStr">
        <is>
          <t>COVID19_RSTC_COMPL_DT</t>
        </is>
      </c>
      <c r="I143" s="415" t="inlineStr">
        <is>
          <t>DATE</t>
        </is>
      </c>
      <c r="J143" s="415" t="n"/>
      <c r="K143" s="433" t="inlineStr">
        <is>
          <t>Ngày hết covid/ Ngày hết hạn cơ cấu</t>
        </is>
      </c>
      <c r="M143" s="433">
        <f>"COMMENT ON COLUMN PG_SILVER."&amp;G143&amp;"."&amp;H143&amp;" IS '"&amp;K143&amp;"';"</f>
        <v/>
      </c>
    </row>
    <row r="144" ht="27" customHeight="1" s="335">
      <c r="A144" s="433" t="inlineStr">
        <is>
          <t>PG_BRONZE</t>
        </is>
      </c>
      <c r="B144" s="415" t="inlineStr">
        <is>
          <t>T24CORE_PD_PAYMENT_DUE</t>
        </is>
      </c>
      <c r="C144" s="433" t="inlineStr">
        <is>
          <t>RECID</t>
        </is>
      </c>
      <c r="D144" s="433" t="inlineStr">
        <is>
          <t>NULL</t>
        </is>
      </c>
      <c r="E144" s="433" t="inlineStr">
        <is>
          <t>Loan Arrangement Profile</t>
        </is>
      </c>
      <c r="F144" s="334" t="inlineStr">
        <is>
          <t>General Ledger Item Code</t>
        </is>
      </c>
      <c r="G144" s="558" t="inlineStr">
        <is>
          <t>LOAN_AR_PRFL</t>
        </is>
      </c>
      <c r="H144" s="433" t="inlineStr">
        <is>
          <t>GL_ITM_CODE</t>
        </is>
      </c>
      <c r="I144" s="415" t="inlineStr">
        <is>
          <t>VARCHAR2</t>
        </is>
      </c>
      <c r="J144" s="415" t="n">
        <v>20</v>
      </c>
      <c r="K144" s="433" t="inlineStr">
        <is>
          <t>Mã hạch toán theo SBV</t>
        </is>
      </c>
      <c r="M144" s="433">
        <f>"COMMENT ON COLUMN PG_SILVER."&amp;G144&amp;"."&amp;H144&amp;" IS '"&amp;K144&amp;"';"</f>
        <v/>
      </c>
    </row>
    <row r="145" ht="27" customHeight="1" s="335">
      <c r="A145" s="433" t="inlineStr">
        <is>
          <t>PG_BRONZE</t>
        </is>
      </c>
      <c r="B145" s="415" t="inlineStr">
        <is>
          <t>T24CORE_PD_PAYMENT_DUE</t>
        </is>
      </c>
      <c r="C145" s="433" t="inlineStr">
        <is>
          <t>RECID</t>
        </is>
      </c>
      <c r="D145" s="433" t="inlineStr">
        <is>
          <t>NULL</t>
        </is>
      </c>
      <c r="E145" s="433" t="inlineStr">
        <is>
          <t>Loan Arrangement Profile</t>
        </is>
      </c>
      <c r="F145" s="415" t="inlineStr">
        <is>
          <t>General Ledger Item Id</t>
        </is>
      </c>
      <c r="G145" s="558" t="inlineStr">
        <is>
          <t>LOAN_AR_PRFL</t>
        </is>
      </c>
      <c r="H145" s="433" t="inlineStr">
        <is>
          <t>GL_ITM_ID</t>
        </is>
      </c>
      <c r="I145" s="415" t="inlineStr">
        <is>
          <t>CHAR</t>
        </is>
      </c>
      <c r="J145" s="415" t="n">
        <v>32</v>
      </c>
      <c r="K145" s="433" t="inlineStr">
        <is>
          <t>ID Mã hạch toán theo SBV</t>
        </is>
      </c>
      <c r="M145" s="433">
        <f>"COMMENT ON COLUMN PG_SILVER."&amp;G145&amp;"."&amp;H145&amp;" IS '"&amp;K145&amp;"';"</f>
        <v/>
      </c>
    </row>
    <row r="146" ht="14.25" customHeight="1" s="335">
      <c r="A146" s="433" t="inlineStr">
        <is>
          <t>PG_BRONZE</t>
        </is>
      </c>
      <c r="B146" s="415" t="inlineStr">
        <is>
          <t>T24CORE_PD_PAYMENT_DUE</t>
        </is>
      </c>
      <c r="C146" s="433" t="inlineStr">
        <is>
          <t>CREDIT_STATUS</t>
        </is>
      </c>
      <c r="D146" s="463" t="inlineStr">
        <is>
          <t>NVL(d.CREDIT_STATUS, '1')</t>
        </is>
      </c>
      <c r="E146" s="433" t="inlineStr">
        <is>
          <t>Loan Arrangement Profile</t>
        </is>
      </c>
      <c r="F146" s="334" t="inlineStr">
        <is>
          <t>Financial Status Code</t>
        </is>
      </c>
      <c r="G146" s="558" t="inlineStr">
        <is>
          <t>LOAN_AR_PRFL</t>
        </is>
      </c>
      <c r="H146" s="433" t="inlineStr">
        <is>
          <t>FNC_ST_CODE</t>
        </is>
      </c>
      <c r="I146" s="415" t="inlineStr">
        <is>
          <t>VARCHAR2</t>
        </is>
      </c>
      <c r="J146" s="415" t="n">
        <v>20</v>
      </c>
      <c r="K146" s="415" t="inlineStr">
        <is>
          <t>Nhóm nợ hợp đồng</t>
        </is>
      </c>
      <c r="M146" s="415">
        <f>"COMMENT ON COLUMN PG_SILVER."&amp;G146&amp;"."&amp;H146&amp;" IS '"&amp;K146&amp;"';"</f>
        <v/>
      </c>
      <c r="N146" s="414" t="inlineStr">
        <is>
          <t>Gán `NVL(d.CREDIT_STATUS, '1')` cho FNC_ST_CODE nhánh 3.</t>
        </is>
      </c>
    </row>
    <row r="147" ht="14.25" customHeight="1" s="335">
      <c r="A147" s="433" t="inlineStr">
        <is>
          <t>PG_BRONZE</t>
        </is>
      </c>
      <c r="B147" s="415" t="inlineStr">
        <is>
          <t>T24CORE_PD_PAYMENT_DUE</t>
        </is>
      </c>
      <c r="C147" s="433" t="inlineStr">
        <is>
          <t>RECID</t>
        </is>
      </c>
      <c r="D147" s="463" t="inlineStr">
        <is>
          <t>NULL</t>
        </is>
      </c>
      <c r="E147" s="433" t="inlineStr">
        <is>
          <t>Loan Arrangement Profile</t>
        </is>
      </c>
      <c r="F147" s="334" t="inlineStr">
        <is>
          <t>Real Estate Circular 11 Code</t>
        </is>
      </c>
      <c r="G147" s="558" t="inlineStr">
        <is>
          <t>LOAN_AR_PRFL</t>
        </is>
      </c>
      <c r="H147" s="433" t="inlineStr">
        <is>
          <t>BDS_TT11</t>
        </is>
      </c>
      <c r="I147" s="415" t="inlineStr">
        <is>
          <t>VARCHAR2</t>
        </is>
      </c>
      <c r="J147" s="415" t="n">
        <v>20</v>
      </c>
      <c r="K147" s="415" t="inlineStr">
        <is>
          <t>Phân loại bất động sản theo Thông tư 11</t>
        </is>
      </c>
      <c r="M147" s="415">
        <f>"COMMENT ON COLUMN PG_SILVER."&amp;G147&amp;"."&amp;H147&amp;" IS '"&amp;K147&amp;"';"</f>
        <v/>
      </c>
      <c r="N147" s="414" t="inlineStr">
        <is>
          <t>Nhánh 3 (PD): Gán NULL cho BDS_TT11 đồng bộ cấu trúc UNION ALL.</t>
        </is>
      </c>
    </row>
    <row r="148" ht="14.25" customHeight="1" s="335">
      <c r="A148" s="415" t="inlineStr">
        <is>
          <t>PG_BRONZE</t>
        </is>
      </c>
      <c r="B148" s="415" t="inlineStr">
        <is>
          <t>T24CORE_PD_PAYMENT_DUE</t>
        </is>
      </c>
      <c r="C148" s="415" t="inlineStr">
        <is>
          <t>RECID</t>
        </is>
      </c>
      <c r="D148" s="415" t="inlineStr">
        <is>
          <t>ETL_DATE if not exists AR_ID</t>
        </is>
      </c>
      <c r="E148" s="433" t="inlineStr">
        <is>
          <t>Loan Arrangement Profile</t>
        </is>
      </c>
      <c r="F148" s="415" t="inlineStr">
        <is>
          <t>System Effective Date</t>
        </is>
      </c>
      <c r="G148" s="558" t="inlineStr">
        <is>
          <t>LOAN_AR_PRFL</t>
        </is>
      </c>
      <c r="H148" s="415" t="inlineStr">
        <is>
          <t>SYS_EFF_DT</t>
        </is>
      </c>
      <c r="I148" s="415" t="inlineStr">
        <is>
          <t>DATE</t>
        </is>
      </c>
      <c r="J148" s="415" t="n"/>
      <c r="K148" s="415" t="inlineStr">
        <is>
          <t>Ngày bản ghi lần đầu tiên vào hệ thống</t>
        </is>
      </c>
      <c r="M148" s="415">
        <f>"COMMENT ON COLUMN PG_SILVER."&amp;G148&amp;"."&amp;H148&amp;" IS '"&amp;K148&amp;"';"</f>
        <v/>
      </c>
    </row>
    <row r="149" ht="14.25" customHeight="1" s="335">
      <c r="A149" s="415" t="inlineStr">
        <is>
          <t>PG_BRONZE</t>
        </is>
      </c>
      <c r="B149" s="415" t="inlineStr">
        <is>
          <t>T24CORE_PD_PAYMENT_DUE</t>
        </is>
      </c>
      <c r="C149" s="415" t="inlineStr">
        <is>
          <t>RECID</t>
        </is>
      </c>
      <c r="D149" s="415" t="inlineStr">
        <is>
          <t>ETL_DATE if RECID was deleted</t>
        </is>
      </c>
      <c r="E149" s="433" t="inlineStr">
        <is>
          <t>Loan Arrangement Profile</t>
        </is>
      </c>
      <c r="F149" s="415" t="inlineStr">
        <is>
          <t>System Expiry Date</t>
        </is>
      </c>
      <c r="G149" s="558" t="inlineStr">
        <is>
          <t>LOAN_AR_PRFL</t>
        </is>
      </c>
      <c r="H149" s="415" t="inlineStr">
        <is>
          <t>SYS_EXP_DT</t>
        </is>
      </c>
      <c r="I149" s="415" t="inlineStr">
        <is>
          <t>DATE</t>
        </is>
      </c>
      <c r="J149" s="415" t="n"/>
      <c r="K149" s="415" t="inlineStr">
        <is>
          <t>Ngày hết hạn của bản ghi</t>
        </is>
      </c>
      <c r="M149" s="415">
        <f>"COMMENT ON COLUMN PG_SILVER."&amp;G149&amp;"."&amp;H149&amp;" IS '"&amp;K149&amp;"';"</f>
        <v/>
      </c>
    </row>
    <row r="150" ht="14.25" customHeight="1" s="335">
      <c r="A150" s="415" t="inlineStr">
        <is>
          <t>PG_BRONZE</t>
        </is>
      </c>
      <c r="B150" s="415" t="inlineStr">
        <is>
          <t>T24CORE_PD_PAYMENT_DUE</t>
        </is>
      </c>
      <c r="C150" s="415" t="inlineStr">
        <is>
          <t>RECID</t>
        </is>
      </c>
      <c r="D150" s="415" t="inlineStr">
        <is>
          <t>ETL_DATE</t>
        </is>
      </c>
      <c r="E150" s="433" t="inlineStr">
        <is>
          <t>Loan Arrangement Profile</t>
        </is>
      </c>
      <c r="F150" s="415" t="inlineStr">
        <is>
          <t>System Update Date</t>
        </is>
      </c>
      <c r="G150" s="558" t="inlineStr">
        <is>
          <t>LOAN_AR_PRFL</t>
        </is>
      </c>
      <c r="H150" s="415" t="inlineStr">
        <is>
          <t>SYS_UDT_DT</t>
        </is>
      </c>
      <c r="I150" s="415" t="inlineStr">
        <is>
          <t>DATE</t>
        </is>
      </c>
      <c r="J150" s="415" t="n"/>
      <c r="K150" s="415" t="inlineStr">
        <is>
          <t>Ngày update dữ liệu gần nhất</t>
        </is>
      </c>
      <c r="M150" s="415">
        <f>"COMMENT ON COLUMN PG_SILVER."&amp;G150&amp;"."&amp;H150&amp;" IS '"&amp;K150&amp;"';"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N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55" customWidth="1" style="334" min="14" max="14"/>
  </cols>
  <sheetData>
    <row r="1" ht="14.25" customHeight="1" s="335">
      <c r="A1" s="334" t="inlineStr">
        <is>
          <t>TYPE : SCD TYPE 2</t>
        </is>
      </c>
    </row>
    <row r="2" ht="14.25" customHeight="1" s="335">
      <c r="A2" s="334" t="inlineStr">
        <is>
          <t>Nguồn</t>
        </is>
      </c>
      <c r="B2" s="334" t="inlineStr">
        <is>
          <t>Bảng nguồn</t>
        </is>
      </c>
      <c r="C2" s="334" t="inlineStr">
        <is>
          <t>Short table</t>
        </is>
      </c>
      <c r="D2" s="334" t="inlineStr">
        <is>
          <t>Business Rule</t>
        </is>
      </c>
    </row>
    <row r="3" ht="14.25" customHeight="1" s="335">
      <c r="A3" s="334" t="inlineStr">
        <is>
          <t>PG_BRONZE</t>
        </is>
      </c>
      <c r="B3" s="334" t="inlineStr">
        <is>
          <t>T24CORE_LD_LOANS_AND_DEPOSITS</t>
        </is>
      </c>
      <c r="C3" s="334" t="inlineStr">
        <is>
          <t>a</t>
        </is>
      </c>
      <c r="D3" s="334" t="inlineStr">
        <is>
          <t>Main table (Nhánh 1: Hợp đồng LD hiện hành)</t>
        </is>
      </c>
    </row>
    <row r="4" ht="14.25" customHeight="1" s="335">
      <c r="A4" s="334" t="inlineStr">
        <is>
          <t>PG_BRONZE</t>
        </is>
      </c>
      <c r="B4" s="334" t="inlineStr">
        <is>
          <t>FLEXBO_PGB_LOS_CONTRACT_FIELDS_TDATE</t>
        </is>
      </c>
      <c r="C4" s="334" t="inlineStr">
        <is>
          <t>d</t>
        </is>
      </c>
      <c r="D4" s="334" t="inlineStr">
        <is>
          <t>(LEFT JOIN) ON d.CONTRACT_REF_NO = a.RECID AND d.MOV_DATE = TO_DATE(COALESCE(a.ORIG_VAL_DATE, a.VALUE_DATE), 'YYYYMMDD')</t>
        </is>
      </c>
    </row>
    <row r="5" ht="14.25" customHeight="1" s="335"/>
    <row r="6" ht="14.25" customHeight="1" s="335">
      <c r="A6" s="432" t="inlineStr">
        <is>
          <t>Nguồn</t>
        </is>
      </c>
      <c r="B6" s="432" t="inlineStr">
        <is>
          <t>Bảng nguồn</t>
        </is>
      </c>
      <c r="C6" s="432" t="inlineStr">
        <is>
          <t>Cột nguồn</t>
        </is>
      </c>
      <c r="D6" s="432" t="inlineStr">
        <is>
          <t>Transform</t>
        </is>
      </c>
      <c r="E6" s="432" t="inlineStr">
        <is>
          <t>Entity</t>
        </is>
      </c>
      <c r="F6" s="432" t="inlineStr">
        <is>
          <t>Attribute</t>
        </is>
      </c>
      <c r="G6" s="432" t="inlineStr">
        <is>
          <t>Bảng đích</t>
        </is>
      </c>
      <c r="H6" s="432" t="inlineStr">
        <is>
          <t>Cột đích</t>
        </is>
      </c>
      <c r="I6" s="432" t="inlineStr">
        <is>
          <t>Kiểu dữ liệu</t>
        </is>
      </c>
      <c r="J6" s="432" t="inlineStr">
        <is>
          <t>Độ dài</t>
        </is>
      </c>
      <c r="K6" s="432" t="inlineStr">
        <is>
          <t>Diễn giải</t>
        </is>
      </c>
      <c r="L6" s="432" t="inlineStr">
        <is>
          <t>Glossary</t>
        </is>
      </c>
      <c r="M6" s="432" t="inlineStr">
        <is>
          <t>DDL Comment</t>
        </is>
      </c>
      <c r="N6" s="413" t="inlineStr">
        <is>
          <t>Ghi chú kỹ thuật &amp; Business Rule</t>
        </is>
      </c>
    </row>
    <row r="7" ht="14.25" customHeight="1" s="335">
      <c r="A7" s="433" t="inlineStr">
        <is>
          <t>PG_BRONZE</t>
        </is>
      </c>
      <c r="B7" s="415" t="inlineStr">
        <is>
          <t>T24CORE_LD_LOANS_AND_DEPOSITS</t>
        </is>
      </c>
      <c r="C7" s="433" t="inlineStr">
        <is>
          <t>RECID</t>
        </is>
      </c>
      <c r="D7" s="433" t="inlineStr">
        <is>
          <t>'T24_LD_LOANS_AND_DEPOSITS'</t>
        </is>
      </c>
      <c r="E7" s="433" t="inlineStr">
        <is>
          <t>Arrangement x Involved Party Relationship</t>
        </is>
      </c>
      <c r="F7" s="433" t="inlineStr">
        <is>
          <t>Source System Code</t>
        </is>
      </c>
      <c r="G7" s="558" t="inlineStr">
        <is>
          <t>AR_X_IP_RLTNP</t>
        </is>
      </c>
      <c r="H7" s="659" t="inlineStr">
        <is>
          <t>SRC_STM_CODE</t>
        </is>
      </c>
      <c r="I7" s="415" t="inlineStr">
        <is>
          <t>VARCHAR2</t>
        </is>
      </c>
      <c r="J7" s="415" t="n">
        <v>40</v>
      </c>
      <c r="K7" s="415" t="inlineStr">
        <is>
          <t>Mã nguồn dữ liệu</t>
        </is>
      </c>
      <c r="M7" s="415">
        <f>"COMMENT ON COLUMN PG_SILVER."&amp;G7&amp;"."&amp;H7&amp;" IS '"&amp;K7&amp;"';"</f>
        <v/>
      </c>
      <c r="N7" s="414" t="inlineStr">
        <is>
          <t>Nhánh 1 (Hợp đồng tín dụng hiện hành từ T24CORE_LD_LOANS_AND_DEPOSITS &amp; FLEXBO_PGB_LOS_CONTRACT_FIELDS_TDATE)</t>
        </is>
      </c>
    </row>
    <row r="8" ht="14.25" customHeight="1" s="335">
      <c r="A8" s="433" t="inlineStr">
        <is>
          <t>PG_BRONZE</t>
        </is>
      </c>
      <c r="B8" s="415" t="inlineStr">
        <is>
          <t>T24CORE_LD_LOANS_AND_DEPOSITS</t>
        </is>
      </c>
      <c r="C8" s="433" t="inlineStr">
        <is>
          <t>RECID</t>
        </is>
      </c>
      <c r="D8" s="433" t="inlineStr">
        <is>
          <t>fn_hash("T24_LD_LOANS_AND_DEPOSITS", a.RECID)</t>
        </is>
      </c>
      <c r="E8" s="433" t="inlineStr">
        <is>
          <t>Arrangement x Involved Party Relationship</t>
        </is>
      </c>
      <c r="F8" s="433" t="inlineStr">
        <is>
          <t>Arrangement ID</t>
        </is>
      </c>
      <c r="G8" s="558" t="inlineStr">
        <is>
          <t>AR_X_IP_RLTNP</t>
        </is>
      </c>
      <c r="H8" s="659" t="inlineStr">
        <is>
          <t>AR_ID</t>
        </is>
      </c>
      <c r="I8" s="415" t="inlineStr">
        <is>
          <t>CHAR</t>
        </is>
      </c>
      <c r="J8" s="415" t="n">
        <v>32</v>
      </c>
      <c r="K8" s="415" t="inlineStr">
        <is>
          <t>Unique key hợp đồng trên DWH</t>
        </is>
      </c>
      <c r="M8" s="415">
        <f>"COMMENT ON COLUMN PG_SILVER."&amp;G8&amp;"."&amp;H8&amp;" IS '"&amp;K8&amp;"';"</f>
        <v/>
      </c>
      <c r="N8" s="414" t="inlineStr">
        <is>
          <t>Nhánh 1 (Hợp đồng tín dụng hiện hành từ T24CORE_LD_LOANS_AND_DEPOSITS &amp; FLEXBO_PGB_LOS_CONTRACT_FIELDS_TDATE)</t>
        </is>
      </c>
    </row>
    <row r="9" ht="41.25" customHeight="1" s="335">
      <c r="A9" s="433" t="inlineStr">
        <is>
          <t>PG_BRONZE</t>
        </is>
      </c>
      <c r="B9" s="415" t="inlineStr">
        <is>
          <t>T24CORE_LD_LOANS_AND_DEPOSITS</t>
        </is>
      </c>
      <c r="C9" s="433" t="inlineStr">
        <is>
          <t>RECID</t>
        </is>
      </c>
      <c r="D9" s="433" t="inlineStr">
        <is>
          <t>1:1</t>
        </is>
      </c>
      <c r="E9" s="433" t="inlineStr">
        <is>
          <t>Arrangement x Involved Party Relationship</t>
        </is>
      </c>
      <c r="F9" s="433" t="inlineStr">
        <is>
          <t>Arrangement Code</t>
        </is>
      </c>
      <c r="G9" s="558" t="inlineStr">
        <is>
          <t>AR_X_IP_RLTNP</t>
        </is>
      </c>
      <c r="H9" s="659" t="inlineStr">
        <is>
          <t>AR_CODE</t>
        </is>
      </c>
      <c r="I9" s="415" t="inlineStr">
        <is>
          <t>VARCHAR2</t>
        </is>
      </c>
      <c r="J9" s="415" t="n">
        <v>40</v>
      </c>
      <c r="K9" s="415" t="inlineStr">
        <is>
          <t>Mã hợp đồng</t>
        </is>
      </c>
      <c r="M9" s="415">
        <f>"COMMENT ON COLUMN PG_SILVER."&amp;G9&amp;"."&amp;H9&amp;" IS '"&amp;K9&amp;"';"</f>
        <v/>
      </c>
      <c r="N9" s="414" t="inlineStr">
        <is>
          <t>Nhánh 1 (Hợp đồng tín dụng hiện hành từ T24CORE_LD_LOANS_AND_DEPOSITS &amp; FLEXBO_PGB_LOS_CONTRACT_FIELDS_TDATE)</t>
        </is>
      </c>
    </row>
    <row r="10" ht="41.25" customHeight="1" s="335">
      <c r="A10" s="433" t="inlineStr">
        <is>
          <t>PG_BRONZE</t>
        </is>
      </c>
      <c r="B10" s="415" t="inlineStr">
        <is>
          <t>T24CORE_LD_LOANS_AND_DEPOSITS</t>
        </is>
      </c>
      <c r="C10" s="433" t="inlineStr">
        <is>
          <t>CUSTOMER_ID</t>
        </is>
      </c>
      <c r="D10" s="433" t="inlineStr">
        <is>
          <t>fn_hash("T24_CUSTOMER", a.CUSTOMER_ID)</t>
        </is>
      </c>
      <c r="E10" s="433" t="inlineStr">
        <is>
          <t>Arrangement x Involved Party Relationship</t>
        </is>
      </c>
      <c r="F10" s="433" t="inlineStr">
        <is>
          <t>Customer ID</t>
        </is>
      </c>
      <c r="G10" s="558" t="inlineStr">
        <is>
          <t>AR_X_IP_RLTNP</t>
        </is>
      </c>
      <c r="H10" s="659" t="inlineStr">
        <is>
          <t>CST_ID</t>
        </is>
      </c>
      <c r="I10" s="415" t="inlineStr">
        <is>
          <t>CHAR</t>
        </is>
      </c>
      <c r="J10" s="415" t="n">
        <v>32</v>
      </c>
      <c r="K10" s="415" t="inlineStr">
        <is>
          <t>ID khách hàng trên DWH</t>
        </is>
      </c>
      <c r="M10" s="415">
        <f>"COMMENT ON COLUMN PG_SILVER."&amp;G10&amp;"."&amp;H10&amp;" IS '"&amp;K10&amp;"';"</f>
        <v/>
      </c>
      <c r="N10" s="414" t="inlineStr">
        <is>
          <t>Nhánh 1 (Hợp đồng tín dụng hiện hành từ T24CORE_LD_LOANS_AND_DEPOSITS &amp; FLEXBO_PGB_LOS_CONTRACT_FIELDS_TDATE)</t>
        </is>
      </c>
    </row>
    <row r="11" ht="41.25" customHeight="1" s="335">
      <c r="A11" s="433" t="inlineStr">
        <is>
          <t>PG_BRONZE</t>
        </is>
      </c>
      <c r="B11" s="415" t="inlineStr">
        <is>
          <t>T24CORE_LD_LOANS_AND_DEPOSITS</t>
        </is>
      </c>
      <c r="C11" s="433" t="inlineStr">
        <is>
          <t>CUSTOMER_ID</t>
        </is>
      </c>
      <c r="D11" s="433" t="inlineStr">
        <is>
          <t>1:1</t>
        </is>
      </c>
      <c r="E11" s="433" t="inlineStr">
        <is>
          <t>Arrangement x Involved Party Relationship</t>
        </is>
      </c>
      <c r="F11" s="433" t="inlineStr">
        <is>
          <t>Customer Code</t>
        </is>
      </c>
      <c r="G11" s="558" t="inlineStr">
        <is>
          <t>AR_X_IP_RLTNP</t>
        </is>
      </c>
      <c r="H11" s="659" t="inlineStr">
        <is>
          <t>CST_CODE</t>
        </is>
      </c>
      <c r="I11" s="415" t="inlineStr">
        <is>
          <t>VARCHAR2</t>
        </is>
      </c>
      <c r="J11" s="415" t="n">
        <v>20</v>
      </c>
      <c r="K11" s="415" t="inlineStr">
        <is>
          <t>Mã khách hàng</t>
        </is>
      </c>
      <c r="M11" s="415">
        <f>"COMMENT ON COLUMN PG_SILVER."&amp;G11&amp;"."&amp;H11&amp;" IS '"&amp;K11&amp;"';"</f>
        <v/>
      </c>
      <c r="N11" s="414" t="inlineStr">
        <is>
          <t>Nhánh 1 (Hợp đồng tín dụng hiện hành từ T24CORE_LD_LOANS_AND_DEPOSITS &amp; FLEXBO_PGB_LOS_CONTRACT_FIELDS_TDATE)</t>
        </is>
      </c>
    </row>
    <row r="12" ht="41.25" customHeight="1" s="335">
      <c r="A12" s="433" t="inlineStr">
        <is>
          <t>PG_BRONZE</t>
        </is>
      </c>
      <c r="B12" s="415" t="inlineStr">
        <is>
          <t>T24CORE_LD_LOANS_AND_DEPOSITS</t>
        </is>
      </c>
      <c r="C12" s="433" t="inlineStr">
        <is>
          <t>INPUTTER</t>
        </is>
      </c>
      <c r="D12" s="433" t="inlineStr">
        <is>
          <t>1:1</t>
        </is>
      </c>
      <c r="E12" s="433" t="inlineStr">
        <is>
          <t>Arrangement x Involved Party Relationship</t>
        </is>
      </c>
      <c r="F12" s="433" t="inlineStr">
        <is>
          <t>Maker Officer</t>
        </is>
      </c>
      <c r="G12" s="558" t="inlineStr">
        <is>
          <t>AR_X_IP_RLTNP</t>
        </is>
      </c>
      <c r="H12" s="659" t="inlineStr">
        <is>
          <t>MAKER_OFCR</t>
        </is>
      </c>
      <c r="I12" s="415" t="inlineStr">
        <is>
          <t>VARCHAR2</t>
        </is>
      </c>
      <c r="J12" s="415" t="n">
        <v>40</v>
      </c>
      <c r="K12" s="415" t="inlineStr">
        <is>
          <t>ID người nhập liệu</t>
        </is>
      </c>
      <c r="M12" s="415">
        <f>"COMMENT ON COLUMN PG_SILVER."&amp;G12&amp;"."&amp;H12&amp;" IS '"&amp;K12&amp;"';"</f>
        <v/>
      </c>
      <c r="N12" s="414" t="inlineStr">
        <is>
          <t>Nhánh 1 (Hợp đồng tín dụng hiện hành từ T24CORE_LD_LOANS_AND_DEPOSITS &amp; FLEXBO_PGB_LOS_CONTRACT_FIELDS_TDATE)</t>
        </is>
      </c>
    </row>
    <row r="13" ht="41.25" customHeight="1" s="335">
      <c r="A13" s="433" t="inlineStr">
        <is>
          <t>PG_BRONZE</t>
        </is>
      </c>
      <c r="B13" s="415" t="inlineStr">
        <is>
          <t>T24CORE_LD_LOANS_AND_DEPOSITS</t>
        </is>
      </c>
      <c r="C13" s="433" t="inlineStr">
        <is>
          <t>AUTHORISER</t>
        </is>
      </c>
      <c r="D13" s="433" t="inlineStr">
        <is>
          <t>1:1</t>
        </is>
      </c>
      <c r="E13" s="433" t="inlineStr">
        <is>
          <t>Arrangement x Involved Party Relationship</t>
        </is>
      </c>
      <c r="F13" s="433" t="inlineStr">
        <is>
          <t>Checker Officer</t>
        </is>
      </c>
      <c r="G13" s="558" t="inlineStr">
        <is>
          <t>AR_X_IP_RLTNP</t>
        </is>
      </c>
      <c r="H13" s="659" t="inlineStr">
        <is>
          <t>CHKER_OFCR</t>
        </is>
      </c>
      <c r="I13" s="415" t="inlineStr">
        <is>
          <t>VARCHAR2</t>
        </is>
      </c>
      <c r="J13" s="415" t="n">
        <v>40</v>
      </c>
      <c r="K13" s="415" t="inlineStr">
        <is>
          <t>Mã người phê duyệt</t>
        </is>
      </c>
      <c r="M13" s="415">
        <f>"COMMENT ON COLUMN PG_SILVER."&amp;G13&amp;"."&amp;H13&amp;" IS '"&amp;K13&amp;"';"</f>
        <v/>
      </c>
      <c r="N13" s="414" t="inlineStr">
        <is>
          <t>Nhánh 1 (Hợp đồng tín dụng hiện hành từ T24CORE_LD_LOANS_AND_DEPOSITS &amp; FLEXBO_PGB_LOS_CONTRACT_FIELDS_TDATE)</t>
        </is>
      </c>
    </row>
    <row r="14" ht="41.25" customHeight="1" s="335">
      <c r="A14" s="433" t="inlineStr">
        <is>
          <t>PG_BRONZE</t>
        </is>
      </c>
      <c r="B14" s="415" t="inlineStr">
        <is>
          <t>T24CORE_LD_LOANS_AND_DEPOSITS</t>
        </is>
      </c>
      <c r="C14" s="433" t="inlineStr">
        <is>
          <t>MB_RM_BANCHEO</t>
        </is>
      </c>
      <c r="D14" s="433" t="inlineStr">
        <is>
          <t>1:1</t>
        </is>
      </c>
      <c r="E14" s="433" t="inlineStr">
        <is>
          <t>Arrangement x Involved Party Relationship</t>
        </is>
      </c>
      <c r="F14" s="433" t="inlineStr">
        <is>
          <t>Referrer Officer</t>
        </is>
      </c>
      <c r="G14" s="558" t="inlineStr">
        <is>
          <t>AR_X_IP_RLTNP</t>
        </is>
      </c>
      <c r="H14" s="659" t="inlineStr">
        <is>
          <t>REFRRER_OFCR</t>
        </is>
      </c>
      <c r="I14" s="415" t="inlineStr">
        <is>
          <t>VARCHAR2</t>
        </is>
      </c>
      <c r="J14" s="415" t="n">
        <v>40</v>
      </c>
      <c r="K14" s="415" t="inlineStr">
        <is>
          <t>ID nhân viên giới thiệu</t>
        </is>
      </c>
      <c r="M14" s="415">
        <f>"COMMENT ON COLUMN PG_SILVER."&amp;G14&amp;"."&amp;H14&amp;" IS '"&amp;K14&amp;"';"</f>
        <v/>
      </c>
      <c r="N14" s="414" t="inlineStr">
        <is>
          <t>Nhánh 1 (Hợp đồng tín dụng hiện hành từ T24CORE_LD_LOANS_AND_DEPOSITS &amp; FLEXBO_PGB_LOS_CONTRACT_FIELDS_TDATE)</t>
        </is>
      </c>
    </row>
    <row r="15" ht="41.25" customHeight="1" s="335">
      <c r="A15" s="433" t="inlineStr">
        <is>
          <t>PG_BRONZE</t>
        </is>
      </c>
      <c r="B15" s="415" t="inlineStr">
        <is>
          <t>FLEXBO_PGB_LOS_CONTRACT_FIELDS_TDATE</t>
        </is>
      </c>
      <c r="C15" s="433" t="inlineStr">
        <is>
          <t>CAN_BO_DE_XUAT_GN</t>
        </is>
      </c>
      <c r="D15" s="433" t="inlineStr">
        <is>
          <t>1:1</t>
        </is>
      </c>
      <c r="E15" s="433" t="inlineStr">
        <is>
          <t>Arrangement x Involved Party Relationship</t>
        </is>
      </c>
      <c r="F15" s="433" t="inlineStr">
        <is>
          <t>Disbursement proposal officer</t>
        </is>
      </c>
      <c r="G15" s="558" t="inlineStr">
        <is>
          <t>AR_X_IP_RLTNP</t>
        </is>
      </c>
      <c r="H15" s="659" t="inlineStr">
        <is>
          <t>DSBR_PRPSL_OFCR</t>
        </is>
      </c>
      <c r="I15" s="415" t="inlineStr">
        <is>
          <t>VARCHAR2</t>
        </is>
      </c>
      <c r="J15" s="415" t="n">
        <v>40</v>
      </c>
      <c r="K15" s="415" t="inlineStr">
        <is>
          <t>Cán bộ đề xuất giải ngân</t>
        </is>
      </c>
      <c r="M15" s="415">
        <f>"COMMENT ON COLUMN PG_SILVER."&amp;G15&amp;"."&amp;H15&amp;" IS '"&amp;K15&amp;"';"</f>
        <v/>
      </c>
      <c r="N15" s="414" t="inlineStr">
        <is>
          <t>Nhánh 1 (Hợp đồng tín dụng hiện hành từ T24CORE_LD_LOANS_AND_DEPOSITS &amp; FLEXBO_PGB_LOS_CONTRACT_FIELDS_TDATE)</t>
        </is>
      </c>
    </row>
    <row r="16" ht="41.25" customHeight="1" s="335">
      <c r="A16" s="433" t="inlineStr">
        <is>
          <t>PG_BRONZE</t>
        </is>
      </c>
      <c r="B16" s="415" t="inlineStr">
        <is>
          <t>FLEXBO_PGB_LOS_CONTRACT_FIELDS_TDATE</t>
        </is>
      </c>
      <c r="C16" s="433" t="inlineStr">
        <is>
          <t>TT_PP_DE_XUAT_GN</t>
        </is>
      </c>
      <c r="D16" s="433" t="inlineStr">
        <is>
          <t>1:1</t>
        </is>
      </c>
      <c r="E16" s="433" t="inlineStr">
        <is>
          <t>Arrangement x Involved Party Relationship</t>
        </is>
      </c>
      <c r="F16" s="433" t="inlineStr">
        <is>
          <t>Disbursement Proposal Manager</t>
        </is>
      </c>
      <c r="G16" s="558" t="inlineStr">
        <is>
          <t>AR_X_IP_RLTNP</t>
        </is>
      </c>
      <c r="H16" s="659" t="inlineStr">
        <is>
          <t>DSBR_PRPSL_MGR</t>
        </is>
      </c>
      <c r="I16" s="415" t="inlineStr">
        <is>
          <t>VARCHAR2</t>
        </is>
      </c>
      <c r="J16" s="415" t="n">
        <v>40</v>
      </c>
      <c r="K16" s="415" t="inlineStr">
        <is>
          <t>Người đề xuất giải ngân</t>
        </is>
      </c>
      <c r="M16" s="415">
        <f>"COMMENT ON COLUMN PG_SILVER."&amp;G16&amp;"."&amp;H16&amp;" IS '"&amp;K16&amp;"';"</f>
        <v/>
      </c>
      <c r="N16" s="414" t="inlineStr">
        <is>
          <t>Nhánh 1 (Hợp đồng tín dụng hiện hành từ T24CORE_LD_LOANS_AND_DEPOSITS &amp; FLEXBO_PGB_LOS_CONTRACT_FIELDS_TDATE)</t>
        </is>
      </c>
    </row>
    <row r="17" ht="41.25" customHeight="1" s="335">
      <c r="A17" s="433" t="inlineStr">
        <is>
          <t>PG_BRONZE</t>
        </is>
      </c>
      <c r="B17" s="415" t="inlineStr">
        <is>
          <t>FLEXBO_PGB_LOS_CONTRACT_FIELDS_TDATE</t>
        </is>
      </c>
      <c r="C17" s="433" t="inlineStr">
        <is>
          <t>CBTD_QL_KHOAN_VAY</t>
        </is>
      </c>
      <c r="D17" s="433" t="inlineStr">
        <is>
          <t>1:1</t>
        </is>
      </c>
      <c r="E17" s="433" t="inlineStr">
        <is>
          <t>Arrangement x Involved Party Relationship</t>
        </is>
      </c>
      <c r="F17" s="433" t="inlineStr">
        <is>
          <t>Management Officer</t>
        </is>
      </c>
      <c r="G17" s="558" t="inlineStr">
        <is>
          <t>AR_X_IP_RLTNP</t>
        </is>
      </c>
      <c r="H17" s="659" t="inlineStr">
        <is>
          <t>MGT_OFCR</t>
        </is>
      </c>
      <c r="I17" s="415" t="inlineStr">
        <is>
          <t>VARCHAR2</t>
        </is>
      </c>
      <c r="J17" s="415" t="n">
        <v>40</v>
      </c>
      <c r="K17" s="415" t="inlineStr">
        <is>
          <t>Cán bộ quản lý khoản vay</t>
        </is>
      </c>
      <c r="M17" s="415">
        <f>"COMMENT ON COLUMN PG_SILVER."&amp;G17&amp;"."&amp;H17&amp;" IS '"&amp;K17&amp;"';"</f>
        <v/>
      </c>
      <c r="N17" s="414" t="inlineStr">
        <is>
          <t>Nhánh 1 (Hợp đồng tín dụng hiện hành từ T24CORE_LD_LOANS_AND_DEPOSITS &amp; FLEXBO_PGB_LOS_CONTRACT_FIELDS_TDATE)</t>
        </is>
      </c>
    </row>
    <row r="18" ht="41.25" customHeight="1" s="335">
      <c r="A18" s="433" t="inlineStr">
        <is>
          <t>PG_BRONZE</t>
        </is>
      </c>
      <c r="B18" s="415" t="inlineStr">
        <is>
          <t>FLEXBO_PGB_LOS_CONTRACT_FIELDS_TDATE</t>
        </is>
      </c>
      <c r="C18" s="433" t="inlineStr">
        <is>
          <t>TP_PP_QL_KHOAN_VAY</t>
        </is>
      </c>
      <c r="D18" s="433" t="inlineStr">
        <is>
          <t>1:1</t>
        </is>
      </c>
      <c r="E18" s="433" t="inlineStr">
        <is>
          <t>Arrangement x Involved Party Relationship</t>
        </is>
      </c>
      <c r="F18" s="433" t="inlineStr">
        <is>
          <t>Management Manager</t>
        </is>
      </c>
      <c r="G18" s="558" t="inlineStr">
        <is>
          <t>AR_X_IP_RLTNP</t>
        </is>
      </c>
      <c r="H18" s="659" t="inlineStr">
        <is>
          <t>MGT_MGR</t>
        </is>
      </c>
      <c r="I18" s="415" t="inlineStr">
        <is>
          <t>VARCHAR2</t>
        </is>
      </c>
      <c r="J18" s="415" t="n">
        <v>40</v>
      </c>
      <c r="K18" s="415" t="inlineStr">
        <is>
          <t>Người quản lý khoản vay</t>
        </is>
      </c>
      <c r="M18" s="415">
        <f>"COMMENT ON COLUMN PG_SILVER."&amp;G18&amp;"."&amp;H18&amp;" IS '"&amp;K18&amp;"';"</f>
        <v/>
      </c>
      <c r="N18" s="414" t="inlineStr">
        <is>
          <t>Nhánh 1 (Hợp đồng tín dụng hiện hành từ T24CORE_LD_LOANS_AND_DEPOSITS &amp; FLEXBO_PGB_LOS_CONTRACT_FIELDS_TDATE)</t>
        </is>
      </c>
    </row>
    <row r="19" ht="41.25" customHeight="1" s="335">
      <c r="A19" s="433" t="inlineStr">
        <is>
          <t>PG_BRONZE</t>
        </is>
      </c>
      <c r="B19" s="415" t="inlineStr">
        <is>
          <t>FLEXBO_PGB_LOS_CONTRACT_FIELDS_TDATE</t>
        </is>
      </c>
      <c r="C19" s="433" t="inlineStr">
        <is>
          <t>CAP_PHE_DUYET_GNTL</t>
        </is>
      </c>
      <c r="D19" s="433" t="inlineStr">
        <is>
          <t>1:1</t>
        </is>
      </c>
      <c r="E19" s="433" t="inlineStr">
        <is>
          <t>Arrangement x Involved Party Relationship</t>
        </is>
      </c>
      <c r="F19" s="433" t="inlineStr">
        <is>
          <t>Approval Authority</t>
        </is>
      </c>
      <c r="G19" s="558" t="inlineStr">
        <is>
          <t>AR_X_IP_RLTNP</t>
        </is>
      </c>
      <c r="H19" s="659" t="inlineStr">
        <is>
          <t>APRV_AHR</t>
        </is>
      </c>
      <c r="I19" s="415" t="inlineStr">
        <is>
          <t>VARCHAR2</t>
        </is>
      </c>
      <c r="J19" s="415" t="n">
        <v>1000</v>
      </c>
      <c r="K19" s="415" t="inlineStr">
        <is>
          <t>Cấp phê duyệt giải ngân</t>
        </is>
      </c>
      <c r="M19" s="415">
        <f>"COMMENT ON COLUMN PG_SILVER."&amp;G19&amp;"."&amp;H19&amp;" IS '"&amp;K19&amp;"';"</f>
        <v/>
      </c>
      <c r="N19" s="414" t="inlineStr">
        <is>
          <t>Nhánh 1 (Hợp đồng tín dụng hiện hành từ T24CORE_LD_LOANS_AND_DEPOSITS &amp; FLEXBO_PGB_LOS_CONTRACT_FIELDS_TDATE)</t>
        </is>
      </c>
    </row>
    <row r="20" ht="41.25" customHeight="1" s="335">
      <c r="A20" s="433" t="inlineStr">
        <is>
          <t>PG_BRONZE</t>
        </is>
      </c>
      <c r="B20" s="415" t="inlineStr">
        <is>
          <t>T24CORE_LD_LOANS_AND_DEPOSITS</t>
        </is>
      </c>
      <c r="C20" s="433" t="inlineStr">
        <is>
          <t>RECID</t>
        </is>
      </c>
      <c r="D20" s="433" t="inlineStr">
        <is>
          <t>ETL_DATE if not exists AR_ID</t>
        </is>
      </c>
      <c r="E20" s="433" t="inlineStr">
        <is>
          <t>Arrangement x Involved Party Relationship</t>
        </is>
      </c>
      <c r="F20" s="433" t="inlineStr">
        <is>
          <t>System Effective Date</t>
        </is>
      </c>
      <c r="G20" s="558" t="inlineStr">
        <is>
          <t>AR_X_IP_RLTNP</t>
        </is>
      </c>
      <c r="H20" s="659" t="inlineStr">
        <is>
          <t>SYS_EFF_DT</t>
        </is>
      </c>
      <c r="I20" s="415" t="inlineStr">
        <is>
          <t>DATE</t>
        </is>
      </c>
      <c r="J20" s="415" t="n"/>
      <c r="K20" s="415" t="inlineStr">
        <is>
          <t>Ngày bản ghi lần đầu tiên vào hệ thống</t>
        </is>
      </c>
      <c r="M20" s="415">
        <f>"COMMENT ON COLUMN PG_SILVER."&amp;G20&amp;"."&amp;H20&amp;" IS '"&amp;K20&amp;"';"</f>
        <v/>
      </c>
      <c r="N20" s="414" t="inlineStr">
        <is>
          <t>Nhánh 1 (Hợp đồng tín dụng hiện hành từ T24CORE_LD_LOANS_AND_DEPOSITS &amp; FLEXBO_PGB_LOS_CONTRACT_FIELDS_TDATE)</t>
        </is>
      </c>
    </row>
    <row r="21" ht="41.25" customHeight="1" s="335">
      <c r="A21" s="433" t="inlineStr">
        <is>
          <t>PG_BRONZE</t>
        </is>
      </c>
      <c r="B21" s="415" t="inlineStr">
        <is>
          <t>T24CORE_LD_LOANS_AND_DEPOSITS</t>
        </is>
      </c>
      <c r="C21" s="433" t="inlineStr">
        <is>
          <t>RECID</t>
        </is>
      </c>
      <c r="D21" s="433" t="inlineStr">
        <is>
          <t>ETL_DATE if RECID was deleted</t>
        </is>
      </c>
      <c r="E21" s="433" t="inlineStr">
        <is>
          <t>Arrangement x Involved Party Relationship</t>
        </is>
      </c>
      <c r="F21" s="433" t="inlineStr">
        <is>
          <t>System Expiry Date</t>
        </is>
      </c>
      <c r="G21" s="558" t="inlineStr">
        <is>
          <t>AR_X_IP_RLTNP</t>
        </is>
      </c>
      <c r="H21" s="659" t="inlineStr">
        <is>
          <t>SYS_EXP_DT</t>
        </is>
      </c>
      <c r="I21" s="415" t="inlineStr">
        <is>
          <t>DATE</t>
        </is>
      </c>
      <c r="J21" s="415" t="n"/>
      <c r="K21" s="415" t="inlineStr">
        <is>
          <t>Ngày hết hạn của bản ghi</t>
        </is>
      </c>
      <c r="M21" s="415">
        <f>"COMMENT ON COLUMN PG_SILVER."&amp;G21&amp;"."&amp;H21&amp;" IS '"&amp;K21&amp;"';"</f>
        <v/>
      </c>
      <c r="N21" s="414" t="inlineStr">
        <is>
          <t>Nhánh 1 (Hợp đồng tín dụng hiện hành từ T24CORE_LD_LOANS_AND_DEPOSITS &amp; FLEXBO_PGB_LOS_CONTRACT_FIELDS_TDATE)</t>
        </is>
      </c>
    </row>
    <row r="22" ht="41.25" customHeight="1" s="335">
      <c r="A22" s="433" t="inlineStr">
        <is>
          <t>PG_BRONZE</t>
        </is>
      </c>
      <c r="B22" s="415" t="inlineStr">
        <is>
          <t>T24CORE_LD_LOANS_AND_DEPOSITS</t>
        </is>
      </c>
      <c r="C22" s="433" t="inlineStr">
        <is>
          <t>RECID</t>
        </is>
      </c>
      <c r="D22" s="433" t="inlineStr">
        <is>
          <t>ETL_DATE</t>
        </is>
      </c>
      <c r="E22" s="433" t="inlineStr">
        <is>
          <t>Arrangement x Involved Party Relationship</t>
        </is>
      </c>
      <c r="F22" s="433" t="inlineStr">
        <is>
          <t>System Update Date</t>
        </is>
      </c>
      <c r="G22" s="558" t="inlineStr">
        <is>
          <t>AR_X_IP_RLTNP</t>
        </is>
      </c>
      <c r="H22" s="659" t="inlineStr">
        <is>
          <t>SYS_UDT_DT</t>
        </is>
      </c>
      <c r="I22" s="415" t="inlineStr">
        <is>
          <t>DATE</t>
        </is>
      </c>
      <c r="J22" s="415" t="n"/>
      <c r="K22" s="415" t="inlineStr">
        <is>
          <t>Ngày update dữ liệu gần nhất</t>
        </is>
      </c>
      <c r="M22" s="415">
        <f>"COMMENT ON COLUMN PG_SILVER."&amp;G22&amp;"."&amp;H22&amp;" IS '"&amp;K22&amp;"';"</f>
        <v/>
      </c>
      <c r="N22" s="414" t="inlineStr">
        <is>
          <t>Nhánh 1 (Hợp đồng tín dụng hiện hành từ T24CORE_LD_LOANS_AND_DEPOSITS &amp; FLEXBO_PGB_LOS_CONTRACT_FIELDS_TDATE)</t>
        </is>
      </c>
    </row>
    <row r="23" ht="41.25" customHeight="1" s="335"/>
    <row r="24" ht="41.25" customHeight="1" s="335">
      <c r="A24" s="334" t="inlineStr">
        <is>
          <t>UNION ALL</t>
        </is>
      </c>
    </row>
    <row r="25" ht="14.25" customHeight="1" s="335">
      <c r="A25" s="334" t="inlineStr">
        <is>
          <t>Nguồn</t>
        </is>
      </c>
      <c r="B25" s="334" t="inlineStr">
        <is>
          <t>Bảng nguồn</t>
        </is>
      </c>
      <c r="C25" s="334" t="inlineStr">
        <is>
          <t>Short table</t>
        </is>
      </c>
      <c r="D25" s="334" t="inlineStr">
        <is>
          <t>Business Rule</t>
        </is>
      </c>
    </row>
    <row r="26" ht="14.25" customHeight="1" s="335">
      <c r="A26" s="334" t="inlineStr">
        <is>
          <t>PG_BRONZE</t>
        </is>
      </c>
      <c r="B26" s="334" t="inlineStr">
        <is>
          <t>T24CORE_LD_LOANS_AND_DEPOSITS_HIS</t>
        </is>
      </c>
      <c r="C26" s="334" t="inlineStr">
        <is>
          <t>ldh</t>
        </is>
      </c>
      <c r="D26" s="334" t="inlineStr">
        <is>
          <t>WHERE ldh.CURR_NO = (SELECT MAX(t.CURR_NO) FROM PG_BRONZE.T24CORE_LD_LOANS_AND_DEPOSITS_HIS t WHERE SUBSTR(ldh.RECID,1,INSTR(ldh.RECID,';')-1) = SUBSTR(t.RECID,1,INSTR(t.RECID,';')-1)) AND NOT EXISTS (SELECT 1 FROM PG_BRONZE.T24CORE_LD_LOANS_AND_DEPOSITS_HIS t WHERE SUBSTR(ldh.RECID,1,INSTR(ldh.RECID,';')-1) = SUBSTR(t.RECID,1,INSTR(t.RECID,';')-1) AND NVL(t.RECORD_STATUS,'_') = 'REVE') AND NOT EXISTS (SELECT 1 FROM PG_BRONZE.T24CORE_LD_LOANS_AND_DEPOSITS ld WHERE SUBSTR(ldh.RECID,1,INSTR(ldh.RECID,';')-1) = ld.RECID)</t>
        </is>
      </c>
    </row>
    <row r="27" ht="14.25" customHeight="1" s="335">
      <c r="A27" s="334" t="inlineStr">
        <is>
          <t>PG_BRONZE</t>
        </is>
      </c>
      <c r="B27" s="334" t="inlineStr">
        <is>
          <t>FLEXBO_PGB_LOS_CONTRACT_FIELDS_TDATE</t>
        </is>
      </c>
      <c r="C27" s="334" t="inlineStr">
        <is>
          <t>d</t>
        </is>
      </c>
      <c r="D27" s="334" t="inlineStr">
        <is>
          <t>(LEFT JOIN) ON d.CONTRACT_REF_NO = SUBSTR(ldh.RECID,1,INSTR(ldh.RECID,';')-1) AND d.MOV_DATE = TO_DATE(COALESCE(ldh.ORIG_VAL_DATE, ldh.VALUE_DATE), 'YYYYMMDD')</t>
        </is>
      </c>
    </row>
    <row r="29" ht="14.25" customHeight="1" s="335">
      <c r="A29" s="432" t="inlineStr">
        <is>
          <t>Nguồn</t>
        </is>
      </c>
      <c r="B29" s="432" t="inlineStr">
        <is>
          <t>Bảng nguồn</t>
        </is>
      </c>
      <c r="C29" s="432" t="inlineStr">
        <is>
          <t>Cột nguồn</t>
        </is>
      </c>
      <c r="D29" s="432" t="inlineStr">
        <is>
          <t>Transform</t>
        </is>
      </c>
      <c r="E29" s="432" t="inlineStr">
        <is>
          <t>Entity</t>
        </is>
      </c>
      <c r="F29" s="432" t="inlineStr">
        <is>
          <t>Attribute</t>
        </is>
      </c>
      <c r="G29" s="432" t="inlineStr">
        <is>
          <t>Bảng đích</t>
        </is>
      </c>
      <c r="H29" s="432" t="inlineStr">
        <is>
          <t>Cột đích</t>
        </is>
      </c>
      <c r="I29" s="432" t="inlineStr">
        <is>
          <t>Kiểu dữ liệu</t>
        </is>
      </c>
      <c r="J29" s="432" t="inlineStr">
        <is>
          <t>Độ dài</t>
        </is>
      </c>
      <c r="K29" s="432" t="inlineStr">
        <is>
          <t>Diễn giải</t>
        </is>
      </c>
      <c r="L29" s="432" t="inlineStr">
        <is>
          <t>Glossary</t>
        </is>
      </c>
      <c r="M29" s="432" t="inlineStr">
        <is>
          <t>DDL Comment</t>
        </is>
      </c>
      <c r="N29" s="413" t="inlineStr">
        <is>
          <t>Ghi chú kỹ thuật &amp; Business Rule</t>
        </is>
      </c>
    </row>
    <row r="30" ht="14.25" customHeight="1" s="335">
      <c r="A30" s="433" t="inlineStr">
        <is>
          <t>PG_BRONZE</t>
        </is>
      </c>
      <c r="B30" s="415" t="inlineStr">
        <is>
          <t>T24CORE_LD_LOANS_AND_DEPOSITS_HIS</t>
        </is>
      </c>
      <c r="C30" s="433" t="inlineStr">
        <is>
          <t>RECID</t>
        </is>
      </c>
      <c r="D30" s="433" t="inlineStr">
        <is>
          <t>'T24_LD_LOANS_AND_DEPOSITS_HIS'</t>
        </is>
      </c>
      <c r="E30" s="433" t="inlineStr">
        <is>
          <t>Arrangement x Involved Party Relationship</t>
        </is>
      </c>
      <c r="F30" s="433" t="inlineStr">
        <is>
          <t>Source System Code</t>
        </is>
      </c>
      <c r="G30" s="558" t="inlineStr">
        <is>
          <t>AR_X_IP_RLTNP</t>
        </is>
      </c>
      <c r="H30" s="659" t="inlineStr">
        <is>
          <t>SRC_STM_CODE</t>
        </is>
      </c>
      <c r="I30" s="415" t="inlineStr">
        <is>
          <t>VARCHAR2</t>
        </is>
      </c>
      <c r="J30" s="415" t="n">
        <v>40</v>
      </c>
      <c r="K30" s="415" t="inlineStr">
        <is>
          <t>Mã nguồn dữ liệu</t>
        </is>
      </c>
      <c r="L30" s="334" t="inlineStr">
        <is>
          <t>SRC_STM_CODE</t>
        </is>
      </c>
      <c r="M30" s="334">
        <f>"COMMENT ON COLUMN PG_SILVER."&amp;G30&amp;"."&amp;H30&amp;" IS '"&amp;K30&amp;"';"</f>
        <v/>
      </c>
      <c r="N30" s="414" t="inlineStr">
        <is>
          <t>Nhánh 2 (UNION ALL từ T24CORE_LD_LOANS_AND_DEPOSITS_HIS &amp; FLEXBO_PGB_LOS_CONTRACT_FIELDS_TDATE)</t>
        </is>
      </c>
    </row>
    <row r="31" ht="14.25" customHeight="1" s="335">
      <c r="A31" s="433" t="inlineStr">
        <is>
          <t>PG_BRONZE</t>
        </is>
      </c>
      <c r="B31" s="415" t="inlineStr">
        <is>
          <t>T24CORE_LD_LOANS_AND_DEPOSITS_HIS</t>
        </is>
      </c>
      <c r="C31" s="433" t="inlineStr">
        <is>
          <t>RECID</t>
        </is>
      </c>
      <c r="D31" s="433" t="inlineStr">
        <is>
          <t>fn_hash("T24_LD_LOANS_AND_DEPOSITS", SUBSTR(ldh.RECID,1,INSTR(ldh.RECID,';')-1))</t>
        </is>
      </c>
      <c r="E31" s="433" t="inlineStr">
        <is>
          <t>Arrangement x Involved Party Relationship</t>
        </is>
      </c>
      <c r="F31" s="433" t="inlineStr">
        <is>
          <t>Arrangement ID</t>
        </is>
      </c>
      <c r="G31" s="558" t="inlineStr">
        <is>
          <t>AR_X_IP_RLTNP</t>
        </is>
      </c>
      <c r="H31" s="659" t="inlineStr">
        <is>
          <t>AR_ID</t>
        </is>
      </c>
      <c r="I31" s="415" t="inlineStr">
        <is>
          <t>CHAR</t>
        </is>
      </c>
      <c r="J31" s="415" t="n">
        <v>32</v>
      </c>
      <c r="K31" s="415" t="inlineStr">
        <is>
          <t>Unique key hợp đồng trên DWH</t>
        </is>
      </c>
      <c r="L31" s="334" t="inlineStr">
        <is>
          <t>AR_ID</t>
        </is>
      </c>
      <c r="M31" s="334">
        <f>"COMMENT ON COLUMN PG_SILVER."&amp;G31&amp;"."&amp;H31&amp;" IS '"&amp;K31&amp;"';"</f>
        <v/>
      </c>
      <c r="N31" s="414" t="inlineStr">
        <is>
          <t>Nhánh 2 (UNION ALL từ T24CORE_LD_LOANS_AND_DEPOSITS_HIS &amp; FLEXBO_PGB_LOS_CONTRACT_FIELDS_TDATE)</t>
        </is>
      </c>
    </row>
    <row r="32" ht="41.25" customHeight="1" s="335">
      <c r="A32" s="433" t="inlineStr">
        <is>
          <t>PG_BRONZE</t>
        </is>
      </c>
      <c r="B32" s="415" t="inlineStr">
        <is>
          <t>T24CORE_LD_LOANS_AND_DEPOSITS_HIS</t>
        </is>
      </c>
      <c r="C32" s="433" t="inlineStr">
        <is>
          <t>RECID</t>
        </is>
      </c>
      <c r="D32" s="433" t="inlineStr">
        <is>
          <t>SUBSTR(ldh.RECID,1,INSTR(ldh.RECID,';')-1)</t>
        </is>
      </c>
      <c r="E32" s="433" t="inlineStr">
        <is>
          <t>Arrangement x Involved Party Relationship</t>
        </is>
      </c>
      <c r="F32" s="433" t="inlineStr">
        <is>
          <t>Arrangement Code</t>
        </is>
      </c>
      <c r="G32" s="558" t="inlineStr">
        <is>
          <t>AR_X_IP_RLTNP</t>
        </is>
      </c>
      <c r="H32" s="659" t="inlineStr">
        <is>
          <t>AR_CODE</t>
        </is>
      </c>
      <c r="I32" s="415" t="inlineStr">
        <is>
          <t>VARCHAR2</t>
        </is>
      </c>
      <c r="J32" s="415" t="n">
        <v>40</v>
      </c>
      <c r="K32" s="415" t="inlineStr">
        <is>
          <t>Mã hợp đồng</t>
        </is>
      </c>
      <c r="L32" s="334" t="inlineStr">
        <is>
          <t>AR_CODE</t>
        </is>
      </c>
      <c r="M32" s="334">
        <f>"COMMENT ON COLUMN PG_SILVER."&amp;G32&amp;"."&amp;H32&amp;" IS '"&amp;K32&amp;"';"</f>
        <v/>
      </c>
      <c r="N32" s="414" t="inlineStr">
        <is>
          <t>Nhánh 2 (UNION ALL từ T24CORE_LD_LOANS_AND_DEPOSITS_HIS &amp; FLEXBO_PGB_LOS_CONTRACT_FIELDS_TDATE)</t>
        </is>
      </c>
    </row>
    <row r="33" ht="41.25" customHeight="1" s="335">
      <c r="A33" s="433" t="inlineStr">
        <is>
          <t>PG_BRONZE</t>
        </is>
      </c>
      <c r="B33" s="415" t="inlineStr">
        <is>
          <t>T24CORE_LD_LOANS_AND_DEPOSITS_HIS</t>
        </is>
      </c>
      <c r="C33" s="433" t="inlineStr">
        <is>
          <t>CUSTOMER_ID</t>
        </is>
      </c>
      <c r="D33" s="433" t="inlineStr">
        <is>
          <t>fn_hash("T24_CUSTOMER", ldh.CUSTOMER_ID)</t>
        </is>
      </c>
      <c r="E33" s="433" t="inlineStr">
        <is>
          <t>Arrangement x Involved Party Relationship</t>
        </is>
      </c>
      <c r="F33" s="433" t="inlineStr">
        <is>
          <t>Customer ID</t>
        </is>
      </c>
      <c r="G33" s="558" t="inlineStr">
        <is>
          <t>AR_X_IP_RLTNP</t>
        </is>
      </c>
      <c r="H33" s="659" t="inlineStr">
        <is>
          <t>CST_ID</t>
        </is>
      </c>
      <c r="I33" s="415" t="inlineStr">
        <is>
          <t>CHAR</t>
        </is>
      </c>
      <c r="J33" s="415" t="n">
        <v>32</v>
      </c>
      <c r="K33" s="415" t="inlineStr">
        <is>
          <t>ID khách hàng trên DWH</t>
        </is>
      </c>
      <c r="L33" s="334" t="inlineStr">
        <is>
          <t>CST_ID</t>
        </is>
      </c>
      <c r="M33" s="334">
        <f>"COMMENT ON COLUMN PG_SILVER."&amp;G33&amp;"."&amp;H33&amp;" IS '"&amp;K33&amp;"';"</f>
        <v/>
      </c>
      <c r="N33" s="414" t="inlineStr">
        <is>
          <t>Nhánh 2 (UNION ALL từ T24CORE_LD_LOANS_AND_DEPOSITS_HIS &amp; FLEXBO_PGB_LOS_CONTRACT_FIELDS_TDATE)</t>
        </is>
      </c>
    </row>
    <row r="34" ht="41.25" customHeight="1" s="335">
      <c r="A34" s="433" t="inlineStr">
        <is>
          <t>PG_BRONZE</t>
        </is>
      </c>
      <c r="B34" s="415" t="inlineStr">
        <is>
          <t>T24CORE_LD_LOANS_AND_DEPOSITS_HIS</t>
        </is>
      </c>
      <c r="C34" s="433" t="inlineStr">
        <is>
          <t>CUSTOMER_ID</t>
        </is>
      </c>
      <c r="D34" s="433" t="inlineStr">
        <is>
          <t>1:1</t>
        </is>
      </c>
      <c r="E34" s="433" t="inlineStr">
        <is>
          <t>Arrangement x Involved Party Relationship</t>
        </is>
      </c>
      <c r="F34" s="433" t="inlineStr">
        <is>
          <t>Customer Code</t>
        </is>
      </c>
      <c r="G34" s="558" t="inlineStr">
        <is>
          <t>AR_X_IP_RLTNP</t>
        </is>
      </c>
      <c r="H34" s="659" t="inlineStr">
        <is>
          <t>CST_CODE</t>
        </is>
      </c>
      <c r="I34" s="415" t="inlineStr">
        <is>
          <t>VARCHAR2</t>
        </is>
      </c>
      <c r="J34" s="415" t="n">
        <v>20</v>
      </c>
      <c r="K34" s="415" t="inlineStr">
        <is>
          <t>Mã khách hàng</t>
        </is>
      </c>
      <c r="L34" s="334" t="inlineStr">
        <is>
          <t>CST_CODE</t>
        </is>
      </c>
      <c r="M34" s="334">
        <f>"COMMENT ON COLUMN PG_SILVER."&amp;G34&amp;"."&amp;H34&amp;" IS '"&amp;K34&amp;"';"</f>
        <v/>
      </c>
      <c r="N34" s="414" t="inlineStr">
        <is>
          <t>Nhánh 2 (UNION ALL từ T24CORE_LD_LOANS_AND_DEPOSITS_HIS &amp; FLEXBO_PGB_LOS_CONTRACT_FIELDS_TDATE)</t>
        </is>
      </c>
    </row>
    <row r="35" ht="41.25" customHeight="1" s="335">
      <c r="A35" s="433" t="inlineStr">
        <is>
          <t>PG_BRONZE</t>
        </is>
      </c>
      <c r="B35" s="415" t="inlineStr">
        <is>
          <t>T24CORE_LD_LOANS_AND_DEPOSITS_HIS</t>
        </is>
      </c>
      <c r="C35" s="433" t="inlineStr">
        <is>
          <t>RECID</t>
        </is>
      </c>
      <c r="D35" s="433" t="inlineStr">
        <is>
          <t>NULL</t>
        </is>
      </c>
      <c r="E35" s="433" t="inlineStr">
        <is>
          <t>Arrangement x Involved Party Relationship</t>
        </is>
      </c>
      <c r="F35" s="433" t="inlineStr">
        <is>
          <t>Maker Officer</t>
        </is>
      </c>
      <c r="G35" s="558" t="inlineStr">
        <is>
          <t>AR_X_IP_RLTNP</t>
        </is>
      </c>
      <c r="H35" s="659" t="inlineStr">
        <is>
          <t>MAKER_OFCR</t>
        </is>
      </c>
      <c r="I35" s="415" t="inlineStr">
        <is>
          <t>VARCHAR2</t>
        </is>
      </c>
      <c r="J35" s="415" t="n">
        <v>40</v>
      </c>
      <c r="K35" s="415" t="inlineStr">
        <is>
          <t>ID người nhập liệu</t>
        </is>
      </c>
      <c r="L35" s="334" t="inlineStr">
        <is>
          <t>MAKER_OFCR</t>
        </is>
      </c>
      <c r="M35" s="334">
        <f>"COMMENT ON COLUMN PG_SILVER."&amp;G35&amp;"."&amp;H35&amp;" IS '"&amp;K35&amp;"';"</f>
        <v/>
      </c>
      <c r="N35" s="414" t="inlineStr">
        <is>
          <t>Nhánh 2 (UNION ALL từ T24CORE_LD_LOANS_AND_DEPOSITS_HIS &amp; FLEXBO_PGB_LOS_CONTRACT_FIELDS_TDATE)</t>
        </is>
      </c>
    </row>
    <row r="36" ht="41.25" customHeight="1" s="335">
      <c r="A36" s="433" t="inlineStr">
        <is>
          <t>PG_BRONZE</t>
        </is>
      </c>
      <c r="B36" s="415" t="inlineStr">
        <is>
          <t>T24CORE_LD_LOANS_AND_DEPOSITS_HIS</t>
        </is>
      </c>
      <c r="C36" s="433" t="inlineStr">
        <is>
          <t>RECID</t>
        </is>
      </c>
      <c r="D36" s="433" t="inlineStr">
        <is>
          <t>NULL</t>
        </is>
      </c>
      <c r="E36" s="433" t="inlineStr">
        <is>
          <t>Arrangement x Involved Party Relationship</t>
        </is>
      </c>
      <c r="F36" s="433" t="inlineStr">
        <is>
          <t>Checker Officer</t>
        </is>
      </c>
      <c r="G36" s="558" t="inlineStr">
        <is>
          <t>AR_X_IP_RLTNP</t>
        </is>
      </c>
      <c r="H36" s="659" t="inlineStr">
        <is>
          <t>CHKER_OFCR</t>
        </is>
      </c>
      <c r="I36" s="415" t="inlineStr">
        <is>
          <t>VARCHAR2</t>
        </is>
      </c>
      <c r="J36" s="415" t="n">
        <v>40</v>
      </c>
      <c r="K36" s="415" t="inlineStr">
        <is>
          <t>Mã người phê duyệt</t>
        </is>
      </c>
      <c r="L36" s="334" t="inlineStr">
        <is>
          <t>CHKER_OFCR</t>
        </is>
      </c>
      <c r="M36" s="334">
        <f>"COMMENT ON COLUMN PG_SILVER."&amp;G36&amp;"."&amp;H36&amp;" IS '"&amp;K36&amp;"';"</f>
        <v/>
      </c>
      <c r="N36" s="414" t="inlineStr">
        <is>
          <t>Nhánh 2 (UNION ALL từ T24CORE_LD_LOANS_AND_DEPOSITS_HIS &amp; FLEXBO_PGB_LOS_CONTRACT_FIELDS_TDATE)</t>
        </is>
      </c>
    </row>
    <row r="37" ht="41.25" customHeight="1" s="335">
      <c r="A37" s="433" t="inlineStr">
        <is>
          <t>PG_BRONZE</t>
        </is>
      </c>
      <c r="B37" s="415" t="inlineStr">
        <is>
          <t>T24CORE_LD_LOANS_AND_DEPOSITS_HIS</t>
        </is>
      </c>
      <c r="C37" s="433" t="inlineStr">
        <is>
          <t>MB_RM_BANCHEO</t>
        </is>
      </c>
      <c r="D37" s="433" t="inlineStr">
        <is>
          <t>1:1</t>
        </is>
      </c>
      <c r="E37" s="433" t="inlineStr">
        <is>
          <t>Arrangement x Involved Party Relationship</t>
        </is>
      </c>
      <c r="F37" s="433" t="inlineStr">
        <is>
          <t>Referrer Officer</t>
        </is>
      </c>
      <c r="G37" s="558" t="inlineStr">
        <is>
          <t>AR_X_IP_RLTNP</t>
        </is>
      </c>
      <c r="H37" s="659" t="inlineStr">
        <is>
          <t>REFRRER_OFCR</t>
        </is>
      </c>
      <c r="I37" s="415" t="inlineStr">
        <is>
          <t>VARCHAR2</t>
        </is>
      </c>
      <c r="J37" s="415" t="n">
        <v>40</v>
      </c>
      <c r="K37" s="415" t="inlineStr">
        <is>
          <t>ID nhân viên giới thiệu</t>
        </is>
      </c>
      <c r="L37" s="334" t="inlineStr">
        <is>
          <t>REFRRER_OFCR</t>
        </is>
      </c>
      <c r="M37" s="334">
        <f>"COMMENT ON COLUMN PG_SILVER."&amp;G37&amp;"."&amp;H37&amp;" IS '"&amp;K37&amp;"';"</f>
        <v/>
      </c>
      <c r="N37" s="414" t="inlineStr">
        <is>
          <t>Nhánh 2 (UNION ALL từ T24CORE_LD_LOANS_AND_DEPOSITS_HIS &amp; FLEXBO_PGB_LOS_CONTRACT_FIELDS_TDATE)</t>
        </is>
      </c>
    </row>
    <row r="38" ht="41.25" customHeight="1" s="335">
      <c r="A38" s="433" t="inlineStr">
        <is>
          <t>PG_BRONZE</t>
        </is>
      </c>
      <c r="B38" s="415" t="inlineStr">
        <is>
          <t>FLEXBO_PGB_LOS_CONTRACT_FIELDS_TDATE</t>
        </is>
      </c>
      <c r="C38" s="433" t="inlineStr">
        <is>
          <t>CAN_BO_DE_XUAT_GN</t>
        </is>
      </c>
      <c r="D38" s="433" t="inlineStr">
        <is>
          <t>1:1</t>
        </is>
      </c>
      <c r="E38" s="433" t="inlineStr">
        <is>
          <t>Arrangement x Involved Party Relationship</t>
        </is>
      </c>
      <c r="F38" s="433" t="inlineStr">
        <is>
          <t>Disbursement proposal officer</t>
        </is>
      </c>
      <c r="G38" s="558" t="inlineStr">
        <is>
          <t>AR_X_IP_RLTNP</t>
        </is>
      </c>
      <c r="H38" s="659" t="inlineStr">
        <is>
          <t>DSBR_PRPSL_OFCR</t>
        </is>
      </c>
      <c r="I38" s="415" t="inlineStr">
        <is>
          <t>VARCHAR2</t>
        </is>
      </c>
      <c r="J38" s="415" t="n">
        <v>40</v>
      </c>
      <c r="K38" s="415" t="inlineStr">
        <is>
          <t>Cán bộ đề xuất giải ngân</t>
        </is>
      </c>
      <c r="L38" s="334" t="inlineStr">
        <is>
          <t>DSBR_PRPSL_OFCR</t>
        </is>
      </c>
      <c r="M38" s="334">
        <f>"COMMENT ON COLUMN PG_SILVER."&amp;G38&amp;"."&amp;H38&amp;" IS '"&amp;K38&amp;"';"</f>
        <v/>
      </c>
      <c r="N38" s="414" t="inlineStr">
        <is>
          <t>Nhánh 2 (UNION ALL từ T24CORE_LD_LOANS_AND_DEPOSITS_HIS &amp; FLEXBO_PGB_LOS_CONTRACT_FIELDS_TDATE)</t>
        </is>
      </c>
    </row>
    <row r="39" ht="41.25" customHeight="1" s="335">
      <c r="A39" s="433" t="inlineStr">
        <is>
          <t>PG_BRONZE</t>
        </is>
      </c>
      <c r="B39" s="415" t="inlineStr">
        <is>
          <t>FLEXBO_PGB_LOS_CONTRACT_FIELDS_TDATE</t>
        </is>
      </c>
      <c r="C39" s="433" t="inlineStr">
        <is>
          <t>TT_PP_DE_XUAT_GN</t>
        </is>
      </c>
      <c r="D39" s="433" t="inlineStr">
        <is>
          <t>1:1</t>
        </is>
      </c>
      <c r="E39" s="433" t="inlineStr">
        <is>
          <t>Arrangement x Involved Party Relationship</t>
        </is>
      </c>
      <c r="F39" s="433" t="inlineStr">
        <is>
          <t>Disbursement Proposal Manager</t>
        </is>
      </c>
      <c r="G39" s="558" t="inlineStr">
        <is>
          <t>AR_X_IP_RLTNP</t>
        </is>
      </c>
      <c r="H39" s="659" t="inlineStr">
        <is>
          <t>DSBR_PRPSL_MGR</t>
        </is>
      </c>
      <c r="I39" s="415" t="inlineStr">
        <is>
          <t>VARCHAR2</t>
        </is>
      </c>
      <c r="J39" s="415" t="n">
        <v>40</v>
      </c>
      <c r="K39" s="415" t="inlineStr">
        <is>
          <t>Người đề xuất giải ngân</t>
        </is>
      </c>
      <c r="L39" s="334" t="inlineStr">
        <is>
          <t>DSBR_PRPSL_MGR</t>
        </is>
      </c>
      <c r="M39" s="334">
        <f>"COMMENT ON COLUMN PG_SILVER."&amp;G39&amp;"."&amp;H39&amp;" IS '"&amp;K39&amp;"';"</f>
        <v/>
      </c>
      <c r="N39" s="414" t="inlineStr">
        <is>
          <t>Nhánh 2 (UNION ALL từ T24CORE_LD_LOANS_AND_DEPOSITS_HIS &amp; FLEXBO_PGB_LOS_CONTRACT_FIELDS_TDATE)</t>
        </is>
      </c>
    </row>
    <row r="40" ht="41.25" customHeight="1" s="335">
      <c r="A40" s="433" t="inlineStr">
        <is>
          <t>PG_BRONZE</t>
        </is>
      </c>
      <c r="B40" s="415" t="inlineStr">
        <is>
          <t>FLEXBO_PGB_LOS_CONTRACT_FIELDS_TDATE</t>
        </is>
      </c>
      <c r="C40" s="433" t="inlineStr">
        <is>
          <t>CBTD_QL_KHOAN_VAY</t>
        </is>
      </c>
      <c r="D40" s="433" t="inlineStr">
        <is>
          <t>1:1</t>
        </is>
      </c>
      <c r="E40" s="433" t="inlineStr">
        <is>
          <t>Arrangement x Involved Party Relationship</t>
        </is>
      </c>
      <c r="F40" s="433" t="inlineStr">
        <is>
          <t>Management Officer</t>
        </is>
      </c>
      <c r="G40" s="558" t="inlineStr">
        <is>
          <t>AR_X_IP_RLTNP</t>
        </is>
      </c>
      <c r="H40" s="659" t="inlineStr">
        <is>
          <t>MGT_OFCR</t>
        </is>
      </c>
      <c r="I40" s="415" t="inlineStr">
        <is>
          <t>VARCHAR2</t>
        </is>
      </c>
      <c r="J40" s="415" t="n">
        <v>40</v>
      </c>
      <c r="K40" s="415" t="inlineStr">
        <is>
          <t>Cán bộ quản lý khoản vay</t>
        </is>
      </c>
      <c r="L40" s="334" t="inlineStr">
        <is>
          <t>MGT_OFCR</t>
        </is>
      </c>
      <c r="M40" s="334">
        <f>"COMMENT ON COLUMN PG_SILVER."&amp;G40&amp;"."&amp;H40&amp;" IS '"&amp;K40&amp;"';"</f>
        <v/>
      </c>
      <c r="N40" s="414" t="inlineStr">
        <is>
          <t>Nhánh 2 (UNION ALL từ T24CORE_LD_LOANS_AND_DEPOSITS_HIS &amp; FLEXBO_PGB_LOS_CONTRACT_FIELDS_TDATE)</t>
        </is>
      </c>
    </row>
    <row r="41" ht="41.25" customHeight="1" s="335">
      <c r="A41" s="433" t="inlineStr">
        <is>
          <t>PG_BRONZE</t>
        </is>
      </c>
      <c r="B41" s="415" t="inlineStr">
        <is>
          <t>FLEXBO_PGB_LOS_CONTRACT_FIELDS_TDATE</t>
        </is>
      </c>
      <c r="C41" s="433" t="inlineStr">
        <is>
          <t>TP_PP_QL_KHOAN_VAY</t>
        </is>
      </c>
      <c r="D41" s="433" t="inlineStr">
        <is>
          <t>1:1</t>
        </is>
      </c>
      <c r="E41" s="433" t="inlineStr">
        <is>
          <t>Arrangement x Involved Party Relationship</t>
        </is>
      </c>
      <c r="F41" s="433" t="inlineStr">
        <is>
          <t>Management Manager</t>
        </is>
      </c>
      <c r="G41" s="558" t="inlineStr">
        <is>
          <t>AR_X_IP_RLTNP</t>
        </is>
      </c>
      <c r="H41" s="659" t="inlineStr">
        <is>
          <t>MGT_MGR</t>
        </is>
      </c>
      <c r="I41" s="415" t="inlineStr">
        <is>
          <t>VARCHAR2</t>
        </is>
      </c>
      <c r="J41" s="415" t="n">
        <v>40</v>
      </c>
      <c r="K41" s="415" t="inlineStr">
        <is>
          <t>Người quản lý khoản vay</t>
        </is>
      </c>
      <c r="L41" s="334" t="inlineStr">
        <is>
          <t>MGT_MGR</t>
        </is>
      </c>
      <c r="M41" s="334">
        <f>"COMMENT ON COLUMN PG_SILVER."&amp;G41&amp;"."&amp;H41&amp;" IS '"&amp;K41&amp;"';"</f>
        <v/>
      </c>
      <c r="N41" s="414" t="inlineStr">
        <is>
          <t>Nhánh 2 (UNION ALL từ T24CORE_LD_LOANS_AND_DEPOSITS_HIS &amp; FLEXBO_PGB_LOS_CONTRACT_FIELDS_TDATE)</t>
        </is>
      </c>
    </row>
    <row r="42" ht="41.25" customHeight="1" s="335">
      <c r="A42" s="433" t="inlineStr">
        <is>
          <t>PG_BRONZE</t>
        </is>
      </c>
      <c r="B42" s="415" t="inlineStr">
        <is>
          <t>FLEXBO_PGB_LOS_CONTRACT_FIELDS_TDATE</t>
        </is>
      </c>
      <c r="C42" s="433" t="inlineStr">
        <is>
          <t>CAP_PHE_DUYET_GNTL</t>
        </is>
      </c>
      <c r="D42" s="433" t="inlineStr">
        <is>
          <t>1:1</t>
        </is>
      </c>
      <c r="E42" s="433" t="inlineStr">
        <is>
          <t>Arrangement x Involved Party Relationship</t>
        </is>
      </c>
      <c r="F42" s="433" t="inlineStr">
        <is>
          <t>Approval Authority</t>
        </is>
      </c>
      <c r="G42" s="558" t="inlineStr">
        <is>
          <t>AR_X_IP_RLTNP</t>
        </is>
      </c>
      <c r="H42" s="659" t="inlineStr">
        <is>
          <t>APRV_AHR</t>
        </is>
      </c>
      <c r="I42" s="415" t="inlineStr">
        <is>
          <t>VARCHAR2</t>
        </is>
      </c>
      <c r="J42" s="415" t="n">
        <v>1000</v>
      </c>
      <c r="K42" s="415" t="inlineStr">
        <is>
          <t>Cấp phê duyệt giải ngân</t>
        </is>
      </c>
      <c r="L42" s="334" t="inlineStr">
        <is>
          <t>APRV_AHR</t>
        </is>
      </c>
      <c r="M42" s="334">
        <f>"COMMENT ON COLUMN PG_SILVER."&amp;G42&amp;"."&amp;H42&amp;" IS '"&amp;K42&amp;"';"</f>
        <v/>
      </c>
      <c r="N42" s="414" t="inlineStr">
        <is>
          <t>Nhánh 2 (UNION ALL từ T24CORE_LD_LOANS_AND_DEPOSITS_HIS &amp; FLEXBO_PGB_LOS_CONTRACT_FIELDS_TDATE)</t>
        </is>
      </c>
    </row>
    <row r="43" ht="41.25" customHeight="1" s="335">
      <c r="A43" s="433" t="inlineStr">
        <is>
          <t>PG_BRONZE</t>
        </is>
      </c>
      <c r="B43" s="415" t="inlineStr">
        <is>
          <t>T24CORE_LD_LOANS_AND_DEPOSITS_HIS</t>
        </is>
      </c>
      <c r="C43" s="433" t="inlineStr">
        <is>
          <t>RECID</t>
        </is>
      </c>
      <c r="D43" s="433" t="inlineStr">
        <is>
          <t>ETL_DATE if not exists AR_ID</t>
        </is>
      </c>
      <c r="E43" s="433" t="inlineStr">
        <is>
          <t>Arrangement x Involved Party Relationship</t>
        </is>
      </c>
      <c r="F43" s="433" t="inlineStr">
        <is>
          <t>System Effective Date</t>
        </is>
      </c>
      <c r="G43" s="558" t="inlineStr">
        <is>
          <t>AR_X_IP_RLTNP</t>
        </is>
      </c>
      <c r="H43" s="659" t="inlineStr">
        <is>
          <t>SYS_EFF_DT</t>
        </is>
      </c>
      <c r="I43" s="415" t="inlineStr">
        <is>
          <t>DATE</t>
        </is>
      </c>
      <c r="J43" s="415" t="n"/>
      <c r="K43" s="415" t="inlineStr">
        <is>
          <t>Ngày bản ghi lần đầu tiên vào hệ thống</t>
        </is>
      </c>
      <c r="L43" s="334" t="inlineStr">
        <is>
          <t>SYS_EFF_DT</t>
        </is>
      </c>
      <c r="M43" s="334">
        <f>"COMMENT ON COLUMN PG_SILVER."&amp;G43&amp;"."&amp;H43&amp;" IS '"&amp;K43&amp;"';"</f>
        <v/>
      </c>
      <c r="N43" s="414" t="inlineStr">
        <is>
          <t>Nhánh 2 (UNION ALL từ T24CORE_LD_LOANS_AND_DEPOSITS_HIS &amp; FLEXBO_PGB_LOS_CONTRACT_FIELDS_TDATE)</t>
        </is>
      </c>
    </row>
    <row r="44" ht="41.25" customHeight="1" s="335">
      <c r="A44" s="433" t="inlineStr">
        <is>
          <t>PG_BRONZE</t>
        </is>
      </c>
      <c r="B44" s="415" t="inlineStr">
        <is>
          <t>T24CORE_LD_LOANS_AND_DEPOSITS_HIS</t>
        </is>
      </c>
      <c r="C44" s="433" t="inlineStr">
        <is>
          <t>RECID</t>
        </is>
      </c>
      <c r="D44" s="433" t="inlineStr">
        <is>
          <t>ETL_DATE if RECID was deleted</t>
        </is>
      </c>
      <c r="E44" s="433" t="inlineStr">
        <is>
          <t>Arrangement x Involved Party Relationship</t>
        </is>
      </c>
      <c r="F44" s="433" t="inlineStr">
        <is>
          <t>System Expiry Date</t>
        </is>
      </c>
      <c r="G44" s="558" t="inlineStr">
        <is>
          <t>AR_X_IP_RLTNP</t>
        </is>
      </c>
      <c r="H44" s="659" t="inlineStr">
        <is>
          <t>SYS_EXP_DT</t>
        </is>
      </c>
      <c r="I44" s="415" t="inlineStr">
        <is>
          <t>DATE</t>
        </is>
      </c>
      <c r="J44" s="415" t="n"/>
      <c r="K44" s="415" t="inlineStr">
        <is>
          <t>Ngày hết hạn của bản ghi</t>
        </is>
      </c>
      <c r="L44" s="334" t="inlineStr">
        <is>
          <t>SYS_EXP_DT</t>
        </is>
      </c>
      <c r="M44" s="334">
        <f>"COMMENT ON COLUMN PG_SILVER."&amp;G44&amp;"."&amp;H44&amp;" IS '"&amp;K44&amp;"';"</f>
        <v/>
      </c>
      <c r="N44" s="414" t="inlineStr">
        <is>
          <t>Nhánh 2 (UNION ALL từ T24CORE_LD_LOANS_AND_DEPOSITS_HIS &amp; FLEXBO_PGB_LOS_CONTRACT_FIELDS_TDATE)</t>
        </is>
      </c>
    </row>
    <row r="45" ht="41.25" customHeight="1" s="335">
      <c r="A45" s="433" t="inlineStr">
        <is>
          <t>PG_BRONZE</t>
        </is>
      </c>
      <c r="B45" s="415" t="inlineStr">
        <is>
          <t>T24CORE_LD_LOANS_AND_DEPOSITS_HIS</t>
        </is>
      </c>
      <c r="C45" s="433" t="inlineStr">
        <is>
          <t>RECID</t>
        </is>
      </c>
      <c r="D45" s="433" t="inlineStr">
        <is>
          <t>ETL_DATE</t>
        </is>
      </c>
      <c r="E45" s="433" t="inlineStr">
        <is>
          <t>Arrangement x Involved Party Relationship</t>
        </is>
      </c>
      <c r="F45" s="433" t="inlineStr">
        <is>
          <t>System Update Date</t>
        </is>
      </c>
      <c r="G45" s="558" t="inlineStr">
        <is>
          <t>AR_X_IP_RLTNP</t>
        </is>
      </c>
      <c r="H45" s="659" t="inlineStr">
        <is>
          <t>SYS_UDT_DT</t>
        </is>
      </c>
      <c r="I45" s="415" t="inlineStr">
        <is>
          <t>DATE</t>
        </is>
      </c>
      <c r="J45" s="415" t="n"/>
      <c r="K45" s="415" t="inlineStr">
        <is>
          <t>Ngày update dữ liệu gần nhất</t>
        </is>
      </c>
      <c r="L45" s="334" t="inlineStr">
        <is>
          <t>SYS_UDT_DT</t>
        </is>
      </c>
      <c r="M45" s="334">
        <f>"COMMENT ON COLUMN PG_SILVER."&amp;G45&amp;"."&amp;H45&amp;" IS '"&amp;K45&amp;"';"</f>
        <v/>
      </c>
      <c r="N45" s="414" t="inlineStr">
        <is>
          <t>Nhánh 2 (UNION ALL từ T24CORE_LD_LOANS_AND_DEPOSITS_HIS &amp; FLEXBO_PGB_LOS_CONTRACT_FIELDS_TDATE)</t>
        </is>
      </c>
    </row>
    <row r="47" ht="14.25" customHeight="1" s="335">
      <c r="A47" s="334" t="inlineStr">
        <is>
          <t>UNION ALL</t>
        </is>
      </c>
    </row>
    <row r="48" ht="14.25" customHeight="1" s="335">
      <c r="A48" s="334" t="inlineStr">
        <is>
          <t>Nguồn</t>
        </is>
      </c>
      <c r="B48" s="334" t="inlineStr">
        <is>
          <t>Bảng nguồn</t>
        </is>
      </c>
      <c r="C48" s="334" t="inlineStr">
        <is>
          <t>Short table</t>
        </is>
      </c>
      <c r="D48" s="334" t="inlineStr">
        <is>
          <t>Business Rule</t>
        </is>
      </c>
    </row>
    <row r="49" ht="14.25" customHeight="1" s="335">
      <c r="A49" s="334" t="inlineStr">
        <is>
          <t>PG_BRONZE</t>
        </is>
      </c>
      <c r="B49" s="334" t="inlineStr">
        <is>
          <t>T24CORE_PD_PAYMENT_DUE</t>
        </is>
      </c>
      <c r="C49" s="334" t="inlineStr">
        <is>
          <t>d</t>
        </is>
      </c>
      <c r="D49" s="334" t="inlineStr">
        <is>
          <t>WHERE NVL(d.FLAG_STATUS, '_') &lt;&gt; 'DELETE' -- Main table (Nhánh 3: Hợp đồng quá hạn PD)</t>
        </is>
      </c>
    </row>
    <row r="50" ht="14.25" customHeight="1" s="335">
      <c r="A50" s="334" t="inlineStr">
        <is>
          <t>PG_BRONZE</t>
        </is>
      </c>
      <c r="B50" s="334" t="inlineStr">
        <is>
          <t>T24CORE_PD_PAYMENT_DUE_MV</t>
        </is>
      </c>
      <c r="C50" s="334" t="inlineStr">
        <is>
          <t>d1</t>
        </is>
      </c>
      <c r="D50" s="334" t="inlineStr">
        <is>
          <t>(LEFT JOIN) (SELECT DISTINCT RECID FROM PG_BRONZE.T24CORE_PD_PAYMENT_DUE_MV WHERE NVL(FLAG_STATUS, '_') &lt;&gt; 'DELETE') d1 ON d.RECID = d1.RECID</t>
        </is>
      </c>
    </row>
    <row r="52" ht="14.25" customHeight="1" s="335">
      <c r="A52" s="432" t="inlineStr">
        <is>
          <t>Nguồn</t>
        </is>
      </c>
      <c r="B52" s="432" t="inlineStr">
        <is>
          <t>Bảng nguồn</t>
        </is>
      </c>
      <c r="C52" s="432" t="inlineStr">
        <is>
          <t>Cột nguồn</t>
        </is>
      </c>
      <c r="D52" s="432" t="inlineStr">
        <is>
          <t>Transform</t>
        </is>
      </c>
      <c r="E52" s="432" t="inlineStr">
        <is>
          <t>Entity</t>
        </is>
      </c>
      <c r="F52" s="432" t="inlineStr">
        <is>
          <t>Attribute</t>
        </is>
      </c>
      <c r="G52" s="432" t="inlineStr">
        <is>
          <t>Bảng đích</t>
        </is>
      </c>
      <c r="H52" s="432" t="inlineStr">
        <is>
          <t>Cột đích</t>
        </is>
      </c>
      <c r="I52" s="432" t="inlineStr">
        <is>
          <t>Kiểu dữ liệu</t>
        </is>
      </c>
      <c r="J52" s="432" t="inlineStr">
        <is>
          <t>Độ dài</t>
        </is>
      </c>
      <c r="K52" s="432" t="inlineStr">
        <is>
          <t>Diễn giải</t>
        </is>
      </c>
      <c r="L52" s="432" t="inlineStr">
        <is>
          <t>Glossary</t>
        </is>
      </c>
      <c r="M52" s="432" t="inlineStr">
        <is>
          <t>DDL Comment</t>
        </is>
      </c>
      <c r="N52" s="413" t="inlineStr">
        <is>
          <t>Ghi chú kỹ thuật &amp; Business Rule</t>
        </is>
      </c>
    </row>
    <row r="53" ht="14.25" customHeight="1" s="335">
      <c r="A53" s="433" t="inlineStr">
        <is>
          <t>PG_BRONZE</t>
        </is>
      </c>
      <c r="B53" s="415" t="inlineStr">
        <is>
          <t>T24CORE_PD_PAYMENT_DUE</t>
        </is>
      </c>
      <c r="C53" s="433" t="inlineStr">
        <is>
          <t>RECID</t>
        </is>
      </c>
      <c r="D53" s="433" t="inlineStr">
        <is>
          <t>'T24_PD_PAYMENT_DUE'</t>
        </is>
      </c>
      <c r="E53" s="433" t="inlineStr">
        <is>
          <t>Arrangement x Involved Party Relationship</t>
        </is>
      </c>
      <c r="F53" s="433" t="inlineStr">
        <is>
          <t>Source System Code</t>
        </is>
      </c>
      <c r="G53" s="558" t="inlineStr">
        <is>
          <t>AR_X_IP_RLTNP</t>
        </is>
      </c>
      <c r="H53" s="659" t="inlineStr">
        <is>
          <t>SRC_STM_CODE</t>
        </is>
      </c>
      <c r="I53" s="415" t="inlineStr">
        <is>
          <t>VARCHAR2</t>
        </is>
      </c>
      <c r="J53" s="415" t="n">
        <v>40</v>
      </c>
      <c r="K53" s="415" t="inlineStr">
        <is>
          <t>Mã nguồn dữ liệu</t>
        </is>
      </c>
      <c r="L53" s="334" t="inlineStr">
        <is>
          <t>SRC_STM_CODE</t>
        </is>
      </c>
      <c r="M53" s="334">
        <f>"COMMENT ON COLUMN PG_SILVER."&amp;G53&amp;"."&amp;H53&amp;" IS '"&amp;K53&amp;"';"</f>
        <v/>
      </c>
      <c r="N53" s="414" t="inlineStr">
        <is>
          <t>Nhánh 3 (UNION ALL từ T24CORE_PD_PAYMENT_DUE - khớp DDL R207, R212)</t>
        </is>
      </c>
    </row>
    <row r="54" ht="14.25" customHeight="1" s="335">
      <c r="A54" s="433" t="inlineStr">
        <is>
          <t>PG_BRONZE</t>
        </is>
      </c>
      <c r="B54" s="415" t="inlineStr">
        <is>
          <t>T24CORE_PD_PAYMENT_DUE</t>
        </is>
      </c>
      <c r="C54" s="433" t="inlineStr">
        <is>
          <t>RECID</t>
        </is>
      </c>
      <c r="D54" s="433" t="inlineStr">
        <is>
          <t>fn_hash("T24_LD_LOANS_AND_DEPOSITS", SUBSTR(d.RECID, 1, 14))</t>
        </is>
      </c>
      <c r="E54" s="433" t="inlineStr">
        <is>
          <t>Arrangement x Involved Party Relationship</t>
        </is>
      </c>
      <c r="F54" s="433" t="inlineStr">
        <is>
          <t>Arrangement ID</t>
        </is>
      </c>
      <c r="G54" s="558" t="inlineStr">
        <is>
          <t>AR_X_IP_RLTNP</t>
        </is>
      </c>
      <c r="H54" s="659" t="inlineStr">
        <is>
          <t>AR_ID</t>
        </is>
      </c>
      <c r="I54" s="415" t="inlineStr">
        <is>
          <t>CHAR</t>
        </is>
      </c>
      <c r="J54" s="415" t="n">
        <v>32</v>
      </c>
      <c r="K54" s="415" t="inlineStr">
        <is>
          <t>Unique key hợp đồng trên DWH</t>
        </is>
      </c>
      <c r="L54" s="334" t="inlineStr">
        <is>
          <t>AR_ID</t>
        </is>
      </c>
      <c r="M54" s="334">
        <f>"COMMENT ON COLUMN PG_SILVER."&amp;G54&amp;"."&amp;H54&amp;" IS '"&amp;K54&amp;"';"</f>
        <v/>
      </c>
      <c r="N54" s="414" t="inlineStr">
        <is>
          <t>Nhánh 3 (UNION ALL từ T24CORE_PD_PAYMENT_DUE - khớp DDL R207, R212)</t>
        </is>
      </c>
    </row>
    <row r="55" ht="41.25" customHeight="1" s="335">
      <c r="A55" s="433" t="inlineStr">
        <is>
          <t>PG_BRONZE</t>
        </is>
      </c>
      <c r="B55" s="415" t="inlineStr">
        <is>
          <t>T24CORE_PD_PAYMENT_DUE</t>
        </is>
      </c>
      <c r="C55" s="433" t="inlineStr">
        <is>
          <t>RECID</t>
        </is>
      </c>
      <c r="D55" s="433" t="inlineStr">
        <is>
          <t>SUBSTR(d.RECID, 1, 14)</t>
        </is>
      </c>
      <c r="E55" s="433" t="inlineStr">
        <is>
          <t>Arrangement x Involved Party Relationship</t>
        </is>
      </c>
      <c r="F55" s="433" t="inlineStr">
        <is>
          <t>Arrangement Code</t>
        </is>
      </c>
      <c r="G55" s="558" t="inlineStr">
        <is>
          <t>AR_X_IP_RLTNP</t>
        </is>
      </c>
      <c r="H55" s="659" t="inlineStr">
        <is>
          <t>AR_CODE</t>
        </is>
      </c>
      <c r="I55" s="415" t="inlineStr">
        <is>
          <t>VARCHAR2</t>
        </is>
      </c>
      <c r="J55" s="415" t="n">
        <v>40</v>
      </c>
      <c r="K55" s="415" t="inlineStr">
        <is>
          <t>Mã hợp đồng</t>
        </is>
      </c>
      <c r="L55" s="334" t="inlineStr">
        <is>
          <t>AR_CODE</t>
        </is>
      </c>
      <c r="M55" s="334">
        <f>"COMMENT ON COLUMN PG_SILVER."&amp;G55&amp;"."&amp;H55&amp;" IS '"&amp;K55&amp;"';"</f>
        <v/>
      </c>
      <c r="N55" s="414" t="inlineStr">
        <is>
          <t>Nhánh 3 (UNION ALL từ T24CORE_PD_PAYMENT_DUE - khớp DDL R207, R212)</t>
        </is>
      </c>
    </row>
    <row r="56" ht="41.25" customHeight="1" s="335">
      <c r="A56" s="433" t="inlineStr">
        <is>
          <t>PG_BRONZE</t>
        </is>
      </c>
      <c r="B56" s="415" t="inlineStr">
        <is>
          <t>T24CORE_PD_PAYMENT_DUE</t>
        </is>
      </c>
      <c r="C56" s="433" t="inlineStr">
        <is>
          <t>CUSTOMER</t>
        </is>
      </c>
      <c r="D56" s="433" t="inlineStr">
        <is>
          <t>fn_hash("T24_CUSTOMER", d.CUSTOMER)</t>
        </is>
      </c>
      <c r="E56" s="433" t="inlineStr">
        <is>
          <t>Arrangement x Involved Party Relationship</t>
        </is>
      </c>
      <c r="F56" s="433" t="inlineStr">
        <is>
          <t>Customer ID</t>
        </is>
      </c>
      <c r="G56" s="558" t="inlineStr">
        <is>
          <t>AR_X_IP_RLTNP</t>
        </is>
      </c>
      <c r="H56" s="659" t="inlineStr">
        <is>
          <t>CST_ID</t>
        </is>
      </c>
      <c r="I56" s="415" t="inlineStr">
        <is>
          <t>CHAR</t>
        </is>
      </c>
      <c r="J56" s="415" t="n">
        <v>32</v>
      </c>
      <c r="K56" s="415" t="inlineStr">
        <is>
          <t>ID khách hàng trên DWH</t>
        </is>
      </c>
      <c r="L56" s="334" t="inlineStr">
        <is>
          <t>CST_ID</t>
        </is>
      </c>
      <c r="M56" s="334">
        <f>"COMMENT ON COLUMN PG_SILVER."&amp;G56&amp;"."&amp;H56&amp;" IS '"&amp;K56&amp;"';"</f>
        <v/>
      </c>
      <c r="N56" s="414" t="inlineStr">
        <is>
          <t>Nhánh 3 (UNION ALL từ T24CORE_PD_PAYMENT_DUE - khớp DDL R207, R212)</t>
        </is>
      </c>
    </row>
    <row r="57" ht="41.25" customHeight="1" s="335">
      <c r="A57" s="433" t="inlineStr">
        <is>
          <t>PG_BRONZE</t>
        </is>
      </c>
      <c r="B57" s="415" t="inlineStr">
        <is>
          <t>T24CORE_PD_PAYMENT_DUE</t>
        </is>
      </c>
      <c r="C57" s="433" t="inlineStr">
        <is>
          <t>CUSTOMER</t>
        </is>
      </c>
      <c r="D57" s="433" t="inlineStr">
        <is>
          <t>d.CUSTOMER</t>
        </is>
      </c>
      <c r="E57" s="433" t="inlineStr">
        <is>
          <t>Arrangement x Involved Party Relationship</t>
        </is>
      </c>
      <c r="F57" s="433" t="inlineStr">
        <is>
          <t>Customer Code</t>
        </is>
      </c>
      <c r="G57" s="558" t="inlineStr">
        <is>
          <t>AR_X_IP_RLTNP</t>
        </is>
      </c>
      <c r="H57" s="659" t="inlineStr">
        <is>
          <t>CST_CODE</t>
        </is>
      </c>
      <c r="I57" s="415" t="inlineStr">
        <is>
          <t>VARCHAR2</t>
        </is>
      </c>
      <c r="J57" s="415" t="n">
        <v>20</v>
      </c>
      <c r="K57" s="415" t="inlineStr">
        <is>
          <t>Mã khách hàng</t>
        </is>
      </c>
      <c r="L57" s="334" t="inlineStr">
        <is>
          <t>CST_CODE</t>
        </is>
      </c>
      <c r="M57" s="334">
        <f>"COMMENT ON COLUMN PG_SILVER."&amp;G57&amp;"."&amp;H57&amp;" IS '"&amp;K57&amp;"';"</f>
        <v/>
      </c>
      <c r="N57" s="414" t="inlineStr">
        <is>
          <t>Nhánh 3 (UNION ALL từ T24CORE_PD_PAYMENT_DUE - khớp DDL R207, R212)</t>
        </is>
      </c>
    </row>
    <row r="58" ht="41.25" customHeight="1" s="335">
      <c r="A58" s="433" t="inlineStr">
        <is>
          <t>PG_BRONZE</t>
        </is>
      </c>
      <c r="B58" s="415" t="inlineStr">
        <is>
          <t>T24CORE_PD_PAYMENT_DUE</t>
        </is>
      </c>
      <c r="C58" s="433" t="inlineStr">
        <is>
          <t>INPUTTER</t>
        </is>
      </c>
      <c r="D58" s="433" t="inlineStr">
        <is>
          <t>1:1</t>
        </is>
      </c>
      <c r="E58" s="433" t="inlineStr">
        <is>
          <t>Arrangement x Involved Party Relationship</t>
        </is>
      </c>
      <c r="F58" s="433" t="inlineStr">
        <is>
          <t>Maker Officer</t>
        </is>
      </c>
      <c r="G58" s="558" t="inlineStr">
        <is>
          <t>AR_X_IP_RLTNP</t>
        </is>
      </c>
      <c r="H58" s="659" t="inlineStr">
        <is>
          <t>MAKER_OFCR</t>
        </is>
      </c>
      <c r="I58" s="415" t="inlineStr">
        <is>
          <t>VARCHAR2</t>
        </is>
      </c>
      <c r="J58" s="415" t="n">
        <v>40</v>
      </c>
      <c r="K58" s="415" t="inlineStr">
        <is>
          <t>ID người nhập liệu</t>
        </is>
      </c>
      <c r="L58" s="334" t="inlineStr">
        <is>
          <t>MAKER_OFCR</t>
        </is>
      </c>
      <c r="M58" s="334">
        <f>"COMMENT ON COLUMN PG_SILVER."&amp;G58&amp;"."&amp;H58&amp;" IS '"&amp;K58&amp;"';"</f>
        <v/>
      </c>
      <c r="N58" s="414" t="inlineStr">
        <is>
          <t>Nhánh 3 (UNION ALL từ T24CORE_PD_PAYMENT_DUE - khớp DDL R207, R212)</t>
        </is>
      </c>
    </row>
    <row r="59" ht="41.25" customHeight="1" s="335">
      <c r="A59" s="433" t="inlineStr">
        <is>
          <t>PG_BRONZE</t>
        </is>
      </c>
      <c r="B59" s="415" t="inlineStr">
        <is>
          <t>T24CORE_PD_PAYMENT_DUE</t>
        </is>
      </c>
      <c r="C59" s="433" t="inlineStr">
        <is>
          <t>AUTHORISER</t>
        </is>
      </c>
      <c r="D59" s="433" t="inlineStr">
        <is>
          <t>1:1</t>
        </is>
      </c>
      <c r="E59" s="433" t="inlineStr">
        <is>
          <t>Arrangement x Involved Party Relationship</t>
        </is>
      </c>
      <c r="F59" s="433" t="inlineStr">
        <is>
          <t>Checker Officer</t>
        </is>
      </c>
      <c r="G59" s="558" t="inlineStr">
        <is>
          <t>AR_X_IP_RLTNP</t>
        </is>
      </c>
      <c r="H59" s="659" t="inlineStr">
        <is>
          <t>CHKER_OFCR</t>
        </is>
      </c>
      <c r="I59" s="415" t="inlineStr">
        <is>
          <t>VARCHAR2</t>
        </is>
      </c>
      <c r="J59" s="415" t="n">
        <v>40</v>
      </c>
      <c r="K59" s="415" t="inlineStr">
        <is>
          <t>Mã người phê duyệt</t>
        </is>
      </c>
      <c r="L59" s="334" t="inlineStr">
        <is>
          <t>CHKER_OFCR</t>
        </is>
      </c>
      <c r="M59" s="334">
        <f>"COMMENT ON COLUMN PG_SILVER."&amp;G59&amp;"."&amp;H59&amp;" IS '"&amp;K59&amp;"';"</f>
        <v/>
      </c>
      <c r="N59" s="414" t="inlineStr">
        <is>
          <t>Nhánh 3 (UNION ALL từ T24CORE_PD_PAYMENT_DUE - khớp DDL R207, R212)</t>
        </is>
      </c>
    </row>
    <row r="60" ht="41.25" customHeight="1" s="335">
      <c r="A60" s="433" t="inlineStr">
        <is>
          <t>PG_BRONZE</t>
        </is>
      </c>
      <c r="B60" s="415" t="inlineStr">
        <is>
          <t>T24CORE_PD_PAYMENT_DUE</t>
        </is>
      </c>
      <c r="C60" s="433" t="inlineStr">
        <is>
          <t>RECID</t>
        </is>
      </c>
      <c r="D60" s="433" t="inlineStr">
        <is>
          <t>NULL</t>
        </is>
      </c>
      <c r="E60" s="433" t="inlineStr">
        <is>
          <t>Arrangement x Involved Party Relationship</t>
        </is>
      </c>
      <c r="F60" s="433" t="inlineStr">
        <is>
          <t>Referrer Officer</t>
        </is>
      </c>
      <c r="G60" s="558" t="inlineStr">
        <is>
          <t>AR_X_IP_RLTNP</t>
        </is>
      </c>
      <c r="H60" s="659" t="inlineStr">
        <is>
          <t>REFRRER_OFCR</t>
        </is>
      </c>
      <c r="I60" s="415" t="inlineStr">
        <is>
          <t>VARCHAR2</t>
        </is>
      </c>
      <c r="J60" s="415" t="n">
        <v>40</v>
      </c>
      <c r="K60" s="415" t="inlineStr">
        <is>
          <t>ID nhân viên giới thiệu</t>
        </is>
      </c>
      <c r="L60" s="334" t="inlineStr">
        <is>
          <t>REFRRER_OFCR</t>
        </is>
      </c>
      <c r="M60" s="334">
        <f>"COMMENT ON COLUMN PG_SILVER."&amp;G60&amp;"."&amp;H60&amp;" IS '"&amp;K60&amp;"';"</f>
        <v/>
      </c>
      <c r="N60" s="414" t="inlineStr">
        <is>
          <t>Nhánh 3 (UNION ALL từ T24CORE_PD_PAYMENT_DUE - khớp DDL R207, R212)</t>
        </is>
      </c>
    </row>
    <row r="61" ht="41.25" customHeight="1" s="335">
      <c r="A61" s="433" t="inlineStr">
        <is>
          <t>PG_BRONZE</t>
        </is>
      </c>
      <c r="B61" s="415" t="inlineStr">
        <is>
          <t>T24CORE_PD_PAYMENT_DUE</t>
        </is>
      </c>
      <c r="C61" s="433" t="inlineStr">
        <is>
          <t>RECID</t>
        </is>
      </c>
      <c r="D61" s="433" t="inlineStr">
        <is>
          <t>NULL</t>
        </is>
      </c>
      <c r="E61" s="433" t="inlineStr">
        <is>
          <t>Arrangement x Involved Party Relationship</t>
        </is>
      </c>
      <c r="F61" s="433" t="inlineStr">
        <is>
          <t>Disbursement proposal officer</t>
        </is>
      </c>
      <c r="G61" s="558" t="inlineStr">
        <is>
          <t>AR_X_IP_RLTNP</t>
        </is>
      </c>
      <c r="H61" s="659" t="inlineStr">
        <is>
          <t>DSBR_PRPSL_OFCR</t>
        </is>
      </c>
      <c r="I61" s="415" t="inlineStr">
        <is>
          <t>VARCHAR2</t>
        </is>
      </c>
      <c r="J61" s="415" t="n">
        <v>40</v>
      </c>
      <c r="K61" s="415" t="inlineStr">
        <is>
          <t>Cán bộ đề xuất giải ngân</t>
        </is>
      </c>
      <c r="L61" s="334" t="inlineStr">
        <is>
          <t>DSBR_PRPSL_OFCR</t>
        </is>
      </c>
      <c r="M61" s="334">
        <f>"COMMENT ON COLUMN PG_SILVER."&amp;G61&amp;"."&amp;H61&amp;" IS '"&amp;K61&amp;"';"</f>
        <v/>
      </c>
      <c r="N61" s="414" t="inlineStr">
        <is>
          <t>Nhánh 3 (UNION ALL từ T24CORE_PD_PAYMENT_DUE - khớp DDL R207, R212)</t>
        </is>
      </c>
    </row>
    <row r="62" ht="41.25" customHeight="1" s="335">
      <c r="A62" s="433" t="inlineStr">
        <is>
          <t>PG_BRONZE</t>
        </is>
      </c>
      <c r="B62" s="415" t="inlineStr">
        <is>
          <t>T24CORE_PD_PAYMENT_DUE</t>
        </is>
      </c>
      <c r="C62" s="433" t="inlineStr">
        <is>
          <t>RECID</t>
        </is>
      </c>
      <c r="D62" s="433" t="inlineStr">
        <is>
          <t>NULL</t>
        </is>
      </c>
      <c r="E62" s="433" t="inlineStr">
        <is>
          <t>Arrangement x Involved Party Relationship</t>
        </is>
      </c>
      <c r="F62" s="433" t="inlineStr">
        <is>
          <t>Disbursement Proposal Manager</t>
        </is>
      </c>
      <c r="G62" s="558" t="inlineStr">
        <is>
          <t>AR_X_IP_RLTNP</t>
        </is>
      </c>
      <c r="H62" s="659" t="inlineStr">
        <is>
          <t>DSBR_PRPSL_MGR</t>
        </is>
      </c>
      <c r="I62" s="415" t="inlineStr">
        <is>
          <t>VARCHAR2</t>
        </is>
      </c>
      <c r="J62" s="415" t="n">
        <v>40</v>
      </c>
      <c r="K62" s="415" t="inlineStr">
        <is>
          <t>Người đề xuất giải ngân</t>
        </is>
      </c>
      <c r="L62" s="334" t="inlineStr">
        <is>
          <t>DSBR_PRPSL_MGR</t>
        </is>
      </c>
      <c r="M62" s="334">
        <f>"COMMENT ON COLUMN PG_SILVER."&amp;G62&amp;"."&amp;H62&amp;" IS '"&amp;K62&amp;"';"</f>
        <v/>
      </c>
      <c r="N62" s="414" t="inlineStr">
        <is>
          <t>Nhánh 3 (UNION ALL từ T24CORE_PD_PAYMENT_DUE - khớp DDL R207, R212)</t>
        </is>
      </c>
    </row>
    <row r="63" ht="41.25" customHeight="1" s="335">
      <c r="A63" s="433" t="inlineStr">
        <is>
          <t>PG_BRONZE</t>
        </is>
      </c>
      <c r="B63" s="415" t="inlineStr">
        <is>
          <t>T24CORE_PD_PAYMENT_DUE</t>
        </is>
      </c>
      <c r="C63" s="433" t="inlineStr">
        <is>
          <t>RECID</t>
        </is>
      </c>
      <c r="D63" s="433" t="inlineStr">
        <is>
          <t>NULL</t>
        </is>
      </c>
      <c r="E63" s="433" t="inlineStr">
        <is>
          <t>Arrangement x Involved Party Relationship</t>
        </is>
      </c>
      <c r="F63" s="433" t="inlineStr">
        <is>
          <t>Management Officer</t>
        </is>
      </c>
      <c r="G63" s="558" t="inlineStr">
        <is>
          <t>AR_X_IP_RLTNP</t>
        </is>
      </c>
      <c r="H63" s="659" t="inlineStr">
        <is>
          <t>MGT_OFCR</t>
        </is>
      </c>
      <c r="I63" s="415" t="inlineStr">
        <is>
          <t>VARCHAR2</t>
        </is>
      </c>
      <c r="J63" s="415" t="n">
        <v>40</v>
      </c>
      <c r="K63" s="415" t="inlineStr">
        <is>
          <t>Cán bộ quản lý khoản vay</t>
        </is>
      </c>
      <c r="L63" s="334" t="inlineStr">
        <is>
          <t>MGT_OFCR</t>
        </is>
      </c>
      <c r="M63" s="334">
        <f>"COMMENT ON COLUMN PG_SILVER."&amp;G63&amp;"."&amp;H63&amp;" IS '"&amp;K63&amp;"';"</f>
        <v/>
      </c>
      <c r="N63" s="414" t="inlineStr">
        <is>
          <t>Nhánh 3 (UNION ALL từ T24CORE_PD_PAYMENT_DUE - khớp DDL R207, R212)</t>
        </is>
      </c>
    </row>
    <row r="64" ht="41.25" customHeight="1" s="335">
      <c r="A64" s="433" t="inlineStr">
        <is>
          <t>PG_BRONZE</t>
        </is>
      </c>
      <c r="B64" s="415" t="inlineStr">
        <is>
          <t>T24CORE_PD_PAYMENT_DUE</t>
        </is>
      </c>
      <c r="C64" s="433" t="inlineStr">
        <is>
          <t>RECID</t>
        </is>
      </c>
      <c r="D64" s="433" t="inlineStr">
        <is>
          <t>NULL</t>
        </is>
      </c>
      <c r="E64" s="433" t="inlineStr">
        <is>
          <t>Arrangement x Involved Party Relationship</t>
        </is>
      </c>
      <c r="F64" s="433" t="inlineStr">
        <is>
          <t>Management Manager</t>
        </is>
      </c>
      <c r="G64" s="558" t="inlineStr">
        <is>
          <t>AR_X_IP_RLTNP</t>
        </is>
      </c>
      <c r="H64" s="659" t="inlineStr">
        <is>
          <t>MGT_MGR</t>
        </is>
      </c>
      <c r="I64" s="415" t="inlineStr">
        <is>
          <t>VARCHAR2</t>
        </is>
      </c>
      <c r="J64" s="415" t="n">
        <v>40</v>
      </c>
      <c r="K64" s="415" t="inlineStr">
        <is>
          <t>Người quản lý khoản vay</t>
        </is>
      </c>
      <c r="L64" s="334" t="inlineStr">
        <is>
          <t>MGT_MGR</t>
        </is>
      </c>
      <c r="M64" s="334">
        <f>"COMMENT ON COLUMN PG_SILVER."&amp;G64&amp;"."&amp;H64&amp;" IS '"&amp;K64&amp;"';"</f>
        <v/>
      </c>
      <c r="N64" s="414" t="inlineStr">
        <is>
          <t>Nhánh 3 (UNION ALL từ T24CORE_PD_PAYMENT_DUE - khớp DDL R207, R212)</t>
        </is>
      </c>
    </row>
    <row r="65" ht="41.25" customHeight="1" s="335">
      <c r="A65" s="433" t="inlineStr">
        <is>
          <t>PG_BRONZE</t>
        </is>
      </c>
      <c r="B65" s="415" t="inlineStr">
        <is>
          <t>T24CORE_PD_PAYMENT_DUE</t>
        </is>
      </c>
      <c r="C65" s="433" t="inlineStr">
        <is>
          <t>RECID</t>
        </is>
      </c>
      <c r="D65" s="433" t="inlineStr">
        <is>
          <t>NULL</t>
        </is>
      </c>
      <c r="E65" s="433" t="inlineStr">
        <is>
          <t>Arrangement x Involved Party Relationship</t>
        </is>
      </c>
      <c r="F65" s="433" t="inlineStr">
        <is>
          <t>Approval Authority</t>
        </is>
      </c>
      <c r="G65" s="558" t="inlineStr">
        <is>
          <t>AR_X_IP_RLTNP</t>
        </is>
      </c>
      <c r="H65" s="659" t="inlineStr">
        <is>
          <t>APRV_AHR</t>
        </is>
      </c>
      <c r="I65" s="415" t="inlineStr">
        <is>
          <t>VARCHAR2</t>
        </is>
      </c>
      <c r="J65" s="415" t="n">
        <v>1000</v>
      </c>
      <c r="K65" s="415" t="inlineStr">
        <is>
          <t>Cấp phê duyệt giải ngân</t>
        </is>
      </c>
      <c r="L65" s="334" t="inlineStr">
        <is>
          <t>APRV_AHR</t>
        </is>
      </c>
      <c r="M65" s="334">
        <f>"COMMENT ON COLUMN PG_SILVER."&amp;G65&amp;"."&amp;H65&amp;" IS '"&amp;K65&amp;"';"</f>
        <v/>
      </c>
      <c r="N65" s="414" t="inlineStr">
        <is>
          <t>Nhánh 3 (UNION ALL từ T24CORE_PD_PAYMENT_DUE - khớp DDL R207, R212)</t>
        </is>
      </c>
    </row>
    <row r="66" ht="41.25" customHeight="1" s="335">
      <c r="A66" s="433" t="inlineStr">
        <is>
          <t>PG_BRONZE</t>
        </is>
      </c>
      <c r="B66" s="415" t="inlineStr">
        <is>
          <t>T24CORE_PD_PAYMENT_DUE</t>
        </is>
      </c>
      <c r="C66" s="433" t="inlineStr">
        <is>
          <t>RECID</t>
        </is>
      </c>
      <c r="D66" s="433" t="inlineStr">
        <is>
          <t>ETL_DATE if not exists AR_ID</t>
        </is>
      </c>
      <c r="E66" s="433" t="inlineStr">
        <is>
          <t>Arrangement x Involved Party Relationship</t>
        </is>
      </c>
      <c r="F66" s="433" t="inlineStr">
        <is>
          <t>System Effective Date</t>
        </is>
      </c>
      <c r="G66" s="558" t="inlineStr">
        <is>
          <t>AR_X_IP_RLTNP</t>
        </is>
      </c>
      <c r="H66" s="659" t="inlineStr">
        <is>
          <t>SYS_EFF_DT</t>
        </is>
      </c>
      <c r="I66" s="415" t="inlineStr">
        <is>
          <t>DATE</t>
        </is>
      </c>
      <c r="J66" s="415" t="n"/>
      <c r="K66" s="415" t="inlineStr">
        <is>
          <t>Ngày bản ghi lần đầu tiên vào hệ thống</t>
        </is>
      </c>
      <c r="L66" s="334" t="inlineStr">
        <is>
          <t>SYS_EFF_DT</t>
        </is>
      </c>
      <c r="M66" s="334">
        <f>"COMMENT ON COLUMN PG_SILVER."&amp;G66&amp;"."&amp;H66&amp;" IS '"&amp;K66&amp;"';"</f>
        <v/>
      </c>
      <c r="N66" s="414" t="inlineStr">
        <is>
          <t>Nhánh 3 (UNION ALL từ T24CORE_PD_PAYMENT_DUE - khớp DDL R207, R212)</t>
        </is>
      </c>
    </row>
    <row r="67" ht="41.25" customHeight="1" s="335">
      <c r="A67" s="433" t="inlineStr">
        <is>
          <t>PG_BRONZE</t>
        </is>
      </c>
      <c r="B67" s="415" t="inlineStr">
        <is>
          <t>T24CORE_PD_PAYMENT_DUE</t>
        </is>
      </c>
      <c r="C67" s="433" t="inlineStr">
        <is>
          <t>RECID</t>
        </is>
      </c>
      <c r="D67" s="433" t="inlineStr">
        <is>
          <t>ETL_DATE if RECID was deleted</t>
        </is>
      </c>
      <c r="E67" s="433" t="inlineStr">
        <is>
          <t>Arrangement x Involved Party Relationship</t>
        </is>
      </c>
      <c r="F67" s="433" t="inlineStr">
        <is>
          <t>System Expiry Date</t>
        </is>
      </c>
      <c r="G67" s="558" t="inlineStr">
        <is>
          <t>AR_X_IP_RLTNP</t>
        </is>
      </c>
      <c r="H67" s="659" t="inlineStr">
        <is>
          <t>SYS_EXP_DT</t>
        </is>
      </c>
      <c r="I67" s="415" t="inlineStr">
        <is>
          <t>DATE</t>
        </is>
      </c>
      <c r="J67" s="415" t="n"/>
      <c r="K67" s="415" t="inlineStr">
        <is>
          <t>Ngày hết hạn của bản ghi</t>
        </is>
      </c>
      <c r="L67" s="334" t="inlineStr">
        <is>
          <t>SYS_EXP_DT</t>
        </is>
      </c>
      <c r="M67" s="334">
        <f>"COMMENT ON COLUMN PG_SILVER."&amp;G67&amp;"."&amp;H67&amp;" IS '"&amp;K67&amp;"';"</f>
        <v/>
      </c>
      <c r="N67" s="414" t="inlineStr">
        <is>
          <t>Nhánh 3 (UNION ALL từ T24CORE_PD_PAYMENT_DUE - khớp DDL R207, R212)</t>
        </is>
      </c>
    </row>
    <row r="68" ht="41.25" customHeight="1" s="335">
      <c r="A68" s="433" t="inlineStr">
        <is>
          <t>PG_BRONZE</t>
        </is>
      </c>
      <c r="B68" s="415" t="inlineStr">
        <is>
          <t>T24CORE_PD_PAYMENT_DUE</t>
        </is>
      </c>
      <c r="C68" s="433" t="inlineStr">
        <is>
          <t>RECID</t>
        </is>
      </c>
      <c r="D68" s="433" t="inlineStr">
        <is>
          <t>ETL_DATE</t>
        </is>
      </c>
      <c r="E68" s="433" t="inlineStr">
        <is>
          <t>Arrangement x Involved Party Relationship</t>
        </is>
      </c>
      <c r="F68" s="433" t="inlineStr">
        <is>
          <t>System Update Date</t>
        </is>
      </c>
      <c r="G68" s="558" t="inlineStr">
        <is>
          <t>AR_X_IP_RLTNP</t>
        </is>
      </c>
      <c r="H68" s="659" t="inlineStr">
        <is>
          <t>SYS_UDT_DT</t>
        </is>
      </c>
      <c r="I68" s="415" t="inlineStr">
        <is>
          <t>DATE</t>
        </is>
      </c>
      <c r="J68" s="415" t="n"/>
      <c r="K68" s="415" t="inlineStr">
        <is>
          <t>Ngày update dữ liệu gần nhất</t>
        </is>
      </c>
      <c r="L68" s="334" t="inlineStr">
        <is>
          <t>SYS_UDT_DT</t>
        </is>
      </c>
      <c r="M68" s="334">
        <f>"COMMENT ON COLUMN PG_SILVER."&amp;G68&amp;"."&amp;H68&amp;" IS '"&amp;K68&amp;"';"</f>
        <v/>
      </c>
      <c r="N68" s="414" t="inlineStr">
        <is>
          <t>Nhánh 3 (UNION ALL từ T24CORE_PD_PAYMENT_DUE - khớp DDL R207, R212)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N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6.56" customWidth="1" style="334" min="1" max="1"/>
    <col width="29.56" customWidth="1" style="334" min="2" max="2"/>
    <col width="23.56" customWidth="1" style="334" min="3" max="3"/>
    <col width="46.56" customWidth="1" style="334" min="4" max="4"/>
    <col width="24.56" customWidth="1" style="334" min="5" max="5"/>
    <col width="42.34" customWidth="1" style="334" min="6" max="6"/>
    <col width="16.44" customWidth="1" style="334" min="7" max="7"/>
    <col width="37.34" customWidth="1" style="334" min="8" max="8"/>
    <col width="12.11" customWidth="1" style="334" min="9" max="9"/>
    <col width="10.44" customWidth="1" style="334" min="10" max="10"/>
    <col width="34" customWidth="1" style="334" min="11" max="11"/>
    <col width="55" customWidth="1" style="334" min="14" max="14"/>
  </cols>
  <sheetData>
    <row r="1" ht="14.25" customHeight="1" s="335">
      <c r="A1" s="432" t="inlineStr">
        <is>
          <t>TYPE : SNAPSHOT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PG_BRONZE</t>
        </is>
      </c>
      <c r="B3" s="415" t="inlineStr">
        <is>
          <t>SOURCE_SAOKE_CRB</t>
        </is>
      </c>
      <c r="C3" s="433" t="inlineStr">
        <is>
          <t>a</t>
        </is>
      </c>
      <c r="D3" s="433" t="inlineStr">
        <is>
          <t>Where APP_CODE IN ('LD', 'PD')</t>
        </is>
      </c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500" t="n"/>
      <c r="B4" s="500" t="n"/>
      <c r="C4" s="500" t="n"/>
      <c r="D4" s="500" t="n"/>
      <c r="E4" s="500" t="n"/>
      <c r="F4" s="500" t="n"/>
      <c r="G4" s="500" t="n"/>
      <c r="H4" s="500" t="n"/>
      <c r="I4" s="500" t="n"/>
      <c r="J4" s="500" t="n"/>
      <c r="K4" s="500" t="n"/>
    </row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13" t="inlineStr">
        <is>
          <t>Ghi chú kỹ thuật &amp; Business Rule</t>
        </is>
      </c>
    </row>
    <row r="6" ht="14.25" customHeight="1" s="335">
      <c r="A6" s="433" t="inlineStr">
        <is>
          <t>PG_BRONZE</t>
        </is>
      </c>
      <c r="B6" s="415" t="inlineStr">
        <is>
          <t>SOURCE_SAOKE_CRB</t>
        </is>
      </c>
      <c r="C6" s="433" t="inlineStr">
        <is>
          <t>AMOUNT_CUR</t>
        </is>
      </c>
      <c r="D6" s="433" t="inlineStr">
        <is>
          <t>1:1</t>
        </is>
      </c>
      <c r="E6" s="433" t="inlineStr">
        <is>
          <t>Arrangement Balance</t>
        </is>
      </c>
      <c r="F6" s="334" t="inlineStr">
        <is>
          <t>Receivable Amount LCY</t>
        </is>
      </c>
      <c r="G6" s="558" t="inlineStr">
        <is>
          <t>AR_BAL</t>
        </is>
      </c>
      <c r="H6" s="433" t="inlineStr">
        <is>
          <t>RCVB_AMT_LCY</t>
        </is>
      </c>
      <c r="I6" s="415" t="inlineStr">
        <is>
          <t>NUMBER</t>
        </is>
      </c>
      <c r="J6" s="415" t="n">
        <v>25.5</v>
      </c>
      <c r="K6" s="433" t="inlineStr">
        <is>
          <t>Số tiền dự thu</t>
        </is>
      </c>
      <c r="M6" s="334">
        <f>"COMMENT ON COLUMN PG_SILVER."&amp;G6&amp;"."&amp;H6&amp;" IS '"&amp;K6&amp;"';"</f>
        <v/>
      </c>
    </row>
    <row r="7" ht="14.25" customHeight="1" s="335">
      <c r="A7" s="433" t="inlineStr">
        <is>
          <t>PG_BRONZE</t>
        </is>
      </c>
      <c r="B7" s="415" t="inlineStr">
        <is>
          <t>SOURCE_SAOKE_CRB</t>
        </is>
      </c>
      <c r="C7" s="433" t="inlineStr">
        <is>
          <t>AMOUNT_LCY</t>
        </is>
      </c>
      <c r="D7" s="433" t="inlineStr">
        <is>
          <t>1:1</t>
        </is>
      </c>
      <c r="E7" s="433" t="inlineStr">
        <is>
          <t>Arrangement Balance</t>
        </is>
      </c>
      <c r="F7" s="433" t="inlineStr">
        <is>
          <t>Closing Balance LCY</t>
        </is>
      </c>
      <c r="G7" s="558" t="inlineStr">
        <is>
          <t>AR_BAL</t>
        </is>
      </c>
      <c r="H7" s="558" t="inlineStr">
        <is>
          <t>CLS_BAL_LCY</t>
        </is>
      </c>
      <c r="I7" s="415" t="inlineStr">
        <is>
          <t>NUMBER</t>
        </is>
      </c>
      <c r="J7" s="415" t="n">
        <v>25.5</v>
      </c>
      <c r="K7" s="433" t="inlineStr">
        <is>
          <t>Dư Nợ quy đổi</t>
        </is>
      </c>
      <c r="M7" s="334">
        <f>"COMMENT ON COLUMN PG_SILVER."&amp;G7&amp;"."&amp;H7&amp;" IS '"&amp;K7&amp;"';"</f>
        <v/>
      </c>
    </row>
    <row r="8" ht="14.25" customHeight="1" s="335">
      <c r="A8" s="433" t="inlineStr">
        <is>
          <t>PG_BRONZE</t>
        </is>
      </c>
      <c r="B8" s="415" t="inlineStr">
        <is>
          <t>SOURCE_SAOKE_CRB</t>
        </is>
      </c>
      <c r="C8" s="433" t="inlineStr">
        <is>
          <t>APP_CODE</t>
        </is>
      </c>
      <c r="D8" s="433" t="inlineStr">
        <is>
          <t>1:1</t>
        </is>
      </c>
      <c r="E8" s="433" t="inlineStr">
        <is>
          <t>Arrangement Balance</t>
        </is>
      </c>
      <c r="F8" s="433" t="inlineStr">
        <is>
          <t>Module Code</t>
        </is>
      </c>
      <c r="G8" s="558" t="inlineStr">
        <is>
          <t>AR_BAL</t>
        </is>
      </c>
      <c r="H8" s="558" t="inlineStr">
        <is>
          <t>MUD_CODE</t>
        </is>
      </c>
      <c r="I8" s="415" t="inlineStr">
        <is>
          <t>VARCHAR2</t>
        </is>
      </c>
      <c r="J8" s="415" t="n">
        <v>20</v>
      </c>
      <c r="K8" s="433" t="inlineStr">
        <is>
          <t>Mã phân hệ: LD, MD, AC, PD</t>
        </is>
      </c>
      <c r="M8" s="334">
        <f>"COMMENT ON COLUMN PG_SILVER."&amp;G8&amp;"."&amp;H8&amp;" IS '"&amp;K8&amp;"';"</f>
        <v/>
      </c>
    </row>
    <row r="9" ht="14.25" customHeight="1" s="335">
      <c r="A9" s="433" t="inlineStr">
        <is>
          <t>PG_BRONZE</t>
        </is>
      </c>
      <c r="B9" s="415" t="inlineStr">
        <is>
          <t>SOURCE_SAOKE_CRB</t>
        </is>
      </c>
      <c r="C9" s="433" t="inlineStr">
        <is>
          <t>APP_ID</t>
        </is>
      </c>
      <c r="D9" s="433" t="inlineStr">
        <is>
          <t>1:1</t>
        </is>
      </c>
      <c r="E9" s="433" t="inlineStr">
        <is>
          <t>Arrangement Balance</t>
        </is>
      </c>
      <c r="F9" s="433" t="inlineStr">
        <is>
          <t>Arrangement Code</t>
        </is>
      </c>
      <c r="G9" s="558" t="inlineStr">
        <is>
          <t>AR_BAL</t>
        </is>
      </c>
      <c r="H9" s="558" t="inlineStr">
        <is>
          <t>AR_CODE</t>
        </is>
      </c>
      <c r="I9" s="415" t="inlineStr">
        <is>
          <t>VARCHAR2</t>
        </is>
      </c>
      <c r="J9" s="415" t="n">
        <v>40</v>
      </c>
      <c r="K9" s="433" t="inlineStr">
        <is>
          <t>Mã hợp đồng</t>
        </is>
      </c>
      <c r="M9" s="334">
        <f>"COMMENT ON COLUMN PG_SILVER."&amp;G9&amp;"."&amp;H9&amp;" IS '"&amp;K9&amp;"';"</f>
        <v/>
      </c>
    </row>
    <row r="10" ht="14.25" customHeight="1" s="335">
      <c r="A10" s="433" t="inlineStr">
        <is>
          <t>PG_BRONZE</t>
        </is>
      </c>
      <c r="B10" s="415" t="inlineStr">
        <is>
          <t>SOURCE_SAOKE_CRB</t>
        </is>
      </c>
      <c r="C10" s="433" t="inlineStr">
        <is>
          <t>APP_ID</t>
        </is>
      </c>
      <c r="D10" s="433" t="inlineStr">
        <is>
          <t>fn_hash("T24_LD_LOANS_AND_DEPOSITS", a.APP_ID)</t>
        </is>
      </c>
      <c r="E10" s="433" t="inlineStr">
        <is>
          <t>Arrangement Balance</t>
        </is>
      </c>
      <c r="F10" s="433" t="inlineStr">
        <is>
          <t>Arrangement Id</t>
        </is>
      </c>
      <c r="G10" s="558" t="inlineStr">
        <is>
          <t>AR_BAL</t>
        </is>
      </c>
      <c r="H10" s="558" t="inlineStr">
        <is>
          <t>AR_ID</t>
        </is>
      </c>
      <c r="I10" s="463" t="inlineStr">
        <is>
          <t>CHAR</t>
        </is>
      </c>
      <c r="J10" s="415" t="n">
        <v>32</v>
      </c>
      <c r="K10" s="433" t="inlineStr">
        <is>
          <t>ID hợp đồng trên DWH</t>
        </is>
      </c>
      <c r="M10" s="334">
        <f>"COMMENT ON COLUMN PG_SILVER."&amp;G10&amp;"."&amp;H10&amp;" IS '"&amp;K10&amp;"';"</f>
        <v/>
      </c>
      <c r="N10" s="414" t="inlineStr">
        <is>
          <t>Đổi kiểu dữ liệu `CHAR2` -&gt; `CHAR`.</t>
        </is>
      </c>
    </row>
    <row r="11" ht="14.25" customHeight="1" s="335">
      <c r="A11" s="433" t="inlineStr">
        <is>
          <t>PG_BRONZE</t>
        </is>
      </c>
      <c r="B11" s="415" t="inlineStr">
        <is>
          <t>SOURCE_SAOKE_CRB</t>
        </is>
      </c>
      <c r="C11" s="433" t="inlineStr">
        <is>
          <t>ASSET_TYPE</t>
        </is>
      </c>
      <c r="D11" s="433" t="inlineStr">
        <is>
          <t>1:1</t>
        </is>
      </c>
      <c r="E11" s="433" t="inlineStr">
        <is>
          <t>Arrangement Balance</t>
        </is>
      </c>
      <c r="F11" s="433" t="inlineStr">
        <is>
          <t>Asset Type Code</t>
        </is>
      </c>
      <c r="G11" s="558" t="inlineStr">
        <is>
          <t>AR_BAL</t>
        </is>
      </c>
      <c r="H11" s="558" t="inlineStr">
        <is>
          <t>AST_TP_CODE</t>
        </is>
      </c>
      <c r="I11" s="415" t="inlineStr">
        <is>
          <t>VARCHAR2</t>
        </is>
      </c>
      <c r="J11" s="415" t="n">
        <v>20</v>
      </c>
      <c r="K11" s="433" t="inlineStr">
        <is>
          <t>Loại dư nợ, hạch toán</t>
        </is>
      </c>
      <c r="M11" s="334">
        <f>"COMMENT ON COLUMN PG_SILVER."&amp;G11&amp;"."&amp;H11&amp;" IS '"&amp;K11&amp;"';"</f>
        <v/>
      </c>
    </row>
    <row r="12" ht="14.25" customHeight="1" s="335">
      <c r="A12" s="433" t="inlineStr">
        <is>
          <t>PG_BRONZE</t>
        </is>
      </c>
      <c r="B12" s="415" t="inlineStr">
        <is>
          <t>SOURCE_SAOKE_CRB</t>
        </is>
      </c>
      <c r="C12" s="433" t="inlineStr">
        <is>
          <t>CATEG_CODE</t>
        </is>
      </c>
      <c r="D12" s="433" t="inlineStr">
        <is>
          <t>1:1</t>
        </is>
      </c>
      <c r="E12" s="433" t="inlineStr">
        <is>
          <t>Arrangement Balance</t>
        </is>
      </c>
      <c r="F12" s="334" t="inlineStr">
        <is>
          <t>Product Category Code</t>
        </is>
      </c>
      <c r="G12" s="558" t="inlineStr">
        <is>
          <t>AR_BAL</t>
        </is>
      </c>
      <c r="H12" s="334" t="inlineStr">
        <is>
          <t>PD_CGY_CODE</t>
        </is>
      </c>
      <c r="I12" s="415" t="inlineStr">
        <is>
          <t>VARCHAR2</t>
        </is>
      </c>
      <c r="J12" s="415" t="n">
        <v>20</v>
      </c>
      <c r="K12" s="433" t="inlineStr">
        <is>
          <t>Mã phân loại sản phẩm</t>
        </is>
      </c>
      <c r="M12" s="334">
        <f>"COMMENT ON COLUMN PG_SILVER."&amp;G12&amp;"."&amp;H12&amp;" IS '"&amp;K12&amp;"';"</f>
        <v/>
      </c>
    </row>
    <row r="13" ht="14.25" customHeight="1" s="335">
      <c r="A13" s="433" t="inlineStr">
        <is>
          <t>PG_BRONZE</t>
        </is>
      </c>
      <c r="B13" s="415" t="inlineStr">
        <is>
          <t>SOURCE_SAOKE_CRB</t>
        </is>
      </c>
      <c r="C13" s="433" t="inlineStr">
        <is>
          <t>CO_CODE</t>
        </is>
      </c>
      <c r="D13" s="433" t="inlineStr">
        <is>
          <t>1:1</t>
        </is>
      </c>
      <c r="E13" s="433" t="inlineStr">
        <is>
          <t>Arrangement Balance</t>
        </is>
      </c>
      <c r="F13" s="433" t="inlineStr">
        <is>
          <t>Organization Unit Code</t>
        </is>
      </c>
      <c r="G13" s="558" t="inlineStr">
        <is>
          <t>AR_BAL</t>
        </is>
      </c>
      <c r="H13" s="558" t="inlineStr">
        <is>
          <t>OU_CODE</t>
        </is>
      </c>
      <c r="I13" s="415" t="inlineStr">
        <is>
          <t>VARCHAR2</t>
        </is>
      </c>
      <c r="J13" s="415" t="n">
        <v>20</v>
      </c>
      <c r="K13" s="433" t="inlineStr">
        <is>
          <t>Mã chi nhánh hạch toán</t>
        </is>
      </c>
      <c r="M13" s="334">
        <f>"COMMENT ON COLUMN PG_SILVER."&amp;G13&amp;"."&amp;H13&amp;" IS '"&amp;K13&amp;"';"</f>
        <v/>
      </c>
    </row>
    <row r="14" ht="14.25" customHeight="1" s="335">
      <c r="A14" s="433" t="inlineStr">
        <is>
          <t>PG_BRONZE</t>
        </is>
      </c>
      <c r="B14" s="415" t="inlineStr">
        <is>
          <t>SOURCE_SAOKE_CRB</t>
        </is>
      </c>
      <c r="C14" s="433" t="inlineStr">
        <is>
          <t>CURR</t>
        </is>
      </c>
      <c r="D14" s="433" t="inlineStr">
        <is>
          <t>1:1</t>
        </is>
      </c>
      <c r="E14" s="433" t="inlineStr">
        <is>
          <t>Arrangement Balance</t>
        </is>
      </c>
      <c r="F14" s="433" t="inlineStr">
        <is>
          <t>Currency Code</t>
        </is>
      </c>
      <c r="G14" s="558" t="inlineStr">
        <is>
          <t>AR_BAL</t>
        </is>
      </c>
      <c r="H14" s="558" t="inlineStr">
        <is>
          <t>CCY_CODE</t>
        </is>
      </c>
      <c r="I14" s="415" t="inlineStr">
        <is>
          <t>VARCHAR2</t>
        </is>
      </c>
      <c r="J14" s="415" t="n">
        <v>20</v>
      </c>
      <c r="K14" s="433" t="inlineStr">
        <is>
          <t>Loại tiền</t>
        </is>
      </c>
      <c r="M14" s="334">
        <f>"COMMENT ON COLUMN PG_SILVER."&amp;G14&amp;"."&amp;H14&amp;" IS '"&amp;K14&amp;"';"</f>
        <v/>
      </c>
    </row>
    <row r="15" ht="14.25" customHeight="1" s="335">
      <c r="A15" s="433" t="inlineStr">
        <is>
          <t>PG_BRONZE</t>
        </is>
      </c>
      <c r="B15" s="415" t="inlineStr">
        <is>
          <t>SOURCE_SAOKE_CRB</t>
        </is>
      </c>
      <c r="C15" s="433" t="inlineStr">
        <is>
          <t>CUS_ID</t>
        </is>
      </c>
      <c r="D15" s="433" t="inlineStr">
        <is>
          <t>1:1</t>
        </is>
      </c>
      <c r="E15" s="433" t="inlineStr">
        <is>
          <t>Arrangement Balance</t>
        </is>
      </c>
      <c r="F15" s="433" t="inlineStr">
        <is>
          <t>Customer Code</t>
        </is>
      </c>
      <c r="G15" s="558" t="inlineStr">
        <is>
          <t>AR_BAL</t>
        </is>
      </c>
      <c r="H15" s="558" t="inlineStr">
        <is>
          <t>CST_CODE</t>
        </is>
      </c>
      <c r="I15" s="415" t="inlineStr">
        <is>
          <t>VARCHAR2</t>
        </is>
      </c>
      <c r="J15" s="415" t="n">
        <v>20</v>
      </c>
      <c r="K15" s="433" t="inlineStr">
        <is>
          <t>Mã khách hàng</t>
        </is>
      </c>
      <c r="M15" s="334">
        <f>"COMMENT ON COLUMN PG_SILVER."&amp;G15&amp;"."&amp;H15&amp;" IS '"&amp;K15&amp;"';"</f>
        <v/>
      </c>
    </row>
    <row r="16" ht="54.75" customHeight="1" s="335">
      <c r="A16" s="433" t="inlineStr">
        <is>
          <t>PG_BRONZE</t>
        </is>
      </c>
      <c r="B16" s="415" t="inlineStr">
        <is>
          <t>SOURCE_SAOKE_CRB</t>
        </is>
      </c>
      <c r="C16" s="433" t="inlineStr">
        <is>
          <t>CUS_ID</t>
        </is>
      </c>
      <c r="D16" s="441" t="inlineStr">
        <is>
          <t>fn_hash("T24_CUSTOMER", a.CUS_ID)</t>
        </is>
      </c>
      <c r="E16" s="433" t="inlineStr">
        <is>
          <t>Arrangement Balance</t>
        </is>
      </c>
      <c r="F16" s="433" t="inlineStr">
        <is>
          <t>Customer Id</t>
        </is>
      </c>
      <c r="G16" s="558" t="inlineStr">
        <is>
          <t>AR_BAL</t>
        </is>
      </c>
      <c r="H16" s="558" t="inlineStr">
        <is>
          <t>CST_ID</t>
        </is>
      </c>
      <c r="I16" s="415" t="inlineStr">
        <is>
          <t>CHAR</t>
        </is>
      </c>
      <c r="J16" s="415" t="n">
        <v>32</v>
      </c>
      <c r="K16" s="433" t="inlineStr">
        <is>
          <t>ID khách hàng trên DWH</t>
        </is>
      </c>
      <c r="M16" s="334">
        <f>"COMMENT ON COLUMN PG_SILVER."&amp;G16&amp;"."&amp;H16&amp;" IS '"&amp;K16&amp;"';"</f>
        <v/>
      </c>
      <c r="N16" s="414" t="inlineStr">
        <is>
          <t>Đổi thành `fn_hash("T24_CUSTOMER", a.CUS_ID)` và kiểu `CHAR`.</t>
        </is>
      </c>
    </row>
    <row r="17" ht="14.25" customHeight="1" s="335">
      <c r="A17" s="433" t="inlineStr">
        <is>
          <t>PG_BRONZE</t>
        </is>
      </c>
      <c r="B17" s="415" t="inlineStr">
        <is>
          <t>SOURCE_SAOKE_CRB</t>
        </is>
      </c>
      <c r="C17" s="433" t="inlineStr">
        <is>
          <t>LOC_TERM</t>
        </is>
      </c>
      <c r="D17" s="433" t="inlineStr">
        <is>
          <t>1:1</t>
        </is>
      </c>
      <c r="E17" s="433" t="inlineStr">
        <is>
          <t>Arrangement Balance</t>
        </is>
      </c>
      <c r="F17" s="433" t="inlineStr">
        <is>
          <t>Arrangement Term Type Code</t>
        </is>
      </c>
      <c r="G17" s="558" t="inlineStr">
        <is>
          <t>AR_BAL</t>
        </is>
      </c>
      <c r="H17" s="558" t="inlineStr">
        <is>
          <t>AR_TERM_TP_CODE</t>
        </is>
      </c>
      <c r="I17" s="415" t="inlineStr">
        <is>
          <t>VARCHAR2</t>
        </is>
      </c>
      <c r="J17" s="415" t="n">
        <v>20</v>
      </c>
      <c r="K17" s="433" t="inlineStr">
        <is>
          <t>Mã nhóm kỳ hạn</t>
        </is>
      </c>
      <c r="M17" s="334">
        <f>"COMMENT ON COLUMN PG_SILVER."&amp;G17&amp;"."&amp;H17&amp;" IS '"&amp;K17&amp;"';"</f>
        <v/>
      </c>
    </row>
    <row r="18" ht="14.25" customHeight="1" s="335">
      <c r="A18" s="433" t="inlineStr">
        <is>
          <t>PG_BRONZE</t>
        </is>
      </c>
      <c r="B18" s="415" t="inlineStr">
        <is>
          <t>SOURCE_SAOKE_CRB</t>
        </is>
      </c>
      <c r="C18" s="433" t="inlineStr">
        <is>
          <t>SBV_CODE</t>
        </is>
      </c>
      <c r="D18" s="433" t="inlineStr">
        <is>
          <t>1:1</t>
        </is>
      </c>
      <c r="E18" s="433" t="inlineStr">
        <is>
          <t>Arrangement Balance</t>
        </is>
      </c>
      <c r="F18" s="433" t="inlineStr">
        <is>
          <t>General Ledger Item Code</t>
        </is>
      </c>
      <c r="G18" s="558" t="inlineStr">
        <is>
          <t>AR_BAL</t>
        </is>
      </c>
      <c r="H18" s="433" t="inlineStr">
        <is>
          <t>GL_ITM_CODE</t>
        </is>
      </c>
      <c r="I18" s="415" t="inlineStr">
        <is>
          <t>VARCHAR2</t>
        </is>
      </c>
      <c r="J18" s="415" t="n">
        <v>20</v>
      </c>
      <c r="K18" s="433" t="inlineStr">
        <is>
          <t>Mã hạch toán theo SBV</t>
        </is>
      </c>
      <c r="M18" s="334">
        <f>"COMMENT ON COLUMN PG_SILVER."&amp;G18&amp;"."&amp;H18&amp;" IS '"&amp;K18&amp;"';"</f>
        <v/>
      </c>
    </row>
    <row r="19" ht="27" customHeight="1" s="335">
      <c r="A19" s="433" t="inlineStr">
        <is>
          <t>PG_BRONZE</t>
        </is>
      </c>
      <c r="B19" s="415" t="inlineStr">
        <is>
          <t>SOURCE_SAOKE_CRB</t>
        </is>
      </c>
      <c r="C19" s="433" t="inlineStr">
        <is>
          <t>SBV_CODE</t>
        </is>
      </c>
      <c r="D19" s="441" t="inlineStr">
        <is>
          <t>fn_hash("T24_GL_ITM", a.SBV_CODE)</t>
        </is>
      </c>
      <c r="E19" s="433" t="inlineStr">
        <is>
          <t>Arrangement Balance</t>
        </is>
      </c>
      <c r="F19" s="433" t="inlineStr">
        <is>
          <t>General Ledger Item Id</t>
        </is>
      </c>
      <c r="G19" s="558" t="inlineStr">
        <is>
          <t>AR_BAL</t>
        </is>
      </c>
      <c r="H19" s="433" t="inlineStr">
        <is>
          <t>GL_ITM_ID</t>
        </is>
      </c>
      <c r="I19" s="415" t="inlineStr">
        <is>
          <t>CHAR</t>
        </is>
      </c>
      <c r="J19" s="415" t="n">
        <v>32</v>
      </c>
      <c r="K19" s="433" t="inlineStr">
        <is>
          <t>ID Mã hạch toán theo SBV</t>
        </is>
      </c>
      <c r="M19" s="334">
        <f>"COMMENT ON COLUMN PG_SILVER."&amp;G19&amp;"."&amp;H19&amp;" IS '"&amp;K19&amp;"';"</f>
        <v/>
      </c>
      <c r="N19" s="414" t="inlineStr">
        <is>
          <t>Bổ sung hàm băm cho GL_ITM_ID và đổi `CHAR2` -&gt; `CHAR`.</t>
        </is>
      </c>
    </row>
    <row r="20" ht="14.25" customHeight="1" s="335">
      <c r="A20" s="433" t="inlineStr">
        <is>
          <t>PG_BRONZE</t>
        </is>
      </c>
      <c r="B20" s="415" t="inlineStr">
        <is>
          <t>SOURCE_SAOKE_CRB</t>
        </is>
      </c>
      <c r="C20" s="433" t="inlineStr">
        <is>
          <t>SUB_PRO</t>
        </is>
      </c>
      <c r="D20" s="433" t="inlineStr">
        <is>
          <t>1:1</t>
        </is>
      </c>
      <c r="E20" s="433" t="inlineStr">
        <is>
          <t>Arrangement Balance</t>
        </is>
      </c>
      <c r="F20" s="433" t="inlineStr">
        <is>
          <t>Sub Product Code</t>
        </is>
      </c>
      <c r="G20" s="558" t="inlineStr">
        <is>
          <t>AR_BAL</t>
        </is>
      </c>
      <c r="H20" s="558" t="inlineStr">
        <is>
          <t>SUB_PD_CODE</t>
        </is>
      </c>
      <c r="I20" s="415" t="inlineStr">
        <is>
          <t>VARCHAR2</t>
        </is>
      </c>
      <c r="J20" s="415" t="n">
        <v>20</v>
      </c>
      <c r="K20" s="433" t="inlineStr">
        <is>
          <t>Mã sản phẩm con</t>
        </is>
      </c>
      <c r="M20" s="334">
        <f>"COMMENT ON COLUMN PG_SILVER."&amp;G20&amp;"."&amp;H20&amp;" IS '"&amp;K20&amp;"';"</f>
        <v/>
      </c>
    </row>
    <row r="21" ht="14.25" customHeight="1" s="335">
      <c r="A21" s="433" t="inlineStr">
        <is>
          <t>PG_BRONZE</t>
        </is>
      </c>
      <c r="B21" s="415" t="inlineStr">
        <is>
          <t>SOURCE_SAOKE_CRB</t>
        </is>
      </c>
      <c r="C21" s="433" t="inlineStr">
        <is>
          <t>TXN_DATE</t>
        </is>
      </c>
      <c r="D21" s="415" t="inlineStr">
        <is>
          <t>1:1</t>
        </is>
      </c>
      <c r="E21" s="433" t="inlineStr">
        <is>
          <t>Arrangement Balance</t>
        </is>
      </c>
      <c r="F21" s="433" t="inlineStr">
        <is>
          <t>Calendar Date</t>
        </is>
      </c>
      <c r="G21" s="558" t="inlineStr">
        <is>
          <t>AR_BAL</t>
        </is>
      </c>
      <c r="H21" s="558" t="inlineStr">
        <is>
          <t>CDR_DT</t>
        </is>
      </c>
      <c r="I21" s="415" t="inlineStr">
        <is>
          <t>DATE</t>
        </is>
      </c>
      <c r="J21" s="415" t="n"/>
      <c r="K21" s="433" t="inlineStr">
        <is>
          <t>Ngày giao dịch</t>
        </is>
      </c>
      <c r="M21" s="334">
        <f>"COMMENT ON COLUMN PG_SILVER."&amp;G21&amp;"."&amp;H21&amp;" IS '"&amp;K21&amp;"';"</f>
        <v/>
      </c>
    </row>
    <row r="22" ht="14.25" customHeight="1" s="33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N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6.56" customWidth="1" style="334" min="1" max="1"/>
    <col width="38" customWidth="1" style="334" min="2" max="2"/>
    <col width="38.88" customWidth="1" style="334" min="3" max="3"/>
    <col width="45.33" customWidth="1" style="334" min="4" max="4"/>
    <col width="24.56" customWidth="1" style="334" min="5" max="5"/>
    <col width="42.34" customWidth="1" style="334" min="6" max="6"/>
    <col width="16.44" customWidth="1" style="334" min="7" max="7"/>
    <col width="37.34" customWidth="1" style="334" min="8" max="8"/>
    <col width="12.11" customWidth="1" style="334" min="9" max="9"/>
    <col width="6.67" customWidth="1" style="334" min="10" max="10"/>
    <col width="34" customWidth="1" style="334" min="11" max="11"/>
    <col width="55" customWidth="1" style="334" min="14" max="14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33" t="inlineStr">
        <is>
          <t>PG_BRONZE</t>
        </is>
      </c>
      <c r="B3" s="415" t="inlineStr">
        <is>
          <t>T24CORE_LD_LOANS_AND_DEPOSITS</t>
        </is>
      </c>
      <c r="C3" s="433" t="inlineStr">
        <is>
          <t>a</t>
        </is>
      </c>
      <c r="D3" s="443" t="n"/>
      <c r="E3" s="435" t="n"/>
      <c r="F3" s="435" t="n"/>
      <c r="G3" s="435" t="n"/>
      <c r="H3" s="435" t="n"/>
      <c r="I3" s="435" t="n"/>
      <c r="J3" s="435" t="n"/>
      <c r="K3" s="435" t="n"/>
    </row>
    <row r="4" ht="57" customHeight="1" s="335">
      <c r="A4" s="415" t="inlineStr">
        <is>
          <t>PG_BRONZE</t>
        </is>
      </c>
      <c r="B4" s="415" t="inlineStr">
        <is>
          <t>FLEXBO_PGB_LOS_CONTRACT_FIELDS_TDATE</t>
        </is>
      </c>
      <c r="C4" s="433" t="inlineStr">
        <is>
          <t>d</t>
        </is>
      </c>
      <c r="D4" s="443" t="inlineStr">
        <is>
          <t>(left join) ON d.CONTRACT_REF_NO = a.RECID
AND d.MOV_DATE = TO_DATE(COALESCE(a.ORIG_VAL_DATE,a.VALUE_DATE), 'YYYYMMDD')</t>
        </is>
      </c>
      <c r="E4" s="433" t="n"/>
      <c r="F4" s="433" t="n"/>
      <c r="G4" s="433" t="n"/>
      <c r="H4" s="433" t="n"/>
      <c r="I4" s="433" t="n"/>
      <c r="J4" s="433" t="n"/>
      <c r="K4" s="433" t="n"/>
    </row>
    <row r="5" ht="14.25" customHeight="1" s="335">
      <c r="A5" s="500" t="n"/>
      <c r="B5" s="500" t="n"/>
      <c r="C5" s="500" t="n"/>
      <c r="D5" s="500" t="n"/>
      <c r="E5" s="500" t="n"/>
      <c r="F5" s="500" t="n"/>
      <c r="G5" s="500" t="n"/>
      <c r="H5" s="500" t="n"/>
      <c r="I5" s="500" t="n"/>
      <c r="J5" s="500" t="n"/>
      <c r="K5" s="500" t="n"/>
    </row>
    <row r="6" ht="14.25" customHeight="1" s="335">
      <c r="A6" s="432" t="inlineStr">
        <is>
          <t>Nguồn</t>
        </is>
      </c>
      <c r="B6" s="432" t="inlineStr">
        <is>
          <t>Bảng nguồn</t>
        </is>
      </c>
      <c r="C6" s="432" t="inlineStr">
        <is>
          <t>Cột nguồn</t>
        </is>
      </c>
      <c r="D6" s="432" t="inlineStr">
        <is>
          <t>Transform</t>
        </is>
      </c>
      <c r="E6" s="432" t="inlineStr">
        <is>
          <t>Entity</t>
        </is>
      </c>
      <c r="F6" s="432" t="inlineStr">
        <is>
          <t>Attribute</t>
        </is>
      </c>
      <c r="G6" s="432" t="inlineStr">
        <is>
          <t>Bảng đích</t>
        </is>
      </c>
      <c r="H6" s="432" t="inlineStr">
        <is>
          <t>Cột đích</t>
        </is>
      </c>
      <c r="I6" s="432" t="inlineStr">
        <is>
          <t>Kiểu dữ liệu</t>
        </is>
      </c>
      <c r="J6" s="432" t="inlineStr">
        <is>
          <t>Độ dài</t>
        </is>
      </c>
      <c r="K6" s="432" t="inlineStr">
        <is>
          <t>Diễn giải</t>
        </is>
      </c>
      <c r="L6" s="432" t="inlineStr">
        <is>
          <t>Glossary</t>
        </is>
      </c>
      <c r="M6" s="432" t="inlineStr">
        <is>
          <t>DDL Comment</t>
        </is>
      </c>
      <c r="N6" s="432" t="inlineStr">
        <is>
          <t>Ghi chú kỹ thuật &amp; Business Rule</t>
        </is>
      </c>
    </row>
    <row r="7" ht="14.25" customHeight="1" s="335">
      <c r="A7" s="433" t="inlineStr">
        <is>
          <t>PG_BRONZE</t>
        </is>
      </c>
      <c r="B7" s="415" t="inlineStr">
        <is>
          <t>T24CORE_LD_LOANS_AND_DEPOSITS</t>
        </is>
      </c>
      <c r="C7" s="433" t="inlineStr">
        <is>
          <t>RECID</t>
        </is>
      </c>
      <c r="D7" s="433" t="inlineStr">
        <is>
          <t>fn_hash("T24_LD_LOANS_AND_DEPOSITS", a.RECID)</t>
        </is>
      </c>
      <c r="E7" s="433" t="inlineStr">
        <is>
          <t>Arrangement Rate History</t>
        </is>
      </c>
      <c r="F7" s="433" t="inlineStr">
        <is>
          <t>Arrangement ID</t>
        </is>
      </c>
      <c r="G7" s="558" t="inlineStr">
        <is>
          <t>AR_RATE_HIST</t>
        </is>
      </c>
      <c r="H7" s="558" t="inlineStr">
        <is>
          <t>AR_ID</t>
        </is>
      </c>
      <c r="I7" s="415" t="inlineStr">
        <is>
          <t>CHAR</t>
        </is>
      </c>
      <c r="J7" s="415" t="n">
        <v>32</v>
      </c>
      <c r="K7" s="415" t="inlineStr">
        <is>
          <t>Unique key trên DWH</t>
        </is>
      </c>
      <c r="M7" s="334">
        <f>"COMMENT ON COLUMN PG_SILVER."&amp;G7&amp;"."&amp;H7&amp;" IS '"&amp;K7&amp;"';"</f>
        <v/>
      </c>
    </row>
    <row r="8" ht="14.25" customHeight="1" s="335">
      <c r="A8" s="433" t="inlineStr">
        <is>
          <t>PG_BRONZE</t>
        </is>
      </c>
      <c r="B8" s="415" t="inlineStr">
        <is>
          <t>T24CORE_LD_LOANS_AND_DEPOSITS</t>
        </is>
      </c>
      <c r="C8" s="433" t="inlineStr">
        <is>
          <t>RECID</t>
        </is>
      </c>
      <c r="D8" s="433" t="inlineStr">
        <is>
          <t>1:1</t>
        </is>
      </c>
      <c r="E8" s="433" t="inlineStr">
        <is>
          <t>Arrangement Rate History</t>
        </is>
      </c>
      <c r="F8" s="433" t="inlineStr">
        <is>
          <t>Arrangement Code</t>
        </is>
      </c>
      <c r="G8" s="558" t="inlineStr">
        <is>
          <t>AR_RATE_HIST</t>
        </is>
      </c>
      <c r="H8" s="558" t="inlineStr">
        <is>
          <t>AR_CODE</t>
        </is>
      </c>
      <c r="I8" s="415" t="inlineStr">
        <is>
          <t>VARCHAR2</t>
        </is>
      </c>
      <c r="J8" s="415" t="n">
        <v>40</v>
      </c>
      <c r="K8" s="433" t="inlineStr">
        <is>
          <t>Mã hợp đồng</t>
        </is>
      </c>
      <c r="M8" s="334">
        <f>"COMMENT ON COLUMN PG_SILVER."&amp;G8&amp;"."&amp;H8&amp;" IS '"&amp;K8&amp;"';"</f>
        <v/>
      </c>
    </row>
    <row r="9" ht="14.25" customHeight="1" s="335">
      <c r="A9" s="433" t="inlineStr">
        <is>
          <t>PG_BRONZE</t>
        </is>
      </c>
      <c r="B9" s="415" t="inlineStr">
        <is>
          <t>T24CORE_LD_LOANS_AND_DEPOSITS</t>
        </is>
      </c>
      <c r="C9" s="433" t="inlineStr">
        <is>
          <t>INT_RATE_TYPE</t>
        </is>
      </c>
      <c r="D9" s="433" t="inlineStr">
        <is>
          <t>1:1</t>
        </is>
      </c>
      <c r="E9" s="433" t="inlineStr">
        <is>
          <t>Arrangement Rate History</t>
        </is>
      </c>
      <c r="F9" s="433" t="inlineStr">
        <is>
          <t>Interest Rate Variablity Type Code</t>
        </is>
      </c>
      <c r="G9" s="558" t="inlineStr">
        <is>
          <t>AR_RATE_HIST</t>
        </is>
      </c>
      <c r="H9" s="558" t="inlineStr">
        <is>
          <t>INT_RATE_VARIABLITY_TP_CODE</t>
        </is>
      </c>
      <c r="I9" s="415" t="inlineStr">
        <is>
          <t>VARCHAR2</t>
        </is>
      </c>
      <c r="J9" s="415" t="n">
        <v>20</v>
      </c>
      <c r="K9" s="433" t="inlineStr">
        <is>
          <t>Loại lãi suất : Fix , float</t>
        </is>
      </c>
      <c r="M9" s="334">
        <f>"COMMENT ON COLUMN PG_SILVER."&amp;G9&amp;"."&amp;H9&amp;" IS '"&amp;K9&amp;"';"</f>
        <v/>
      </c>
    </row>
    <row r="10" ht="14.25" customHeight="1" s="335">
      <c r="A10" s="433" t="inlineStr">
        <is>
          <t>PG_BRONZE</t>
        </is>
      </c>
      <c r="B10" s="415" t="inlineStr">
        <is>
          <t>T24CORE_LD_LOANS_AND_DEPOSITS</t>
        </is>
      </c>
      <c r="C10" s="433" t="inlineStr">
        <is>
          <t>INT_VALUE_DATE</t>
        </is>
      </c>
      <c r="D10" s="433" t="inlineStr">
        <is>
          <t>1:1</t>
        </is>
      </c>
      <c r="E10" s="433" t="inlineStr">
        <is>
          <t>Arrangement Rate History</t>
        </is>
      </c>
      <c r="F10" s="433" t="inlineStr">
        <is>
          <t>Interest Rate Effective Date</t>
        </is>
      </c>
      <c r="G10" s="558" t="inlineStr">
        <is>
          <t>AR_RATE_HIST</t>
        </is>
      </c>
      <c r="H10" s="558" t="inlineStr">
        <is>
          <t>INT_RATE_EFF_DT</t>
        </is>
      </c>
      <c r="I10" s="415" t="inlineStr">
        <is>
          <t>DATE</t>
        </is>
      </c>
      <c r="J10" s="415" t="n"/>
      <c r="K10" s="433" t="inlineStr">
        <is>
          <t>Ngày hiệu lực lãi suất</t>
        </is>
      </c>
      <c r="M10" s="334">
        <f>"COMMENT ON COLUMN PG_SILVER."&amp;G10&amp;"."&amp;H10&amp;" IS '"&amp;K10&amp;"';"</f>
        <v/>
      </c>
    </row>
    <row r="11" ht="14.25" customHeight="1" s="335">
      <c r="A11" s="433" t="inlineStr">
        <is>
          <t>PG_BRONZE</t>
        </is>
      </c>
      <c r="B11" s="415" t="inlineStr">
        <is>
          <t>T24CORE_LD_LOANS_AND_DEPOSITS</t>
        </is>
      </c>
      <c r="C11" s="433" t="inlineStr">
        <is>
          <t>INTEREST_RATE</t>
        </is>
      </c>
      <c r="D11" s="433" t="inlineStr">
        <is>
          <t>1:1</t>
        </is>
      </c>
      <c r="E11" s="433" t="inlineStr">
        <is>
          <t>Arrangement Rate History</t>
        </is>
      </c>
      <c r="F11" s="433" t="inlineStr">
        <is>
          <t>Effective Rate Percentage</t>
        </is>
      </c>
      <c r="G11" s="558" t="inlineStr">
        <is>
          <t>AR_RATE_HIST</t>
        </is>
      </c>
      <c r="H11" s="558" t="inlineStr">
        <is>
          <t>EFF_RATE_PCT</t>
        </is>
      </c>
      <c r="I11" s="415" t="inlineStr">
        <is>
          <t>NUMBER</t>
        </is>
      </c>
      <c r="J11" s="415" t="n">
        <v>25.7</v>
      </c>
      <c r="K11" s="433" t="inlineStr">
        <is>
          <t>Giá trị lãi suất</t>
        </is>
      </c>
      <c r="M11" s="334">
        <f>"COMMENT ON COLUMN PG_SILVER."&amp;G11&amp;"."&amp;H11&amp;" IS '"&amp;K11&amp;"';"</f>
        <v/>
      </c>
    </row>
    <row r="12" ht="14.25" customHeight="1" s="335">
      <c r="A12" s="433" t="inlineStr">
        <is>
          <t>PG_BRONZE</t>
        </is>
      </c>
      <c r="B12" s="415" t="inlineStr">
        <is>
          <t>T24CORE_LD_LOANS_AND_DEPOSITS</t>
        </is>
      </c>
      <c r="C12" s="433" t="inlineStr">
        <is>
          <t>INTEREST_SPREAD</t>
        </is>
      </c>
      <c r="D12" s="433" t="inlineStr">
        <is>
          <t>1:1</t>
        </is>
      </c>
      <c r="E12" s="433" t="inlineStr">
        <is>
          <t>Arrangement Rate History</t>
        </is>
      </c>
      <c r="F12" s="433" t="inlineStr">
        <is>
          <t>Spread Rate Percentage</t>
        </is>
      </c>
      <c r="G12" s="558" t="inlineStr">
        <is>
          <t>AR_RATE_HIST</t>
        </is>
      </c>
      <c r="H12" s="558" t="inlineStr">
        <is>
          <t>SPRD_RATE_PCT</t>
        </is>
      </c>
      <c r="I12" s="415" t="inlineStr">
        <is>
          <t>NUMBER</t>
        </is>
      </c>
      <c r="J12" s="415" t="n">
        <v>25.7</v>
      </c>
      <c r="K12" s="433" t="inlineStr">
        <is>
          <t>Biên độ lãi suất</t>
        </is>
      </c>
      <c r="M12" s="334">
        <f>"COMMENT ON COLUMN PG_SILVER."&amp;G12&amp;"."&amp;H12&amp;" IS '"&amp;K12&amp;"';"</f>
        <v/>
      </c>
    </row>
    <row r="13" ht="14.25" customHeight="1" s="335">
      <c r="A13" s="433" t="inlineStr">
        <is>
          <t>PG_BRONZE</t>
        </is>
      </c>
      <c r="B13" s="415" t="inlineStr">
        <is>
          <t>T24CORE_LD_LOANS_AND_DEPOSITS</t>
        </is>
      </c>
      <c r="C13" s="433" t="inlineStr">
        <is>
          <t>PE_RATE</t>
        </is>
      </c>
      <c r="D13" s="433" t="inlineStr">
        <is>
          <t>1:1</t>
        </is>
      </c>
      <c r="E13" s="433" t="inlineStr">
        <is>
          <t>Arrangement Rate History</t>
        </is>
      </c>
      <c r="F13" s="433" t="inlineStr">
        <is>
          <t>Penalty Rate</t>
        </is>
      </c>
      <c r="G13" s="558" t="inlineStr">
        <is>
          <t>AR_RATE_HIST</t>
        </is>
      </c>
      <c r="H13" s="558" t="inlineStr">
        <is>
          <t>PNY_RATE</t>
        </is>
      </c>
      <c r="I13" s="415" t="inlineStr">
        <is>
          <t>NUMBER</t>
        </is>
      </c>
      <c r="J13" s="415" t="n">
        <v>25.7</v>
      </c>
      <c r="K13" s="433" t="inlineStr">
        <is>
          <t>Lãi phạt penalty rate</t>
        </is>
      </c>
      <c r="M13" s="334">
        <f>"COMMENT ON COLUMN PG_SILVER."&amp;G13&amp;"."&amp;H13&amp;" IS '"&amp;K13&amp;"';"</f>
        <v/>
      </c>
    </row>
    <row r="14" ht="14.25" customHeight="1" s="335">
      <c r="A14" s="433" t="inlineStr">
        <is>
          <t>PG_BRONZE</t>
        </is>
      </c>
      <c r="B14" s="415" t="inlineStr">
        <is>
          <t>T24CORE_LD_LOANS_AND_DEPOSITS</t>
        </is>
      </c>
      <c r="C14" s="433" t="inlineStr">
        <is>
          <t>PS_RATE</t>
        </is>
      </c>
      <c r="D14" s="433" t="inlineStr">
        <is>
          <t>1:1</t>
        </is>
      </c>
      <c r="E14" s="433" t="inlineStr">
        <is>
          <t>Arrangement Rate History</t>
        </is>
      </c>
      <c r="F14" s="433" t="inlineStr">
        <is>
          <t>Overdue Interest Rate</t>
        </is>
      </c>
      <c r="G14" s="558" t="inlineStr">
        <is>
          <t>AR_RATE_HIST</t>
        </is>
      </c>
      <c r="H14" s="558" t="inlineStr">
        <is>
          <t>ODUE_INT_RATE</t>
        </is>
      </c>
      <c r="I14" s="415" t="inlineStr">
        <is>
          <t>NUMBER</t>
        </is>
      </c>
      <c r="J14" s="415" t="n">
        <v>25.7</v>
      </c>
      <c r="K14" s="433" t="inlineStr">
        <is>
          <t>Lãi suất cho quá hạn</t>
        </is>
      </c>
      <c r="M14" s="334">
        <f>"COMMENT ON COLUMN PG_SILVER."&amp;G14&amp;"."&amp;H14&amp;" IS '"&amp;K14&amp;"';"</f>
        <v/>
      </c>
    </row>
    <row r="15" ht="14.25" customHeight="1" s="335">
      <c r="A15" s="415" t="inlineStr">
        <is>
          <t>PG_BRONZE</t>
        </is>
      </c>
      <c r="B15" s="415" t="inlineStr">
        <is>
          <t>FLEXBO_PGB_LOS_CONTRACT_FIELDS_TDATE</t>
        </is>
      </c>
      <c r="C15" s="415" t="inlineStr">
        <is>
          <t>BIEN_DO_THAY_DOI_LS_THEO_HDTD</t>
        </is>
      </c>
      <c r="D15" s="433" t="inlineStr">
        <is>
          <t>1:1</t>
        </is>
      </c>
      <c r="E15" s="433" t="inlineStr">
        <is>
          <t>Arrangement Rate History</t>
        </is>
      </c>
      <c r="F15" s="334" t="inlineStr">
        <is>
          <t>Margin Rate</t>
        </is>
      </c>
      <c r="G15" s="558" t="inlineStr">
        <is>
          <t>AR_RATE_HIST</t>
        </is>
      </c>
      <c r="H15" s="575" t="inlineStr">
        <is>
          <t>MRGN_RATE</t>
        </is>
      </c>
      <c r="I15" s="415" t="inlineStr">
        <is>
          <t>NUMBER</t>
        </is>
      </c>
      <c r="J15" s="415" t="n">
        <v>25.7</v>
      </c>
      <c r="K15" s="334" t="inlineStr">
        <is>
          <t>Biên độ thay đổi lãi suất</t>
        </is>
      </c>
      <c r="M15" s="334">
        <f>"COMMENT ON COLUMN PG_SILVER."&amp;G15&amp;"."&amp;H15&amp;" IS '"&amp;K15&amp;"';"</f>
        <v/>
      </c>
    </row>
    <row r="16" ht="14.25" customHeight="1" s="335">
      <c r="A16" s="415" t="inlineStr">
        <is>
          <t>PG_BRONZE</t>
        </is>
      </c>
      <c r="B16" s="415" t="inlineStr">
        <is>
          <t>T24CORE_LD_LOANS_AND_DEPOSITS</t>
        </is>
      </c>
      <c r="C16" s="415" t="inlineStr">
        <is>
          <t>RECID</t>
        </is>
      </c>
      <c r="D16" s="415" t="inlineStr">
        <is>
          <t>ETL_DATE if not exists AR_ID</t>
        </is>
      </c>
      <c r="E16" s="433" t="inlineStr">
        <is>
          <t>Arrangement Rate History</t>
        </is>
      </c>
      <c r="F16" s="415" t="inlineStr">
        <is>
          <t>System Effective Date</t>
        </is>
      </c>
      <c r="G16" s="558" t="inlineStr">
        <is>
          <t>AR_RATE_HIST</t>
        </is>
      </c>
      <c r="H16" s="415" t="inlineStr">
        <is>
          <t>SYS_EFF_DT</t>
        </is>
      </c>
      <c r="I16" s="415" t="inlineStr">
        <is>
          <t>DATE</t>
        </is>
      </c>
      <c r="J16" s="415" t="n"/>
      <c r="K16" s="415" t="inlineStr">
        <is>
          <t>Ngày bản ghi lần đầu tiên vào hệ thống</t>
        </is>
      </c>
      <c r="M16" s="334">
        <f>"COMMENT ON COLUMN PG_SILVER."&amp;G16&amp;"."&amp;H16&amp;" IS '"&amp;K16&amp;"';"</f>
        <v/>
      </c>
    </row>
    <row r="17" ht="14.25" customHeight="1" s="335">
      <c r="A17" s="415" t="inlineStr">
        <is>
          <t>PG_BRONZE</t>
        </is>
      </c>
      <c r="B17" s="415" t="inlineStr">
        <is>
          <t>T24CORE_LD_LOANS_AND_DEPOSITS</t>
        </is>
      </c>
      <c r="C17" s="415" t="inlineStr">
        <is>
          <t>RECID</t>
        </is>
      </c>
      <c r="D17" s="415" t="inlineStr">
        <is>
          <t>ETL_DATE if RECID was deleted</t>
        </is>
      </c>
      <c r="E17" s="433" t="inlineStr">
        <is>
          <t>Arrangement Rate History</t>
        </is>
      </c>
      <c r="F17" s="415" t="inlineStr">
        <is>
          <t>System Expiry Date</t>
        </is>
      </c>
      <c r="G17" s="558" t="inlineStr">
        <is>
          <t>AR_RATE_HIST</t>
        </is>
      </c>
      <c r="H17" s="415" t="inlineStr">
        <is>
          <t>SYS_EXP_DT</t>
        </is>
      </c>
      <c r="I17" s="415" t="inlineStr">
        <is>
          <t>DATE</t>
        </is>
      </c>
      <c r="J17" s="415" t="n"/>
      <c r="K17" s="415" t="inlineStr">
        <is>
          <t>Ngày hết hạn của bản ghi</t>
        </is>
      </c>
      <c r="M17" s="334">
        <f>"COMMENT ON COLUMN PG_SILVER."&amp;G17&amp;"."&amp;H17&amp;" IS '"&amp;K17&amp;"';"</f>
        <v/>
      </c>
    </row>
    <row r="18" ht="14.25" customHeight="1" s="335">
      <c r="A18" s="660" t="inlineStr">
        <is>
          <t>PG_BRONZE</t>
        </is>
      </c>
      <c r="B18" s="660" t="inlineStr">
        <is>
          <t>T24CORE_LD_LOANS_AND_DEPOSITS</t>
        </is>
      </c>
      <c r="C18" s="660" t="inlineStr">
        <is>
          <t>RECID</t>
        </is>
      </c>
      <c r="D18" s="660" t="inlineStr">
        <is>
          <t>ETL_DATE</t>
        </is>
      </c>
      <c r="E18" s="661" t="inlineStr">
        <is>
          <t>Arrangement Rate History</t>
        </is>
      </c>
      <c r="F18" s="660" t="inlineStr">
        <is>
          <t>System Update Date</t>
        </is>
      </c>
      <c r="G18" s="662" t="inlineStr">
        <is>
          <t>AR_RATE_HIST</t>
        </is>
      </c>
      <c r="H18" s="660" t="inlineStr">
        <is>
          <t>SYS_UDT_DT</t>
        </is>
      </c>
      <c r="I18" s="660" t="inlineStr">
        <is>
          <t>DATE</t>
        </is>
      </c>
      <c r="J18" s="660" t="n"/>
      <c r="K18" s="660" t="inlineStr">
        <is>
          <t>Ngày update dữ liệu gần nhất</t>
        </is>
      </c>
      <c r="M18" s="334">
        <f>"COMMENT ON COLUMN PG_SILVER."&amp;G18&amp;"."&amp;H18&amp;" IS '"&amp;K18&amp;"';"</f>
        <v/>
      </c>
    </row>
    <row r="19" ht="14.25" customHeight="1" s="335">
      <c r="A19" s="663" t="n"/>
      <c r="B19" s="663" t="n"/>
      <c r="C19" s="663" t="n"/>
      <c r="D19" s="663" t="n"/>
      <c r="E19" s="663" t="n"/>
      <c r="F19" s="663" t="n"/>
      <c r="G19" s="663" t="n"/>
      <c r="H19" s="663" t="n"/>
      <c r="I19" s="663" t="n"/>
      <c r="J19" s="663" t="n"/>
      <c r="K19" s="663" t="n"/>
      <c r="L19" s="664" t="n"/>
      <c r="M19" s="664" t="n"/>
      <c r="N19" s="664" t="n"/>
    </row>
    <row r="20" ht="14.25" customHeight="1" s="335">
      <c r="A20" s="665" t="inlineStr">
        <is>
          <t>UNION ALL</t>
        </is>
      </c>
      <c r="B20" s="438" t="inlineStr">
        <is>
          <t>Khởi tạo</t>
        </is>
      </c>
      <c r="C20" s="438" t="n"/>
      <c r="D20" s="438" t="n"/>
      <c r="E20" s="438" t="n"/>
      <c r="F20" s="438" t="n"/>
      <c r="G20" s="438" t="n"/>
      <c r="H20" s="438" t="n"/>
      <c r="I20" s="438" t="n"/>
      <c r="J20" s="438" t="n"/>
      <c r="K20" s="438" t="n"/>
    </row>
    <row r="22" ht="14.25" customHeight="1" s="335">
      <c r="A22" s="432" t="inlineStr">
        <is>
          <t>Nguồn</t>
        </is>
      </c>
      <c r="B22" s="432" t="inlineStr">
        <is>
          <t>Bảng nguồn</t>
        </is>
      </c>
      <c r="C22" s="432" t="inlineStr">
        <is>
          <t>Short table</t>
        </is>
      </c>
      <c r="D22" s="432" t="inlineStr">
        <is>
          <t>Business Rule</t>
        </is>
      </c>
      <c r="E22" s="432" t="n"/>
      <c r="F22" s="432" t="n"/>
      <c r="G22" s="432" t="n"/>
      <c r="H22" s="432" t="n"/>
      <c r="I22" s="432" t="n"/>
      <c r="J22" s="432" t="n"/>
      <c r="K22" s="432" t="n"/>
    </row>
    <row r="23" ht="216" customHeight="1" s="335">
      <c r="A23" s="415" t="inlineStr">
        <is>
          <t>PG_BRONZE</t>
        </is>
      </c>
      <c r="B23" s="415" t="inlineStr">
        <is>
          <t>T24CORE_LD_LOANS_AND_DEPOSITS_HIS</t>
        </is>
      </c>
      <c r="C23" s="433" t="inlineStr">
        <is>
          <t>ldh</t>
        </is>
      </c>
      <c r="D23" s="443" t="inlineStr">
        <is>
          <t>WHERE ldh.CURR_NO =  (SELECT  max(CURR_NO) FROM PG_BRONZE.T24CORE_LD_LOANS_AND_DEPOSITS_HIS t
WHERE SUBSTR(ldh.RECID,1,INSTR(ldh.RECID,';')-1) = SUBSTR(t.RECID,1,INSTR(t.RECID,';')-1) )
AND NOT EXISTS (SELECT * FROM PG_BRONZE.T24CORE_LD_LOANS_AND_DEPOSITS_HIS t
WHERE SUBSTR(ldh.RECID,1,INSTR(ldh.RECID,';')-1) = SUBSTR(t.RECID,1,INSTR(t.RECID,';')-1)
AND NVL(t.RECORD_STATUS,'_') = 'REVE' )
and NOT EXISTS (SELECT * FROM PG_BRONZE.T24CORE_LD_LOANS_AND_DEPOSITS ld
WHERE SUBSTR(ldh.RECID,1,INSTR(ldh.RECID,';')-1) = ld.RECID )</t>
        </is>
      </c>
      <c r="E23" s="435" t="n"/>
      <c r="F23" s="435" t="n"/>
      <c r="G23" s="435" t="n"/>
      <c r="H23" s="435" t="n"/>
      <c r="I23" s="435" t="n"/>
      <c r="J23" s="435" t="n"/>
      <c r="K23" s="435" t="n"/>
    </row>
    <row r="24" ht="73.5" customHeight="1" s="335">
      <c r="A24" s="415" t="inlineStr">
        <is>
          <t>PG_BRONZE</t>
        </is>
      </c>
      <c r="B24" s="415" t="inlineStr">
        <is>
          <t>FLEXBO_PGB_LOS_CONTRACT_FIELDS_TDATE</t>
        </is>
      </c>
      <c r="C24" s="433" t="inlineStr">
        <is>
          <t>d</t>
        </is>
      </c>
      <c r="D24" s="443" t="inlineStr">
        <is>
          <t>(left join) ON d.CONTRACT_REF_NO = SUBSTR(ldh.RECID,1,INSTR(ldh.RECID,';')-1)
AND d.MOV_DATE  = TO_DATE(COALESCE(ldh.ORIG_VAL_DATE,ldh.VALUE_DATE), 'YYYYMMDD')</t>
        </is>
      </c>
      <c r="E24" s="433" t="n"/>
      <c r="F24" s="433" t="n"/>
      <c r="G24" s="433" t="n"/>
      <c r="H24" s="433" t="n"/>
      <c r="I24" s="433" t="n"/>
      <c r="J24" s="433" t="n"/>
      <c r="K24" s="433" t="n"/>
    </row>
    <row r="26" ht="14.25" customHeight="1" s="335">
      <c r="A26" s="432" t="inlineStr">
        <is>
          <t>Nguồn</t>
        </is>
      </c>
      <c r="B26" s="432" t="inlineStr">
        <is>
          <t>Bảng nguồn</t>
        </is>
      </c>
      <c r="C26" s="432" t="inlineStr">
        <is>
          <t>Cột nguồn</t>
        </is>
      </c>
      <c r="D26" s="432" t="inlineStr">
        <is>
          <t>Transform</t>
        </is>
      </c>
      <c r="E26" s="432" t="inlineStr">
        <is>
          <t>Entity</t>
        </is>
      </c>
      <c r="F26" s="432" t="inlineStr">
        <is>
          <t>Attribute</t>
        </is>
      </c>
      <c r="G26" s="432" t="inlineStr">
        <is>
          <t>Bảng đích</t>
        </is>
      </c>
      <c r="H26" s="432" t="inlineStr">
        <is>
          <t>Cột đích</t>
        </is>
      </c>
      <c r="I26" s="432" t="inlineStr">
        <is>
          <t>Kiểu dữ liệu</t>
        </is>
      </c>
      <c r="J26" s="432" t="inlineStr">
        <is>
          <t>Độ dài</t>
        </is>
      </c>
      <c r="K26" s="432" t="inlineStr">
        <is>
          <t>Diễn giải</t>
        </is>
      </c>
      <c r="L26" s="432" t="inlineStr">
        <is>
          <t>Glossary</t>
        </is>
      </c>
      <c r="M26" s="432" t="inlineStr">
        <is>
          <t>DDL Comment</t>
        </is>
      </c>
      <c r="N26" s="432" t="inlineStr">
        <is>
          <t>Ghi chú kỹ thuật &amp; Business Rule</t>
        </is>
      </c>
    </row>
    <row r="27" ht="28.5" customHeight="1" s="335">
      <c r="A27" s="415" t="inlineStr">
        <is>
          <t>PG_BRONZE</t>
        </is>
      </c>
      <c r="B27" s="415" t="inlineStr">
        <is>
          <t>T24CORE_LD_LOANS_AND_DEPOSITS_HIS</t>
        </is>
      </c>
      <c r="C27" s="433" t="inlineStr">
        <is>
          <t>RECID</t>
        </is>
      </c>
      <c r="D27" s="443" t="inlineStr">
        <is>
          <t>fn_hash("T24_LD_LOANS_AND_DEPOSITS",SUBSTR(ldh.RECID,1,INSTR(ldh.RECID,';')-1))</t>
        </is>
      </c>
      <c r="E27" s="433" t="inlineStr">
        <is>
          <t>Arrangement Rate History</t>
        </is>
      </c>
      <c r="F27" s="433" t="inlineStr">
        <is>
          <t>Arrangement ID</t>
        </is>
      </c>
      <c r="G27" s="558" t="inlineStr">
        <is>
          <t>AR_RATE_HIST</t>
        </is>
      </c>
      <c r="H27" s="558" t="inlineStr">
        <is>
          <t>AR_ID</t>
        </is>
      </c>
      <c r="I27" s="415" t="inlineStr">
        <is>
          <t>CHAR</t>
        </is>
      </c>
      <c r="J27" s="415" t="n">
        <v>32</v>
      </c>
      <c r="K27" s="415" t="inlineStr">
        <is>
          <t>Unique key trên DWH</t>
        </is>
      </c>
      <c r="M27" s="415">
        <f>"COMMENT ON COLUMN PG_SILVER."&amp;G27&amp;"."&amp;H27&amp;" IS '"&amp;K27&amp;"';"</f>
        <v/>
      </c>
    </row>
    <row r="28" ht="14.25" customHeight="1" s="335">
      <c r="A28" s="415" t="inlineStr">
        <is>
          <t>PG_BRONZE</t>
        </is>
      </c>
      <c r="B28" s="415" t="inlineStr">
        <is>
          <t>T24CORE_LD_LOANS_AND_DEPOSITS_HIS</t>
        </is>
      </c>
      <c r="C28" s="433" t="inlineStr">
        <is>
          <t>RECID</t>
        </is>
      </c>
      <c r="D28" s="433" t="inlineStr">
        <is>
          <t>SUBSTR(ldh.RECID,1,INSTR(ldh.RECID,';')-1)</t>
        </is>
      </c>
      <c r="E28" s="433" t="inlineStr">
        <is>
          <t>Arrangement Rate History</t>
        </is>
      </c>
      <c r="F28" s="433" t="inlineStr">
        <is>
          <t>Arrangement Code</t>
        </is>
      </c>
      <c r="G28" s="558" t="inlineStr">
        <is>
          <t>AR_RATE_HIST</t>
        </is>
      </c>
      <c r="H28" s="558" t="inlineStr">
        <is>
          <t>AR_CODE</t>
        </is>
      </c>
      <c r="I28" s="415" t="inlineStr">
        <is>
          <t>VARCHAR2</t>
        </is>
      </c>
      <c r="J28" s="415" t="n">
        <v>40</v>
      </c>
      <c r="K28" s="433" t="inlineStr">
        <is>
          <t>Mã hợp đồng</t>
        </is>
      </c>
      <c r="M28" s="433">
        <f>"COMMENT ON COLUMN PG_SILVER."&amp;G28&amp;"."&amp;H28&amp;" IS '"&amp;K28&amp;"';"</f>
        <v/>
      </c>
      <c r="N28" s="334" t="inlineStr">
        <is>
          <t>Cắt bỏ hậu tố ';curr_no' bằng SUBSTR(ldh.RECID,1,INSTR(ldh.RECID,';')-1) cho AR_CODE ở Nhánh 2 (LD_HIS) để khớp với LOAN_AR.AR_CODE.</t>
        </is>
      </c>
    </row>
    <row r="29" ht="14.25" customHeight="1" s="335">
      <c r="A29" s="415" t="inlineStr">
        <is>
          <t>PG_BRONZE</t>
        </is>
      </c>
      <c r="B29" s="415" t="inlineStr">
        <is>
          <t>T24CORE_LD_LOANS_AND_DEPOSITS_HIS</t>
        </is>
      </c>
      <c r="C29" s="433" t="inlineStr">
        <is>
          <t>INT_RATE_TYPE</t>
        </is>
      </c>
      <c r="D29" s="433" t="inlineStr">
        <is>
          <t>1:1</t>
        </is>
      </c>
      <c r="E29" s="433" t="inlineStr">
        <is>
          <t>Arrangement Rate History</t>
        </is>
      </c>
      <c r="F29" s="433" t="inlineStr">
        <is>
          <t>Interest Rate Variablity Type Code</t>
        </is>
      </c>
      <c r="G29" s="558" t="inlineStr">
        <is>
          <t>AR_RATE_HIST</t>
        </is>
      </c>
      <c r="H29" s="558" t="inlineStr">
        <is>
          <t>INT_RATE_VARIABLITY_TP_CODE</t>
        </is>
      </c>
      <c r="I29" s="415" t="inlineStr">
        <is>
          <t>VARCHAR2</t>
        </is>
      </c>
      <c r="J29" s="415" t="n">
        <v>20</v>
      </c>
      <c r="K29" s="433" t="inlineStr">
        <is>
          <t>Loại lãi suất : Fix , float</t>
        </is>
      </c>
      <c r="M29" s="433">
        <f>"COMMENT ON COLUMN PG_SILVER."&amp;G29&amp;"."&amp;H29&amp;" IS '"&amp;K29&amp;"';"</f>
        <v/>
      </c>
    </row>
    <row r="30" ht="14.25" customHeight="1" s="335">
      <c r="A30" s="415" t="inlineStr">
        <is>
          <t>PG_BRONZE</t>
        </is>
      </c>
      <c r="B30" s="415" t="inlineStr">
        <is>
          <t>T24CORE_LD_LOANS_AND_DEPOSITS_HIS</t>
        </is>
      </c>
      <c r="C30" s="433" t="inlineStr">
        <is>
          <t>INT_VALUE_DATE</t>
        </is>
      </c>
      <c r="D30" s="433" t="inlineStr">
        <is>
          <t>1:1</t>
        </is>
      </c>
      <c r="E30" s="433" t="inlineStr">
        <is>
          <t>Arrangement Rate History</t>
        </is>
      </c>
      <c r="F30" s="433" t="inlineStr">
        <is>
          <t>Interest Rate Effective Date</t>
        </is>
      </c>
      <c r="G30" s="558" t="inlineStr">
        <is>
          <t>AR_RATE_HIST</t>
        </is>
      </c>
      <c r="H30" s="558" t="inlineStr">
        <is>
          <t>INT_RATE_EFF_DT</t>
        </is>
      </c>
      <c r="I30" s="415" t="inlineStr">
        <is>
          <t>DATE</t>
        </is>
      </c>
      <c r="J30" s="415" t="n"/>
      <c r="K30" s="433" t="inlineStr">
        <is>
          <t>Ngày hiệu lực lãi suất</t>
        </is>
      </c>
      <c r="M30" s="433">
        <f>"COMMENT ON COLUMN PG_SILVER."&amp;G30&amp;"."&amp;H30&amp;" IS '"&amp;K30&amp;"';"</f>
        <v/>
      </c>
    </row>
    <row r="31" ht="14.25" customHeight="1" s="335">
      <c r="A31" s="415" t="inlineStr">
        <is>
          <t>PG_BRONZE</t>
        </is>
      </c>
      <c r="B31" s="415" t="inlineStr">
        <is>
          <t>T24CORE_LD_LOANS_AND_DEPOSITS_HIS</t>
        </is>
      </c>
      <c r="C31" s="433" t="inlineStr">
        <is>
          <t>INTEREST_RATE</t>
        </is>
      </c>
      <c r="D31" s="433" t="inlineStr">
        <is>
          <t>1:1</t>
        </is>
      </c>
      <c r="E31" s="433" t="inlineStr">
        <is>
          <t>Arrangement Rate History</t>
        </is>
      </c>
      <c r="F31" s="433" t="inlineStr">
        <is>
          <t>Effective Rate Percentage</t>
        </is>
      </c>
      <c r="G31" s="558" t="inlineStr">
        <is>
          <t>AR_RATE_HIST</t>
        </is>
      </c>
      <c r="H31" s="558" t="inlineStr">
        <is>
          <t>EFF_RATE_PCT</t>
        </is>
      </c>
      <c r="I31" s="415" t="inlineStr">
        <is>
          <t>NUMBER</t>
        </is>
      </c>
      <c r="J31" s="415" t="n">
        <v>25.7</v>
      </c>
      <c r="K31" s="433" t="inlineStr">
        <is>
          <t>Giá trị lãi suất</t>
        </is>
      </c>
      <c r="M31" s="433">
        <f>"COMMENT ON COLUMN PG_SILVER."&amp;G31&amp;"."&amp;H31&amp;" IS '"&amp;K31&amp;"';"</f>
        <v/>
      </c>
    </row>
    <row r="32" ht="14.25" customHeight="1" s="335">
      <c r="A32" s="415" t="inlineStr">
        <is>
          <t>PG_BRONZE</t>
        </is>
      </c>
      <c r="B32" s="415" t="inlineStr">
        <is>
          <t>T24CORE_LD_LOANS_AND_DEPOSITS_HIS</t>
        </is>
      </c>
      <c r="C32" s="433" t="inlineStr">
        <is>
          <t>INTEREST_SPREAD</t>
        </is>
      </c>
      <c r="D32" s="433" t="inlineStr">
        <is>
          <t>1:1</t>
        </is>
      </c>
      <c r="E32" s="433" t="inlineStr">
        <is>
          <t>Arrangement Rate History</t>
        </is>
      </c>
      <c r="F32" s="433" t="inlineStr">
        <is>
          <t>Spread Rate Percentage</t>
        </is>
      </c>
      <c r="G32" s="558" t="inlineStr">
        <is>
          <t>AR_RATE_HIST</t>
        </is>
      </c>
      <c r="H32" s="558" t="inlineStr">
        <is>
          <t>SPRD_RATE_PCT</t>
        </is>
      </c>
      <c r="I32" s="415" t="inlineStr">
        <is>
          <t>NUMBER</t>
        </is>
      </c>
      <c r="J32" s="415" t="n">
        <v>25.7</v>
      </c>
      <c r="K32" s="433" t="inlineStr">
        <is>
          <t>Biên độ lãi suất</t>
        </is>
      </c>
      <c r="M32" s="433">
        <f>"COMMENT ON COLUMN PG_SILVER."&amp;G32&amp;"."&amp;H32&amp;" IS '"&amp;K32&amp;"';"</f>
        <v/>
      </c>
    </row>
    <row r="33" ht="14.25" customHeight="1" s="335">
      <c r="A33" s="415" t="inlineStr">
        <is>
          <t>PG_BRONZE</t>
        </is>
      </c>
      <c r="B33" s="415" t="inlineStr">
        <is>
          <t>T24CORE_LD_LOANS_AND_DEPOSITS_HIS</t>
        </is>
      </c>
      <c r="C33" s="433" t="inlineStr">
        <is>
          <t>RECID</t>
        </is>
      </c>
      <c r="D33" s="433" t="inlineStr">
        <is>
          <t>NULL</t>
        </is>
      </c>
      <c r="E33" s="433" t="inlineStr">
        <is>
          <t>Arrangement Rate History</t>
        </is>
      </c>
      <c r="F33" s="433" t="inlineStr">
        <is>
          <t>Penalty Rate</t>
        </is>
      </c>
      <c r="G33" s="558" t="inlineStr">
        <is>
          <t>AR_RATE_HIST</t>
        </is>
      </c>
      <c r="H33" s="558" t="inlineStr">
        <is>
          <t>PNY_RATE</t>
        </is>
      </c>
      <c r="I33" s="415" t="inlineStr">
        <is>
          <t>NUMBER</t>
        </is>
      </c>
      <c r="J33" s="415" t="n">
        <v>25.7</v>
      </c>
      <c r="K33" s="433" t="inlineStr">
        <is>
          <t>Lãi phạt penalty rate</t>
        </is>
      </c>
      <c r="M33" s="433">
        <f>"COMMENT ON COLUMN PG_SILVER."&amp;G33&amp;"."&amp;H33&amp;" IS '"&amp;K33&amp;"';"</f>
        <v/>
      </c>
    </row>
    <row r="34" ht="14.25" customHeight="1" s="335">
      <c r="A34" s="433" t="inlineStr">
        <is>
          <t>PG_BRONZE</t>
        </is>
      </c>
      <c r="B34" s="415" t="inlineStr">
        <is>
          <t>T24CORE_LD_LOANS_AND_DEPOSITS_HIS</t>
        </is>
      </c>
      <c r="C34" s="433" t="inlineStr">
        <is>
          <t>RECID</t>
        </is>
      </c>
      <c r="D34" s="433" t="inlineStr">
        <is>
          <t>NULL</t>
        </is>
      </c>
      <c r="E34" s="433" t="inlineStr">
        <is>
          <t>Arrangement Rate History</t>
        </is>
      </c>
      <c r="F34" s="433" t="inlineStr">
        <is>
          <t>Overdue Interest Rate</t>
        </is>
      </c>
      <c r="G34" s="558" t="inlineStr">
        <is>
          <t>AR_RATE_HIST</t>
        </is>
      </c>
      <c r="H34" s="558" t="inlineStr">
        <is>
          <t>ODUE_INT_RATE</t>
        </is>
      </c>
      <c r="I34" s="415" t="inlineStr">
        <is>
          <t>NUMBER</t>
        </is>
      </c>
      <c r="J34" s="415" t="n">
        <v>25.7</v>
      </c>
      <c r="K34" s="433" t="inlineStr">
        <is>
          <t>Lãi suất cho quá hạn</t>
        </is>
      </c>
      <c r="M34" s="433">
        <f>"COMMENT ON COLUMN PG_SILVER."&amp;G34&amp;"."&amp;H34&amp;" IS '"&amp;K34&amp;"';"</f>
        <v/>
      </c>
    </row>
    <row r="35" ht="14.25" customHeight="1" s="335">
      <c r="A35" s="415" t="inlineStr">
        <is>
          <t>PG_BRONZE</t>
        </is>
      </c>
      <c r="B35" s="415" t="inlineStr">
        <is>
          <t>FLEXBO_PGB_LOS_CONTRACT_FIELDS_TDATE</t>
        </is>
      </c>
      <c r="C35" s="415" t="inlineStr">
        <is>
          <t>BIEN_DO_THAY_DOI_LS_THEO_HDTD</t>
        </is>
      </c>
      <c r="D35" s="433" t="inlineStr">
        <is>
          <t>1:1</t>
        </is>
      </c>
      <c r="E35" s="433" t="inlineStr">
        <is>
          <t>Arrangement Rate History</t>
        </is>
      </c>
      <c r="F35" s="334" t="inlineStr">
        <is>
          <t>Margin Rate</t>
        </is>
      </c>
      <c r="G35" s="558" t="inlineStr">
        <is>
          <t>AR_RATE_HIST</t>
        </is>
      </c>
      <c r="H35" s="575" t="inlineStr">
        <is>
          <t>MRGN_RATE</t>
        </is>
      </c>
      <c r="I35" s="415" t="inlineStr">
        <is>
          <t>NUMBER</t>
        </is>
      </c>
      <c r="J35" s="415" t="n">
        <v>25.7</v>
      </c>
      <c r="K35" s="334" t="inlineStr">
        <is>
          <t>Biên độ thay đổi lãi suất</t>
        </is>
      </c>
      <c r="M35" s="334">
        <f>"COMMENT ON COLUMN PG_SILVER."&amp;G35&amp;"."&amp;H35&amp;" IS '"&amp;K35&amp;"';"</f>
        <v/>
      </c>
    </row>
    <row r="36" ht="14.25" customHeight="1" s="335">
      <c r="A36" s="415" t="inlineStr">
        <is>
          <t>PG_BRONZE</t>
        </is>
      </c>
      <c r="B36" s="415" t="inlineStr">
        <is>
          <t>T24CORE_LD_LOANS_AND_DEPOSITS_HIS</t>
        </is>
      </c>
      <c r="C36" s="415" t="inlineStr">
        <is>
          <t>RECID</t>
        </is>
      </c>
      <c r="D36" s="415" t="inlineStr">
        <is>
          <t>ETL_DATE if not exists AR_ID</t>
        </is>
      </c>
      <c r="E36" s="433" t="inlineStr">
        <is>
          <t>Arrangement Rate History</t>
        </is>
      </c>
      <c r="F36" s="415" t="inlineStr">
        <is>
          <t>System Effective Date</t>
        </is>
      </c>
      <c r="G36" s="558" t="inlineStr">
        <is>
          <t>AR_RATE_HIST</t>
        </is>
      </c>
      <c r="H36" s="415" t="inlineStr">
        <is>
          <t>SYS_EFF_DT</t>
        </is>
      </c>
      <c r="I36" s="415" t="inlineStr">
        <is>
          <t>DATE</t>
        </is>
      </c>
      <c r="J36" s="415" t="n"/>
      <c r="K36" s="415" t="inlineStr">
        <is>
          <t>Ngày bản ghi lần đầu tiên vào hệ thống</t>
        </is>
      </c>
      <c r="M36" s="415">
        <f>"COMMENT ON COLUMN PG_SILVER."&amp;G36&amp;"."&amp;H36&amp;" IS '"&amp;K36&amp;"';"</f>
        <v/>
      </c>
    </row>
    <row r="37" ht="14.25" customHeight="1" s="335">
      <c r="A37" s="415" t="inlineStr">
        <is>
          <t>PG_BRONZE</t>
        </is>
      </c>
      <c r="B37" s="415" t="inlineStr">
        <is>
          <t>T24CORE_LD_LOANS_AND_DEPOSITS_HIS</t>
        </is>
      </c>
      <c r="C37" s="415" t="inlineStr">
        <is>
          <t>RECID</t>
        </is>
      </c>
      <c r="D37" s="415" t="inlineStr">
        <is>
          <t>ETL_DATE if RECID was deleted</t>
        </is>
      </c>
      <c r="E37" s="433" t="inlineStr">
        <is>
          <t>Arrangement Rate History</t>
        </is>
      </c>
      <c r="F37" s="415" t="inlineStr">
        <is>
          <t>System Expiry Date</t>
        </is>
      </c>
      <c r="G37" s="558" t="inlineStr">
        <is>
          <t>AR_RATE_HIST</t>
        </is>
      </c>
      <c r="H37" s="415" t="inlineStr">
        <is>
          <t>SYS_EXP_DT</t>
        </is>
      </c>
      <c r="I37" s="415" t="inlineStr">
        <is>
          <t>DATE</t>
        </is>
      </c>
      <c r="J37" s="415" t="n"/>
      <c r="K37" s="415" t="inlineStr">
        <is>
          <t>Ngày hết hạn của bản ghi</t>
        </is>
      </c>
      <c r="M37" s="415">
        <f>"COMMENT ON COLUMN PG_SILVER."&amp;G37&amp;"."&amp;H37&amp;" IS '"&amp;K37&amp;"';"</f>
        <v/>
      </c>
    </row>
    <row r="38" ht="14.25" customHeight="1" s="335">
      <c r="A38" s="415" t="inlineStr">
        <is>
          <t>PG_BRONZE</t>
        </is>
      </c>
      <c r="B38" s="415" t="inlineStr">
        <is>
          <t>T24CORE_LD_LOANS_AND_DEPOSITS_HIS</t>
        </is>
      </c>
      <c r="C38" s="415" t="inlineStr">
        <is>
          <t>RECID</t>
        </is>
      </c>
      <c r="D38" s="415" t="inlineStr">
        <is>
          <t>ETL_DATE</t>
        </is>
      </c>
      <c r="E38" s="433" t="inlineStr">
        <is>
          <t>Arrangement Rate History</t>
        </is>
      </c>
      <c r="F38" s="415" t="inlineStr">
        <is>
          <t>System Update Date</t>
        </is>
      </c>
      <c r="G38" s="558" t="inlineStr">
        <is>
          <t>AR_RATE_HIST</t>
        </is>
      </c>
      <c r="H38" s="415" t="inlineStr">
        <is>
          <t>SYS_UDT_DT</t>
        </is>
      </c>
      <c r="I38" s="415" t="inlineStr">
        <is>
          <t>DATE</t>
        </is>
      </c>
      <c r="J38" s="415" t="n"/>
      <c r="K38" s="415" t="inlineStr">
        <is>
          <t>Ngày update dữ liệu gần nhất</t>
        </is>
      </c>
      <c r="M38" s="415">
        <f>"COMMENT ON COLUMN PG_SILVER."&amp;G38&amp;"."&amp;H38&amp;" IS '"&amp;K38&amp;"';"</f>
        <v/>
      </c>
    </row>
    <row r="40" ht="14.25" customHeight="1" s="335">
      <c r="A40" s="665" t="inlineStr">
        <is>
          <t>UNION ALL</t>
        </is>
      </c>
      <c r="B40" s="438" t="n"/>
      <c r="C40" s="438" t="n"/>
      <c r="D40" s="438" t="n"/>
      <c r="E40" s="438" t="n"/>
      <c r="F40" s="438" t="n"/>
      <c r="G40" s="438" t="n"/>
      <c r="H40" s="438" t="n"/>
      <c r="I40" s="438" t="n"/>
      <c r="J40" s="438" t="n"/>
      <c r="K40" s="438" t="n"/>
    </row>
    <row r="42" ht="14.25" customHeight="1" s="335">
      <c r="A42" s="432" t="inlineStr">
        <is>
          <t>Nguồn</t>
        </is>
      </c>
      <c r="B42" s="432" t="inlineStr">
        <is>
          <t>Bảng nguồn</t>
        </is>
      </c>
      <c r="C42" s="432" t="inlineStr">
        <is>
          <t>Short table</t>
        </is>
      </c>
      <c r="D42" s="432" t="inlineStr">
        <is>
          <t>Business Rule</t>
        </is>
      </c>
      <c r="E42" s="432" t="n"/>
      <c r="F42" s="432" t="n"/>
      <c r="G42" s="432" t="n"/>
      <c r="H42" s="432" t="n"/>
      <c r="I42" s="432" t="n"/>
      <c r="J42" s="432" t="n"/>
      <c r="K42" s="432" t="n"/>
    </row>
    <row r="43" ht="14.25" customHeight="1" s="335">
      <c r="A43" s="433" t="inlineStr">
        <is>
          <t>PG_BRONZE</t>
        </is>
      </c>
      <c r="B43" s="415" t="inlineStr">
        <is>
          <t>T24CORE_PD_PAYMENT_DUE</t>
        </is>
      </c>
      <c r="C43" s="441" t="inlineStr">
        <is>
          <t>d</t>
        </is>
      </c>
      <c r="D43" s="443" t="n"/>
      <c r="E43" s="435" t="n"/>
      <c r="F43" s="435" t="n"/>
      <c r="G43" s="435" t="n"/>
      <c r="H43" s="435" t="n"/>
      <c r="I43" s="435" t="n"/>
      <c r="J43" s="435" t="n"/>
      <c r="K43" s="435" t="n"/>
    </row>
    <row r="45" ht="14.25" customHeight="1" s="335">
      <c r="A45" s="432" t="inlineStr">
        <is>
          <t>Nguồn</t>
        </is>
      </c>
      <c r="B45" s="432" t="inlineStr">
        <is>
          <t>Bảng nguồn</t>
        </is>
      </c>
      <c r="C45" s="432" t="inlineStr">
        <is>
          <t>Cột nguồn</t>
        </is>
      </c>
      <c r="D45" s="432" t="inlineStr">
        <is>
          <t>Transform</t>
        </is>
      </c>
      <c r="E45" s="432" t="inlineStr">
        <is>
          <t>Entity</t>
        </is>
      </c>
      <c r="F45" s="432" t="inlineStr">
        <is>
          <t>Attribute</t>
        </is>
      </c>
      <c r="G45" s="432" t="inlineStr">
        <is>
          <t>Bảng đích</t>
        </is>
      </c>
      <c r="H45" s="432" t="inlineStr">
        <is>
          <t>Cột đích</t>
        </is>
      </c>
      <c r="I45" s="432" t="inlineStr">
        <is>
          <t>Kiểu dữ liệu</t>
        </is>
      </c>
      <c r="J45" s="432" t="inlineStr">
        <is>
          <t>Độ dài</t>
        </is>
      </c>
      <c r="K45" s="432" t="inlineStr">
        <is>
          <t>Diễn giải</t>
        </is>
      </c>
      <c r="L45" s="432" t="inlineStr">
        <is>
          <t>Glossary</t>
        </is>
      </c>
      <c r="M45" s="432" t="inlineStr">
        <is>
          <t>DDL Comment</t>
        </is>
      </c>
      <c r="N45" s="413" t="inlineStr">
        <is>
          <t>Ghi chú kỹ thuật &amp; Business Rule</t>
        </is>
      </c>
    </row>
    <row r="46" ht="54.75" customHeight="1" s="335">
      <c r="A46" s="433" t="inlineStr">
        <is>
          <t>PG_BRONZE</t>
        </is>
      </c>
      <c r="B46" s="415" t="inlineStr">
        <is>
          <t>T24CORE_PD_PAYMENT_DUE</t>
        </is>
      </c>
      <c r="C46" s="433" t="inlineStr">
        <is>
          <t>RECID</t>
        </is>
      </c>
      <c r="D46" s="445" t="inlineStr">
        <is>
          <t>fn_hash("T24_LD_LOANS_AND_DEPOSITS", SUBSTR(d.RECID, 1, 14))</t>
        </is>
      </c>
      <c r="E46" s="433" t="inlineStr">
        <is>
          <t>Arrangement Rate History</t>
        </is>
      </c>
      <c r="F46" s="433" t="inlineStr">
        <is>
          <t>Arrangement ID</t>
        </is>
      </c>
      <c r="G46" s="558" t="inlineStr">
        <is>
          <t>AR_RATE_HIST</t>
        </is>
      </c>
      <c r="H46" s="558" t="inlineStr">
        <is>
          <t>AR_ID</t>
        </is>
      </c>
      <c r="I46" s="415" t="inlineStr">
        <is>
          <t>CHAR</t>
        </is>
      </c>
      <c r="J46" s="415" t="n">
        <v>32</v>
      </c>
      <c r="K46" s="415" t="inlineStr">
        <is>
          <t>Unique key trên DWH</t>
        </is>
      </c>
      <c r="M46" s="415">
        <f>"COMMENT ON COLUMN PG_SILVER."&amp;G46&amp;"."&amp;H46&amp;" IS '"&amp;K46&amp;"';"</f>
        <v/>
      </c>
      <c r="N46" s="414" t="inlineStr">
        <is>
          <t>Khai báo alias `d` và sửa thành `SUBSTR(d.RECID, 1, 14)`.</t>
        </is>
      </c>
    </row>
    <row r="47" ht="14.25" customHeight="1" s="335">
      <c r="A47" s="433" t="inlineStr">
        <is>
          <t>PG_BRONZE</t>
        </is>
      </c>
      <c r="B47" s="415" t="inlineStr">
        <is>
          <t>T24CORE_PD_PAYMENT_DUE</t>
        </is>
      </c>
      <c r="C47" s="433" t="inlineStr">
        <is>
          <t>RECID</t>
        </is>
      </c>
      <c r="D47" s="433" t="inlineStr">
        <is>
          <t>SUBSTR(d.RECID, 1, 14)</t>
        </is>
      </c>
      <c r="E47" s="433" t="inlineStr">
        <is>
          <t>Arrangement Rate History</t>
        </is>
      </c>
      <c r="F47" s="433" t="inlineStr">
        <is>
          <t>Arrangement Code</t>
        </is>
      </c>
      <c r="G47" s="558" t="inlineStr">
        <is>
          <t>AR_RATE_HIST</t>
        </is>
      </c>
      <c r="H47" s="558" t="inlineStr">
        <is>
          <t>AR_CODE</t>
        </is>
      </c>
      <c r="I47" s="415" t="inlineStr">
        <is>
          <t>VARCHAR2</t>
        </is>
      </c>
      <c r="J47" s="415" t="n">
        <v>40</v>
      </c>
      <c r="K47" s="433" t="inlineStr">
        <is>
          <t>Mã hợp đồng</t>
        </is>
      </c>
      <c r="M47" s="433">
        <f>"COMMENT ON COLUMN PG_SILVER."&amp;G47&amp;"."&amp;H47&amp;" IS '"&amp;K47&amp;"';"</f>
        <v/>
      </c>
      <c r="N47" s="334" t="inlineStr">
        <is>
          <t>Cắt SUBSTR(d.RECID, 1, 14) cho AR_CODE ở Nhánh 3 (PD) để khớp với khóa băm AR_ID ở dòng 46.</t>
        </is>
      </c>
    </row>
    <row r="48" ht="14.25" customHeight="1" s="335">
      <c r="A48" s="433" t="inlineStr">
        <is>
          <t>PG_BRONZE</t>
        </is>
      </c>
      <c r="B48" s="415" t="inlineStr">
        <is>
          <t>T24CORE_PD_PAYMENT_DUE</t>
        </is>
      </c>
      <c r="C48" s="433" t="inlineStr">
        <is>
          <t>RECID</t>
        </is>
      </c>
      <c r="D48" s="433" t="inlineStr">
        <is>
          <t>NULL</t>
        </is>
      </c>
      <c r="E48" s="433" t="inlineStr">
        <is>
          <t>Arrangement Rate History</t>
        </is>
      </c>
      <c r="F48" s="433" t="inlineStr">
        <is>
          <t>Interest Rate Variablity Type Code</t>
        </is>
      </c>
      <c r="G48" s="558" t="inlineStr">
        <is>
          <t>AR_RATE_HIST</t>
        </is>
      </c>
      <c r="H48" s="558" t="inlineStr">
        <is>
          <t>INT_RATE_VARIABLITY_TP_CODE</t>
        </is>
      </c>
      <c r="I48" s="415" t="inlineStr">
        <is>
          <t>VARCHAR2</t>
        </is>
      </c>
      <c r="J48" s="415" t="n">
        <v>20</v>
      </c>
      <c r="K48" s="433" t="inlineStr">
        <is>
          <t>Loại lãi suất : Fix , float</t>
        </is>
      </c>
      <c r="M48" s="433">
        <f>"COMMENT ON COLUMN PG_SILVER."&amp;G48&amp;"."&amp;H48&amp;" IS '"&amp;K48&amp;"';"</f>
        <v/>
      </c>
    </row>
    <row r="49" ht="14.25" customHeight="1" s="335">
      <c r="A49" s="433" t="inlineStr">
        <is>
          <t>PG_BRONZE</t>
        </is>
      </c>
      <c r="B49" s="415" t="inlineStr">
        <is>
          <t>T24CORE_PD_PAYMENT_DUE</t>
        </is>
      </c>
      <c r="C49" s="433" t="inlineStr">
        <is>
          <t>RECID</t>
        </is>
      </c>
      <c r="D49" s="433" t="inlineStr">
        <is>
          <t>NULL</t>
        </is>
      </c>
      <c r="E49" s="433" t="inlineStr">
        <is>
          <t>Arrangement Rate History</t>
        </is>
      </c>
      <c r="F49" s="433" t="inlineStr">
        <is>
          <t>Interest Rate Effective Date</t>
        </is>
      </c>
      <c r="G49" s="558" t="inlineStr">
        <is>
          <t>AR_RATE_HIST</t>
        </is>
      </c>
      <c r="H49" s="558" t="inlineStr">
        <is>
          <t>INT_RATE_EFF_DT</t>
        </is>
      </c>
      <c r="I49" s="415" t="inlineStr">
        <is>
          <t>DATE</t>
        </is>
      </c>
      <c r="J49" s="415" t="n"/>
      <c r="K49" s="433" t="inlineStr">
        <is>
          <t>Ngày hiệu lực lãi suất</t>
        </is>
      </c>
      <c r="M49" s="433">
        <f>"COMMENT ON COLUMN PG_SILVER."&amp;G49&amp;"."&amp;H49&amp;" IS '"&amp;K49&amp;"';"</f>
        <v/>
      </c>
    </row>
    <row r="50" ht="14.25" customHeight="1" s="335">
      <c r="A50" s="433" t="inlineStr">
        <is>
          <t>PG_BRONZE</t>
        </is>
      </c>
      <c r="B50" s="415" t="inlineStr">
        <is>
          <t>T24CORE_PD_PAYMENT_DUE</t>
        </is>
      </c>
      <c r="C50" s="433" t="inlineStr">
        <is>
          <t>RECID</t>
        </is>
      </c>
      <c r="D50" s="433" t="inlineStr">
        <is>
          <t>NULL</t>
        </is>
      </c>
      <c r="E50" s="433" t="inlineStr">
        <is>
          <t>Arrangement Rate History</t>
        </is>
      </c>
      <c r="F50" s="433" t="inlineStr">
        <is>
          <t>Effective Rate Percentage</t>
        </is>
      </c>
      <c r="G50" s="558" t="inlineStr">
        <is>
          <t>AR_RATE_HIST</t>
        </is>
      </c>
      <c r="H50" s="558" t="inlineStr">
        <is>
          <t>EFF_RATE_PCT</t>
        </is>
      </c>
      <c r="I50" s="415" t="inlineStr">
        <is>
          <t>NUMBER</t>
        </is>
      </c>
      <c r="J50" s="415" t="n">
        <v>25.7</v>
      </c>
      <c r="K50" s="433" t="inlineStr">
        <is>
          <t>Giá trị lãi suất</t>
        </is>
      </c>
      <c r="M50" s="433">
        <f>"COMMENT ON COLUMN PG_SILVER."&amp;G50&amp;"."&amp;H50&amp;" IS '"&amp;K50&amp;"';"</f>
        <v/>
      </c>
    </row>
    <row r="51" ht="14.25" customHeight="1" s="335">
      <c r="A51" s="433" t="inlineStr">
        <is>
          <t>PG_BRONZE</t>
        </is>
      </c>
      <c r="B51" s="415" t="inlineStr">
        <is>
          <t>T24CORE_PD_PAYMENT_DUE</t>
        </is>
      </c>
      <c r="C51" s="433" t="inlineStr">
        <is>
          <t>RECID</t>
        </is>
      </c>
      <c r="D51" s="433" t="inlineStr">
        <is>
          <t>NULL</t>
        </is>
      </c>
      <c r="E51" s="433" t="inlineStr">
        <is>
          <t>Arrangement Rate History</t>
        </is>
      </c>
      <c r="F51" s="433" t="inlineStr">
        <is>
          <t>Spread Rate Percentage</t>
        </is>
      </c>
      <c r="G51" s="558" t="inlineStr">
        <is>
          <t>AR_RATE_HIST</t>
        </is>
      </c>
      <c r="H51" s="558" t="inlineStr">
        <is>
          <t>SPRD_RATE_PCT</t>
        </is>
      </c>
      <c r="I51" s="415" t="inlineStr">
        <is>
          <t>NUMBER</t>
        </is>
      </c>
      <c r="J51" s="415" t="n">
        <v>25.7</v>
      </c>
      <c r="K51" s="433" t="inlineStr">
        <is>
          <t>Biên độ lãi suất</t>
        </is>
      </c>
      <c r="M51" s="433">
        <f>"COMMENT ON COLUMN PG_SILVER."&amp;G51&amp;"."&amp;H51&amp;" IS '"&amp;K51&amp;"';"</f>
        <v/>
      </c>
    </row>
    <row r="52" ht="14.25" customHeight="1" s="335">
      <c r="A52" s="433" t="inlineStr">
        <is>
          <t>PG_BRONZE</t>
        </is>
      </c>
      <c r="B52" s="415" t="inlineStr">
        <is>
          <t>T24CORE_PD_PAYMENT_DUE</t>
        </is>
      </c>
      <c r="C52" s="433" t="inlineStr">
        <is>
          <t>PE_RATE</t>
        </is>
      </c>
      <c r="D52" s="433" t="inlineStr">
        <is>
          <t>1:1</t>
        </is>
      </c>
      <c r="E52" s="433" t="inlineStr">
        <is>
          <t>Arrangement Rate History</t>
        </is>
      </c>
      <c r="F52" s="433" t="inlineStr">
        <is>
          <t>Penalty Rate</t>
        </is>
      </c>
      <c r="G52" s="558" t="inlineStr">
        <is>
          <t>AR_RATE_HIST</t>
        </is>
      </c>
      <c r="H52" s="558" t="inlineStr">
        <is>
          <t>PNY_RATE</t>
        </is>
      </c>
      <c r="I52" s="415" t="inlineStr">
        <is>
          <t>NUMBER</t>
        </is>
      </c>
      <c r="J52" s="415" t="n">
        <v>25.7</v>
      </c>
      <c r="K52" s="433" t="inlineStr">
        <is>
          <t>Lãi phạt penalty rate</t>
        </is>
      </c>
      <c r="M52" s="433">
        <f>"COMMENT ON COLUMN PG_SILVER."&amp;G52&amp;"."&amp;H52&amp;" IS '"&amp;K52&amp;"';"</f>
        <v/>
      </c>
    </row>
    <row r="53" ht="14.25" customHeight="1" s="335">
      <c r="A53" s="433" t="inlineStr">
        <is>
          <t>PG_BRONZE</t>
        </is>
      </c>
      <c r="B53" s="415" t="inlineStr">
        <is>
          <t>T24CORE_PD_PAYMENT_DUE</t>
        </is>
      </c>
      <c r="C53" s="433" t="inlineStr">
        <is>
          <t>PS_RATE</t>
        </is>
      </c>
      <c r="D53" s="433" t="inlineStr">
        <is>
          <t>1:1</t>
        </is>
      </c>
      <c r="E53" s="433" t="inlineStr">
        <is>
          <t>Arrangement Rate History</t>
        </is>
      </c>
      <c r="F53" s="433" t="inlineStr">
        <is>
          <t>Overdue Interest Rate</t>
        </is>
      </c>
      <c r="G53" s="558" t="inlineStr">
        <is>
          <t>AR_RATE_HIST</t>
        </is>
      </c>
      <c r="H53" s="558" t="inlineStr">
        <is>
          <t>ODUE_INT_RATE</t>
        </is>
      </c>
      <c r="I53" s="415" t="inlineStr">
        <is>
          <t>NUMBER</t>
        </is>
      </c>
      <c r="J53" s="415" t="n">
        <v>25.7</v>
      </c>
      <c r="K53" s="433" t="inlineStr">
        <is>
          <t>Lãi suất cho quá hạn</t>
        </is>
      </c>
      <c r="M53" s="433">
        <f>"COMMENT ON COLUMN PG_SILVER."&amp;G53&amp;"."&amp;H53&amp;" IS '"&amp;K53&amp;"';"</f>
        <v/>
      </c>
    </row>
    <row r="54" ht="14.25" customHeight="1" s="335">
      <c r="A54" s="415" t="inlineStr">
        <is>
          <t>PG_BRONZE</t>
        </is>
      </c>
      <c r="B54" s="415" t="inlineStr">
        <is>
          <t>T24CORE_PD_PAYMENT_DUE</t>
        </is>
      </c>
      <c r="C54" s="415" t="inlineStr">
        <is>
          <t>RECID</t>
        </is>
      </c>
      <c r="D54" s="433" t="inlineStr">
        <is>
          <t>NULL</t>
        </is>
      </c>
      <c r="E54" s="433" t="inlineStr">
        <is>
          <t>Arrangement Rate History</t>
        </is>
      </c>
      <c r="F54" s="334" t="inlineStr">
        <is>
          <t>Margin Rate</t>
        </is>
      </c>
      <c r="G54" s="558" t="inlineStr">
        <is>
          <t>AR_RATE_HIST</t>
        </is>
      </c>
      <c r="H54" s="575" t="inlineStr">
        <is>
          <t>MRGN_RATE</t>
        </is>
      </c>
      <c r="I54" s="415" t="inlineStr">
        <is>
          <t>NUMBER</t>
        </is>
      </c>
      <c r="J54" s="415" t="n">
        <v>25.7</v>
      </c>
      <c r="K54" s="334" t="inlineStr">
        <is>
          <t>Biên độ thay đổi lãi suất</t>
        </is>
      </c>
      <c r="M54" s="334">
        <f>"COMMENT ON COLUMN PG_SILVER."&amp;G54&amp;"."&amp;H54&amp;" IS '"&amp;K54&amp;"';"</f>
        <v/>
      </c>
    </row>
    <row r="55" ht="14.25" customHeight="1" s="335">
      <c r="A55" s="415" t="inlineStr">
        <is>
          <t>PG_BRONZE</t>
        </is>
      </c>
      <c r="B55" s="415" t="inlineStr">
        <is>
          <t>T24CORE_PD_PAYMENT_DUE</t>
        </is>
      </c>
      <c r="C55" s="415" t="inlineStr">
        <is>
          <t>RECID</t>
        </is>
      </c>
      <c r="D55" s="415" t="inlineStr">
        <is>
          <t>ETL_DATE if not exists AR_ID</t>
        </is>
      </c>
      <c r="E55" s="433" t="inlineStr">
        <is>
          <t>Arrangement Rate History</t>
        </is>
      </c>
      <c r="F55" s="415" t="inlineStr">
        <is>
          <t>System Effective Date</t>
        </is>
      </c>
      <c r="G55" s="558" t="inlineStr">
        <is>
          <t>AR_RATE_HIST</t>
        </is>
      </c>
      <c r="H55" s="415" t="inlineStr">
        <is>
          <t>SYS_EFF_DT</t>
        </is>
      </c>
      <c r="I55" s="415" t="inlineStr">
        <is>
          <t>DATE</t>
        </is>
      </c>
      <c r="J55" s="415" t="n"/>
      <c r="K55" s="415" t="inlineStr">
        <is>
          <t>Ngày bản ghi lần đầu tiên vào hệ thống</t>
        </is>
      </c>
      <c r="M55" s="415">
        <f>"COMMENT ON COLUMN PG_SILVER."&amp;G55&amp;"."&amp;H55&amp;" IS '"&amp;K55&amp;"';"</f>
        <v/>
      </c>
    </row>
    <row r="56" ht="14.25" customHeight="1" s="335">
      <c r="A56" s="415" t="inlineStr">
        <is>
          <t>PG_BRONZE</t>
        </is>
      </c>
      <c r="B56" s="415" t="inlineStr">
        <is>
          <t>T24CORE_PD_PAYMENT_DUE</t>
        </is>
      </c>
      <c r="C56" s="415" t="inlineStr">
        <is>
          <t>RECID</t>
        </is>
      </c>
      <c r="D56" s="415" t="inlineStr">
        <is>
          <t>ETL_DATE if RECID was deleted</t>
        </is>
      </c>
      <c r="E56" s="433" t="inlineStr">
        <is>
          <t>Arrangement Rate History</t>
        </is>
      </c>
      <c r="F56" s="415" t="inlineStr">
        <is>
          <t>System Expiry Date</t>
        </is>
      </c>
      <c r="G56" s="558" t="inlineStr">
        <is>
          <t>AR_RATE_HIST</t>
        </is>
      </c>
      <c r="H56" s="415" t="inlineStr">
        <is>
          <t>SYS_EXP_DT</t>
        </is>
      </c>
      <c r="I56" s="415" t="inlineStr">
        <is>
          <t>DATE</t>
        </is>
      </c>
      <c r="J56" s="415" t="n"/>
      <c r="K56" s="415" t="inlineStr">
        <is>
          <t>Ngày hết hạn của bản ghi</t>
        </is>
      </c>
      <c r="M56" s="415">
        <f>"COMMENT ON COLUMN PG_SILVER."&amp;G56&amp;"."&amp;H56&amp;" IS '"&amp;K56&amp;"';"</f>
        <v/>
      </c>
    </row>
    <row r="57" ht="14.25" customHeight="1" s="335">
      <c r="A57" s="415" t="inlineStr">
        <is>
          <t>PG_BRONZE</t>
        </is>
      </c>
      <c r="B57" s="415" t="inlineStr">
        <is>
          <t>T24CORE_PD_PAYMENT_DUE</t>
        </is>
      </c>
      <c r="C57" s="415" t="inlineStr">
        <is>
          <t>RECID</t>
        </is>
      </c>
      <c r="D57" s="415" t="inlineStr">
        <is>
          <t>ETL_DATE</t>
        </is>
      </c>
      <c r="E57" s="433" t="inlineStr">
        <is>
          <t>Arrangement Rate History</t>
        </is>
      </c>
      <c r="F57" s="415" t="inlineStr">
        <is>
          <t>System Update Date</t>
        </is>
      </c>
      <c r="G57" s="558" t="inlineStr">
        <is>
          <t>AR_RATE_HIST</t>
        </is>
      </c>
      <c r="H57" s="415" t="inlineStr">
        <is>
          <t>SYS_UDT_DT</t>
        </is>
      </c>
      <c r="I57" s="415" t="inlineStr">
        <is>
          <t>DATE</t>
        </is>
      </c>
      <c r="J57" s="415" t="n"/>
      <c r="K57" s="415" t="inlineStr">
        <is>
          <t>Ngày update dữ liệu gần nhất</t>
        </is>
      </c>
      <c r="M57" s="415">
        <f>"COMMENT ON COLUMN PG_SILVER."&amp;G57&amp;"."&amp;H57&amp;" IS '"&amp;K57&amp;"';"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9" customWidth="1" style="334" min="3" max="3"/>
    <col width="30.44" customWidth="1" style="334" min="4" max="4"/>
    <col width="34.66" customWidth="1" style="334" min="5" max="5"/>
    <col width="25" customWidth="1" style="334" min="6" max="6"/>
    <col width="16.67" customWidth="1" style="334" min="7" max="7"/>
    <col width="18.88" customWidth="1" style="334" min="8" max="8"/>
    <col width="6.67" customWidth="1" style="334" min="10" max="10"/>
    <col width="34" customWidth="1" style="334" min="11" max="11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80" t="inlineStr">
        <is>
          <t>Nguồn</t>
        </is>
      </c>
      <c r="B2" s="480" t="inlineStr">
        <is>
          <t>Bảng nguồn</t>
        </is>
      </c>
      <c r="C2" s="480" t="inlineStr">
        <is>
          <t>Short table</t>
        </is>
      </c>
      <c r="D2" s="480" t="inlineStr">
        <is>
          <t>Business Rule</t>
        </is>
      </c>
    </row>
    <row r="3" ht="14.25" customHeight="1" s="335">
      <c r="A3" s="370" t="inlineStr">
        <is>
          <t>PG_BRONZE</t>
        </is>
      </c>
      <c r="B3" s="370" t="inlineStr">
        <is>
          <t>T24CORE_CUSTOMER</t>
        </is>
      </c>
      <c r="C3" s="368" t="inlineStr">
        <is>
          <t>c</t>
        </is>
      </c>
      <c r="D3" s="372" t="inlineStr">
        <is>
          <t>WHERE c.NATIONAL_ID IS NOT NULL AND c.ETL_DATE = ${ETL_DATE} -- Bảng định danh giấy tờ tùy thân (SCD Type 2)</t>
        </is>
      </c>
    </row>
    <row r="4" ht="14.25" customHeight="1" s="335"/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32" t="inlineStr">
        <is>
          <t>Ghi chú kỹ thuật &amp; Business Rule</t>
        </is>
      </c>
    </row>
    <row r="6" ht="14.25" customHeight="1" s="335">
      <c r="A6" s="433" t="inlineStr">
        <is>
          <t>PG_BRONZE</t>
        </is>
      </c>
      <c r="B6" s="415" t="inlineStr">
        <is>
          <t>T24CORE_CUSTOMER</t>
        </is>
      </c>
      <c r="C6" s="433" t="inlineStr">
        <is>
          <t>RECID</t>
        </is>
      </c>
      <c r="D6" s="433" t="inlineStr">
        <is>
          <t>fn_hash("T24_CUSTOMER", c.RECID)</t>
        </is>
      </c>
      <c r="E6" s="433" t="inlineStr">
        <is>
          <t>Involved Party Alternative Identification</t>
        </is>
      </c>
      <c r="F6" s="433" t="inlineStr">
        <is>
          <t>Customer ID</t>
        </is>
      </c>
      <c r="G6" s="415" t="inlineStr">
        <is>
          <t>IP_ALT_IDENTN</t>
        </is>
      </c>
      <c r="H6" s="433" t="inlineStr">
        <is>
          <t>CST_ID</t>
        </is>
      </c>
      <c r="I6" s="415" t="inlineStr">
        <is>
          <t>CHAR</t>
        </is>
      </c>
      <c r="J6" s="415" t="n">
        <v>32</v>
      </c>
      <c r="K6" s="415" t="inlineStr">
        <is>
          <t>Unique key trên DWH</t>
        </is>
      </c>
      <c r="M6" s="334">
        <f>"COMMENT ON COLUMN PG_SILVER."&amp;G6&amp;"."&amp;H6&amp;" IS '"&amp;K6&amp;"';"</f>
        <v/>
      </c>
    </row>
    <row r="7" ht="14.25" customHeight="1" s="335">
      <c r="A7" s="433" t="inlineStr">
        <is>
          <t>PG_BRONZE</t>
        </is>
      </c>
      <c r="B7" s="415" t="inlineStr">
        <is>
          <t>T24CORE_CUSTOMER</t>
        </is>
      </c>
      <c r="C7" s="433" t="inlineStr">
        <is>
          <t>RECID</t>
        </is>
      </c>
      <c r="D7" s="433" t="inlineStr">
        <is>
          <t>1:1</t>
        </is>
      </c>
      <c r="E7" s="433" t="inlineStr">
        <is>
          <t>Involved Party Alternative Identification</t>
        </is>
      </c>
      <c r="F7" s="433" t="inlineStr">
        <is>
          <t>Customer Code</t>
        </is>
      </c>
      <c r="G7" s="415" t="inlineStr">
        <is>
          <t>IP_ALT_IDENTN</t>
        </is>
      </c>
      <c r="H7" s="433" t="inlineStr">
        <is>
          <t>CST_CODE</t>
        </is>
      </c>
      <c r="I7" s="415" t="inlineStr">
        <is>
          <t>VARCHAR2</t>
        </is>
      </c>
      <c r="J7" s="415" t="n">
        <v>20</v>
      </c>
      <c r="K7" s="415" t="inlineStr">
        <is>
          <t>Mã CIF</t>
        </is>
      </c>
      <c r="M7" s="334">
        <f>"COMMENT ON COLUMN PG_SILVER."&amp;G7&amp;"."&amp;H7&amp;" IS '"&amp;K7&amp;"';"</f>
        <v/>
      </c>
    </row>
    <row r="8" ht="14.25" customHeight="1" s="335">
      <c r="A8" s="415" t="inlineStr">
        <is>
          <t>PG_BRONZE</t>
        </is>
      </c>
      <c r="B8" s="415" t="inlineStr">
        <is>
          <t>T24CORE_CUSTOMER</t>
        </is>
      </c>
      <c r="C8" s="466" t="inlineStr">
        <is>
          <t>NAT_ID_TYPE</t>
        </is>
      </c>
      <c r="D8" s="433" t="inlineStr">
        <is>
          <t>1:1</t>
        </is>
      </c>
      <c r="E8" s="433" t="inlineStr">
        <is>
          <t>Involved Party Alternative Identification</t>
        </is>
      </c>
      <c r="F8" s="433" t="inlineStr">
        <is>
          <t>Identification Type Code</t>
        </is>
      </c>
      <c r="G8" s="415" t="inlineStr">
        <is>
          <t>IP_ALT_IDENTN</t>
        </is>
      </c>
      <c r="H8" s="433" t="inlineStr">
        <is>
          <t>IDENTN_TP_CODE</t>
        </is>
      </c>
      <c r="I8" s="415" t="inlineStr">
        <is>
          <t>VARCHAR2</t>
        </is>
      </c>
      <c r="J8" s="415" t="n">
        <v>20</v>
      </c>
      <c r="K8" s="415" t="inlineStr">
        <is>
          <t>Loại giấy tờ</t>
        </is>
      </c>
      <c r="M8" s="334">
        <f>"COMMENT ON COLUMN PG_SILVER."&amp;G8&amp;"."&amp;H8&amp;" IS '"&amp;K8&amp;"';"</f>
        <v/>
      </c>
    </row>
    <row r="9" ht="14.25" customHeight="1" s="335">
      <c r="A9" s="415" t="inlineStr">
        <is>
          <t>PG_BRONZE</t>
        </is>
      </c>
      <c r="B9" s="415" t="inlineStr">
        <is>
          <t>T24CORE_CUSTOMER</t>
        </is>
      </c>
      <c r="C9" s="415" t="inlineStr">
        <is>
          <t>NAT_ID_ISS_DATE</t>
        </is>
      </c>
      <c r="D9" s="433" t="inlineStr">
        <is>
          <t>1:1</t>
        </is>
      </c>
      <c r="E9" s="433" t="inlineStr">
        <is>
          <t>Involved Party Alternative Identification</t>
        </is>
      </c>
      <c r="F9" s="433" t="inlineStr">
        <is>
          <t>Identification Issue Date</t>
        </is>
      </c>
      <c r="G9" s="415" t="inlineStr">
        <is>
          <t>IP_ALT_IDENTN</t>
        </is>
      </c>
      <c r="H9" s="433" t="inlineStr">
        <is>
          <t>IDENTN_ISSU_DT</t>
        </is>
      </c>
      <c r="I9" s="415" t="inlineStr">
        <is>
          <t>DATE</t>
        </is>
      </c>
      <c r="J9" s="415" t="n"/>
      <c r="K9" s="415" t="inlineStr">
        <is>
          <t>Ngày cấp giấy tờ</t>
        </is>
      </c>
      <c r="M9" s="334">
        <f>"COMMENT ON COLUMN PG_SILVER."&amp;G9&amp;"."&amp;H9&amp;" IS '"&amp;K9&amp;"';"</f>
        <v/>
      </c>
    </row>
    <row r="10" ht="14.25" customHeight="1" s="335">
      <c r="A10" s="415" t="inlineStr">
        <is>
          <t>PG_BRONZE</t>
        </is>
      </c>
      <c r="B10" s="415" t="inlineStr">
        <is>
          <t>T24CORE_CUSTOMER</t>
        </is>
      </c>
      <c r="C10" s="466" t="inlineStr">
        <is>
          <t>NAT_ID_EXP_DATE</t>
        </is>
      </c>
      <c r="D10" s="433" t="inlineStr">
        <is>
          <t>1:1</t>
        </is>
      </c>
      <c r="E10" s="433" t="inlineStr">
        <is>
          <t>Involved Party Alternative Identification</t>
        </is>
      </c>
      <c r="F10" s="433" t="inlineStr">
        <is>
          <t>Identification Expiry date</t>
        </is>
      </c>
      <c r="G10" s="415" t="inlineStr">
        <is>
          <t>IP_ALT_IDENTN</t>
        </is>
      </c>
      <c r="H10" s="433" t="inlineStr">
        <is>
          <t>IDENTN_EXPIRY_DT</t>
        </is>
      </c>
      <c r="I10" s="415" t="inlineStr">
        <is>
          <t>DATE</t>
        </is>
      </c>
      <c r="J10" s="415" t="n"/>
      <c r="K10" s="415" t="inlineStr">
        <is>
          <t>Ngày hêt hạn giấy tờ</t>
        </is>
      </c>
      <c r="M10" s="334">
        <f>"COMMENT ON COLUMN PG_SILVER."&amp;G10&amp;"."&amp;H10&amp;" IS '"&amp;K10&amp;"';"</f>
        <v/>
      </c>
    </row>
    <row r="11" ht="14.25" customHeight="1" s="335">
      <c r="A11" s="415" t="inlineStr">
        <is>
          <t>PG_BRONZE</t>
        </is>
      </c>
      <c r="B11" s="415" t="inlineStr">
        <is>
          <t>T24CORE_CUSTOMER</t>
        </is>
      </c>
      <c r="C11" s="466" t="inlineStr">
        <is>
          <t>NAT_ID_ISS_PLC</t>
        </is>
      </c>
      <c r="D11" s="433" t="inlineStr">
        <is>
          <t>1:1</t>
        </is>
      </c>
      <c r="E11" s="433" t="inlineStr">
        <is>
          <t>Involved Party Alternative Identification</t>
        </is>
      </c>
      <c r="F11" s="433" t="inlineStr">
        <is>
          <t>Issue Place Code</t>
        </is>
      </c>
      <c r="G11" s="415" t="inlineStr">
        <is>
          <t>IP_ALT_IDENTN</t>
        </is>
      </c>
      <c r="H11" s="433" t="inlineStr">
        <is>
          <t>ISSU_PLC_CODE</t>
        </is>
      </c>
      <c r="I11" s="415" t="inlineStr">
        <is>
          <t>VARCHAR2</t>
        </is>
      </c>
      <c r="J11" s="415" t="n">
        <v>20</v>
      </c>
      <c r="K11" s="415" t="inlineStr">
        <is>
          <t>Nơi cấp giấy tờ</t>
        </is>
      </c>
      <c r="M11" s="334">
        <f>"COMMENT ON COLUMN PG_SILVER."&amp;G11&amp;"."&amp;H11&amp;" IS '"&amp;K11&amp;"';"</f>
        <v/>
      </c>
    </row>
    <row r="12" ht="14.25" customHeight="1" s="335">
      <c r="A12" s="415" t="inlineStr">
        <is>
          <t>PG_BRONZE</t>
        </is>
      </c>
      <c r="B12" s="415" t="inlineStr">
        <is>
          <t>T24CORE_CUSTOMER</t>
        </is>
      </c>
      <c r="C12" s="466" t="inlineStr">
        <is>
          <t>NATIONAL_ID</t>
        </is>
      </c>
      <c r="D12" s="433" t="inlineStr">
        <is>
          <t>1:1</t>
        </is>
      </c>
      <c r="E12" s="433" t="inlineStr">
        <is>
          <t>Involved Party Alternative Identification</t>
        </is>
      </c>
      <c r="F12" s="433" t="inlineStr">
        <is>
          <t>Identification Number</t>
        </is>
      </c>
      <c r="G12" s="415" t="inlineStr">
        <is>
          <t>IP_ALT_IDENTN</t>
        </is>
      </c>
      <c r="H12" s="433" t="inlineStr">
        <is>
          <t>IDENTN_NBR</t>
        </is>
      </c>
      <c r="I12" s="415" t="inlineStr">
        <is>
          <t>VARCHAR2</t>
        </is>
      </c>
      <c r="J12" s="415" t="n">
        <v>100</v>
      </c>
      <c r="K12" s="415" t="inlineStr">
        <is>
          <t>Mã giấy tờ</t>
        </is>
      </c>
      <c r="M12" s="334">
        <f>"COMMENT ON COLUMN PG_SILVER."&amp;G12&amp;"."&amp;H12&amp;" IS '"&amp;K12&amp;"';"</f>
        <v/>
      </c>
    </row>
    <row r="13" ht="14.25" customHeight="1" s="335">
      <c r="A13" s="415" t="inlineStr">
        <is>
          <t>PG_BRONZE</t>
        </is>
      </c>
      <c r="B13" s="415" t="inlineStr">
        <is>
          <t>T24CORE_CUSTOMER</t>
        </is>
      </c>
      <c r="C13" s="415" t="inlineStr">
        <is>
          <t>RECID</t>
        </is>
      </c>
      <c r="D13" s="415" t="inlineStr">
        <is>
          <t>ETL_DATE if not exists CST_ID</t>
        </is>
      </c>
      <c r="E13" s="433" t="inlineStr">
        <is>
          <t>Involved Party Alternative Identification</t>
        </is>
      </c>
      <c r="F13" s="415" t="inlineStr">
        <is>
          <t>System Effective Date</t>
        </is>
      </c>
      <c r="G13" s="415" t="inlineStr">
        <is>
          <t>IP_ALT_IDENTN</t>
        </is>
      </c>
      <c r="H13" s="415" t="inlineStr">
        <is>
          <t>SYS_EFF_DT</t>
        </is>
      </c>
      <c r="I13" s="415" t="inlineStr">
        <is>
          <t>DATE</t>
        </is>
      </c>
      <c r="J13" s="415" t="n"/>
      <c r="K13" s="415" t="inlineStr">
        <is>
          <t>Ngày bản ghi lần đầu tiên vào hệ thống</t>
        </is>
      </c>
      <c r="M13" s="334">
        <f>"COMMENT ON COLUMN PG_SILVER."&amp;G13&amp;"."&amp;H13&amp;" IS '"&amp;K13&amp;"';"</f>
        <v/>
      </c>
    </row>
    <row r="14" ht="14.25" customHeight="1" s="335">
      <c r="A14" s="415" t="inlineStr">
        <is>
          <t>PG_BRONZE</t>
        </is>
      </c>
      <c r="B14" s="415" t="inlineStr">
        <is>
          <t>T24CORE_CUSTOMER</t>
        </is>
      </c>
      <c r="C14" s="415" t="inlineStr">
        <is>
          <t>RECID</t>
        </is>
      </c>
      <c r="D14" s="415" t="inlineStr">
        <is>
          <t>ETL_DATE if RECID was deleted</t>
        </is>
      </c>
      <c r="E14" s="433" t="inlineStr">
        <is>
          <t>Involved Party Alternative Identification</t>
        </is>
      </c>
      <c r="F14" s="415" t="inlineStr">
        <is>
          <t>System Expiry Date</t>
        </is>
      </c>
      <c r="G14" s="415" t="inlineStr">
        <is>
          <t>IP_ALT_IDENTN</t>
        </is>
      </c>
      <c r="H14" s="415" t="inlineStr">
        <is>
          <t>SYS_EXP_DT</t>
        </is>
      </c>
      <c r="I14" s="415" t="inlineStr">
        <is>
          <t>DATE</t>
        </is>
      </c>
      <c r="J14" s="415" t="n"/>
      <c r="K14" s="415" t="inlineStr">
        <is>
          <t>Ngày hết hạn của bản ghi</t>
        </is>
      </c>
      <c r="M14" s="334">
        <f>"COMMENT ON COLUMN PG_SILVER."&amp;G14&amp;"."&amp;H14&amp;" IS '"&amp;K14&amp;"';"</f>
        <v/>
      </c>
    </row>
    <row r="15" ht="14.25" customHeight="1" s="335">
      <c r="A15" s="415" t="inlineStr">
        <is>
          <t>PG_BRONZE</t>
        </is>
      </c>
      <c r="B15" s="415" t="inlineStr">
        <is>
          <t>T24CORE_CUSTOMER</t>
        </is>
      </c>
      <c r="C15" s="415" t="inlineStr">
        <is>
          <t>RECID</t>
        </is>
      </c>
      <c r="D15" s="415" t="inlineStr">
        <is>
          <t>ETL_DATE</t>
        </is>
      </c>
      <c r="E15" s="433" t="inlineStr">
        <is>
          <t>Involved Party Alternative Identification</t>
        </is>
      </c>
      <c r="F15" s="415" t="inlineStr">
        <is>
          <t>System Update Date</t>
        </is>
      </c>
      <c r="G15" s="415" t="inlineStr">
        <is>
          <t>IP_ALT_IDENTN</t>
        </is>
      </c>
      <c r="H15" s="415" t="inlineStr">
        <is>
          <t>SYS_UDT_DT</t>
        </is>
      </c>
      <c r="I15" s="415" t="inlineStr">
        <is>
          <t>DATE</t>
        </is>
      </c>
      <c r="J15" s="415" t="n"/>
      <c r="K15" s="415" t="inlineStr">
        <is>
          <t>Ngày update dữ liệu gần nhất</t>
        </is>
      </c>
      <c r="M15" s="334">
        <f>"COMMENT ON COLUMN PG_SILVER."&amp;G15&amp;"."&amp;H15&amp;" IS '"&amp;K15&amp;"';"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N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0.11" customWidth="1" style="334" min="1" max="1"/>
    <col width="12.56" customWidth="1" style="334" min="2" max="2"/>
    <col width="19" customWidth="1" style="334" min="3" max="3"/>
    <col width="30.44" customWidth="1" style="334" min="4" max="4"/>
    <col width="34.66" customWidth="1" style="334" min="5" max="5"/>
    <col width="22.33" customWidth="1" style="334" min="6" max="6"/>
    <col width="13.44" customWidth="1" style="334" min="7" max="7"/>
    <col width="17.88" customWidth="1" style="334" min="8" max="8"/>
    <col width="12.11" customWidth="1" style="334" min="9" max="9"/>
    <col width="6.67" customWidth="1" style="334" min="10" max="10"/>
    <col width="34" customWidth="1" style="334" min="11" max="11"/>
    <col width="55" customWidth="1" style="334" min="14" max="14"/>
  </cols>
  <sheetData>
    <row r="1" ht="14.25" customHeight="1" s="335">
      <c r="A1" s="666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80" t="inlineStr">
        <is>
          <t>Nguồn</t>
        </is>
      </c>
      <c r="B2" s="480" t="inlineStr">
        <is>
          <t>Bảng nguồn</t>
        </is>
      </c>
      <c r="C2" s="480" t="inlineStr">
        <is>
          <t>Short table</t>
        </is>
      </c>
      <c r="D2" s="480" t="inlineStr">
        <is>
          <t>Business Rule</t>
        </is>
      </c>
      <c r="E2" s="433" t="n"/>
      <c r="F2" s="433" t="n"/>
      <c r="G2" s="415" t="n"/>
      <c r="H2" s="433" t="n"/>
      <c r="I2" s="415" t="n"/>
      <c r="J2" s="415" t="n"/>
      <c r="K2" s="415" t="n"/>
      <c r="M2" s="334" t="n"/>
    </row>
    <row r="3" ht="14.25" customHeight="1" s="335">
      <c r="A3" s="370" t="inlineStr">
        <is>
          <t>PG_BRONZE</t>
        </is>
      </c>
      <c r="B3" s="370" t="inlineStr">
        <is>
          <t>T24CORE_CUSTOMER</t>
        </is>
      </c>
      <c r="C3" s="368" t="inlineStr">
        <is>
          <t>c</t>
        </is>
      </c>
      <c r="D3" s="372" t="inlineStr">
        <is>
          <t>WHERE c.EMAIL_ADDRESS IS NOT NULL AND c.ETL_DATE = ${ETL_DATE} -- Nhánh 1: Địa chỉ Email của khách hàng</t>
        </is>
      </c>
      <c r="E3" s="433" t="n"/>
      <c r="F3" s="433" t="n"/>
      <c r="G3" s="415" t="n"/>
      <c r="H3" s="433" t="n"/>
      <c r="I3" s="415" t="n"/>
      <c r="J3" s="415" t="n"/>
      <c r="K3" s="415" t="n"/>
      <c r="M3" s="334" t="n"/>
    </row>
    <row r="4" ht="14.25" customHeight="1" s="335">
      <c r="A4" s="415" t="n"/>
      <c r="B4" s="415" t="n"/>
      <c r="C4" s="466" t="n"/>
      <c r="D4" s="433" t="n"/>
      <c r="E4" s="433" t="n"/>
      <c r="F4" s="433" t="n"/>
      <c r="G4" s="415" t="n"/>
      <c r="H4" s="433" t="n"/>
      <c r="I4" s="415" t="n"/>
      <c r="J4" s="415" t="n"/>
      <c r="K4" s="415" t="n"/>
      <c r="M4" s="334" t="n"/>
    </row>
    <row r="5" ht="14.25" customHeight="1" s="335">
      <c r="A5" s="480" t="inlineStr">
        <is>
          <t>Nguồn</t>
        </is>
      </c>
      <c r="B5" s="480" t="inlineStr">
        <is>
          <t>Bảng nguồn</t>
        </is>
      </c>
      <c r="C5" s="480" t="inlineStr">
        <is>
          <t>Cột nguồn</t>
        </is>
      </c>
      <c r="D5" s="480" t="inlineStr">
        <is>
          <t>Transform</t>
        </is>
      </c>
      <c r="E5" s="480" t="inlineStr">
        <is>
          <t>Entity</t>
        </is>
      </c>
      <c r="F5" s="480" t="inlineStr">
        <is>
          <t>Attribute</t>
        </is>
      </c>
      <c r="G5" s="480" t="inlineStr">
        <is>
          <t>Bảng đích</t>
        </is>
      </c>
      <c r="H5" s="480" t="inlineStr">
        <is>
          <t>Cột đích</t>
        </is>
      </c>
      <c r="I5" s="480" t="inlineStr">
        <is>
          <t>Kiểu dữ liệu</t>
        </is>
      </c>
      <c r="J5" s="480" t="inlineStr">
        <is>
          <t>Độ dài</t>
        </is>
      </c>
      <c r="K5" s="480" t="inlineStr">
        <is>
          <t>Diễn giải</t>
        </is>
      </c>
      <c r="L5" s="480" t="inlineStr">
        <is>
          <t>Glossary</t>
        </is>
      </c>
      <c r="M5" s="480" t="inlineStr">
        <is>
          <t>DDL Comment</t>
        </is>
      </c>
      <c r="N5" s="480" t="inlineStr">
        <is>
          <t>Ghi chú kỹ thuật &amp; Business Rule</t>
        </is>
      </c>
    </row>
    <row r="6" ht="14.25" customHeight="1" s="335">
      <c r="A6" s="416" t="inlineStr">
        <is>
          <t>PG_BRONZE</t>
        </is>
      </c>
      <c r="B6" s="416" t="inlineStr">
        <is>
          <t>T24CORE_CUSTOMER</t>
        </is>
      </c>
      <c r="C6" s="416" t="inlineStr">
        <is>
          <t>RECID</t>
        </is>
      </c>
      <c r="D6" s="416" t="inlineStr">
        <is>
          <t>fn_hash("T24_CUSTOMER", c.RECID)</t>
        </is>
      </c>
      <c r="E6" s="416" t="inlineStr">
        <is>
          <t>Involved Party Electronic Address</t>
        </is>
      </c>
      <c r="F6" s="416" t="inlineStr">
        <is>
          <t>Customer ID</t>
        </is>
      </c>
      <c r="G6" s="416" t="inlineStr">
        <is>
          <t>IP_ELC_ADR</t>
        </is>
      </c>
      <c r="H6" s="416" t="inlineStr">
        <is>
          <t>CST_ID</t>
        </is>
      </c>
      <c r="I6" s="482" t="inlineStr">
        <is>
          <t>CHAR</t>
        </is>
      </c>
      <c r="J6" s="482" t="n">
        <v>32</v>
      </c>
      <c r="K6" s="416" t="inlineStr">
        <is>
          <t>Unique key khách hàng trên DWH</t>
        </is>
      </c>
      <c r="L6" s="416" t="n"/>
      <c r="M6" s="416">
        <f>"COMMENT ON COLUMN PG_SILVER."&amp;G6&amp;"."&amp;H6&amp;" IS '"&amp;K6&amp;"';"</f>
        <v/>
      </c>
      <c r="N6" s="416" t="inlineStr">
        <is>
          <t>Khóa băm khách hàng chuẩn</t>
        </is>
      </c>
    </row>
    <row r="7" ht="14.25" customHeight="1" s="335">
      <c r="A7" s="416" t="inlineStr">
        <is>
          <t>PG_BRONZE</t>
        </is>
      </c>
      <c r="B7" s="416" t="inlineStr">
        <is>
          <t>T24CORE_CUSTOMER</t>
        </is>
      </c>
      <c r="C7" s="416" t="inlineStr">
        <is>
          <t>RECID</t>
        </is>
      </c>
      <c r="D7" s="416" t="inlineStr">
        <is>
          <t>1:1</t>
        </is>
      </c>
      <c r="E7" s="416" t="inlineStr">
        <is>
          <t>Involved Party Electronic Address</t>
        </is>
      </c>
      <c r="F7" s="416" t="inlineStr">
        <is>
          <t>Customer Code</t>
        </is>
      </c>
      <c r="G7" s="416" t="inlineStr">
        <is>
          <t>IP_ELC_ADR</t>
        </is>
      </c>
      <c r="H7" s="416" t="inlineStr">
        <is>
          <t>CST_CODE</t>
        </is>
      </c>
      <c r="I7" s="482" t="inlineStr">
        <is>
          <t>VARCHAR2</t>
        </is>
      </c>
      <c r="J7" s="482" t="n">
        <v>20</v>
      </c>
      <c r="K7" s="416" t="inlineStr">
        <is>
          <t>Mã khách hàng (CIF)</t>
        </is>
      </c>
      <c r="L7" s="416" t="n"/>
      <c r="M7" s="416">
        <f>"COMMENT ON COLUMN PG_SILVER."&amp;G7&amp;"."&amp;H7&amp;" IS '"&amp;K7&amp;"';"</f>
        <v/>
      </c>
      <c r="N7" s="416" t="inlineStr">
        <is>
          <t>1:1 từ c.RECID</t>
        </is>
      </c>
    </row>
    <row r="8" ht="14.25" customHeight="1" s="335">
      <c r="A8" s="416" t="inlineStr">
        <is>
          <t>PG_BRONZE</t>
        </is>
      </c>
      <c r="B8" s="416" t="inlineStr">
        <is>
          <t>T24CORE_CUSTOMER</t>
        </is>
      </c>
      <c r="C8" s="416" t="inlineStr">
        <is>
          <t>EMAIL_ADDRESS</t>
        </is>
      </c>
      <c r="D8" s="416" t="inlineStr">
        <is>
          <t>'EMAIL'</t>
        </is>
      </c>
      <c r="E8" s="416" t="inlineStr">
        <is>
          <t>Involved Party Electronic Address</t>
        </is>
      </c>
      <c r="F8" s="416" t="inlineStr">
        <is>
          <t>Electronic Address Type</t>
        </is>
      </c>
      <c r="G8" s="416" t="inlineStr">
        <is>
          <t>IP_ELC_ADR</t>
        </is>
      </c>
      <c r="H8" s="416" t="inlineStr">
        <is>
          <t>ELC_ADR_TP</t>
        </is>
      </c>
      <c r="I8" s="482" t="inlineStr">
        <is>
          <t>VARCHAR2</t>
        </is>
      </c>
      <c r="J8" s="482" t="n">
        <v>20</v>
      </c>
      <c r="K8" s="416" t="inlineStr">
        <is>
          <t>Loại địa chỉ điện tử (EMAIL / HOME_NUMBER / MOBILE_NUMBER)</t>
        </is>
      </c>
      <c r="L8" s="416" t="n"/>
      <c r="M8" s="416">
        <f>"COMMENT ON COLUMN PG_SILVER."&amp;G8&amp;"."&amp;H8&amp;" IS '"&amp;K8&amp;"';"</f>
        <v/>
      </c>
      <c r="N8" s="416" t="inlineStr">
        <is>
          <t>Gán hằng số 'EMAIL'</t>
        </is>
      </c>
    </row>
    <row r="9" ht="14.25" customHeight="1" s="335">
      <c r="A9" s="416" t="inlineStr">
        <is>
          <t>PG_BRONZE</t>
        </is>
      </c>
      <c r="B9" s="416" t="inlineStr">
        <is>
          <t>T24CORE_CUSTOMER</t>
        </is>
      </c>
      <c r="C9" s="416" t="inlineStr">
        <is>
          <t>EMAIL_ADDRESS</t>
        </is>
      </c>
      <c r="D9" s="416" t="inlineStr">
        <is>
          <t>1:1</t>
        </is>
      </c>
      <c r="E9" s="416" t="inlineStr">
        <is>
          <t>Involved Party Electronic Address</t>
        </is>
      </c>
      <c r="F9" s="416" t="inlineStr">
        <is>
          <t>Electronic Address Value</t>
        </is>
      </c>
      <c r="G9" s="416" t="inlineStr">
        <is>
          <t>IP_ELC_ADR</t>
        </is>
      </c>
      <c r="H9" s="416" t="inlineStr">
        <is>
          <t>ELC_ADR_VAL</t>
        </is>
      </c>
      <c r="I9" s="482" t="inlineStr">
        <is>
          <t>VARCHAR2</t>
        </is>
      </c>
      <c r="J9" s="482" t="n">
        <v>100</v>
      </c>
      <c r="K9" s="416" t="inlineStr">
        <is>
          <t>Giá trị địa chỉ liên lạc điện tử</t>
        </is>
      </c>
      <c r="L9" s="416" t="n"/>
      <c r="M9" s="416">
        <f>"COMMENT ON COLUMN PG_SILVER."&amp;G9&amp;"."&amp;H9&amp;" IS '"&amp;K9&amp;"';"</f>
        <v/>
      </c>
      <c r="N9" s="416" t="inlineStr">
        <is>
          <t>Lấy trực tiếp từ c.EMAIL_ADDRESS</t>
        </is>
      </c>
    </row>
    <row r="10" ht="14.25" customHeight="1" s="335">
      <c r="A10" s="416" t="inlineStr">
        <is>
          <t>PG_BRONZE</t>
        </is>
      </c>
      <c r="B10" s="416" t="inlineStr">
        <is>
          <t>T24CORE_CUSTOMER</t>
        </is>
      </c>
      <c r="C10" s="416" t="inlineStr">
        <is>
          <t>RECID</t>
        </is>
      </c>
      <c r="D10" s="416" t="inlineStr">
        <is>
          <t>ETL_DATE if not exists (CST_ID, ELC_ADR_TP)</t>
        </is>
      </c>
      <c r="E10" s="416" t="inlineStr">
        <is>
          <t>Involved Party Electronic Address</t>
        </is>
      </c>
      <c r="F10" s="416" t="inlineStr">
        <is>
          <t>System Effective Date</t>
        </is>
      </c>
      <c r="G10" s="416" t="inlineStr">
        <is>
          <t>IP_ELC_ADR</t>
        </is>
      </c>
      <c r="H10" s="416" t="inlineStr">
        <is>
          <t>SYS_EFF_DT</t>
        </is>
      </c>
      <c r="I10" s="482" t="inlineStr">
        <is>
          <t>DATE</t>
        </is>
      </c>
      <c r="J10" s="482" t="n"/>
      <c r="K10" s="416" t="inlineStr">
        <is>
          <t>Ngày hiệu lực bản ghi SCD2</t>
        </is>
      </c>
      <c r="L10" s="416" t="n"/>
      <c r="M10" s="416">
        <f>"COMMENT ON COLUMN PG_SILVER."&amp;G10&amp;"."&amp;H10&amp;" IS '"&amp;K10&amp;"';"</f>
        <v/>
      </c>
      <c r="N10" s="416" t="inlineStr">
        <is>
          <t>Khóa tự nhiên tổ hợp (CST_ID, ELC_ADR_TP)</t>
        </is>
      </c>
    </row>
    <row r="11" ht="14.25" customHeight="1" s="335">
      <c r="A11" s="667" t="inlineStr">
        <is>
          <t>PG_BRONZE</t>
        </is>
      </c>
      <c r="B11" s="667" t="inlineStr">
        <is>
          <t>T24CORE_CUSTOMER</t>
        </is>
      </c>
      <c r="C11" s="667" t="inlineStr">
        <is>
          <t>RECID</t>
        </is>
      </c>
      <c r="D11" s="667" t="inlineStr">
        <is>
          <t>ETL_DATE if record was updated/deleted</t>
        </is>
      </c>
      <c r="E11" s="667" t="inlineStr">
        <is>
          <t>Involved Party Electronic Address</t>
        </is>
      </c>
      <c r="F11" s="667" t="inlineStr">
        <is>
          <t>System Expiry Date</t>
        </is>
      </c>
      <c r="G11" s="667" t="inlineStr">
        <is>
          <t>IP_ELC_ADR</t>
        </is>
      </c>
      <c r="H11" s="667" t="inlineStr">
        <is>
          <t>SYS_EXP_DT</t>
        </is>
      </c>
      <c r="I11" s="668" t="inlineStr">
        <is>
          <t>DATE</t>
        </is>
      </c>
      <c r="J11" s="668" t="n"/>
      <c r="K11" s="667" t="inlineStr">
        <is>
          <t>Ngày hết hiệu lực bản ghi SCD2</t>
        </is>
      </c>
      <c r="L11" s="416" t="n"/>
      <c r="M11" s="416">
        <f>"COMMENT ON COLUMN PG_SILVER."&amp;G11&amp;"."&amp;H11&amp;" IS '"&amp;K11&amp;"';"</f>
        <v/>
      </c>
      <c r="N11" s="416" t="inlineStr">
        <is>
          <t>Đóng bản ghi cũ khi thay đổi giá trị</t>
        </is>
      </c>
    </row>
    <row r="12" ht="14.25" customHeight="1" s="335">
      <c r="A12" s="667" t="inlineStr">
        <is>
          <t>PG_BRONZE</t>
        </is>
      </c>
      <c r="B12" s="667" t="inlineStr">
        <is>
          <t>T24CORE_CUSTOMER</t>
        </is>
      </c>
      <c r="C12" s="667" t="inlineStr">
        <is>
          <t>RECID</t>
        </is>
      </c>
      <c r="D12" s="667" t="inlineStr">
        <is>
          <t>ETL_DATE</t>
        </is>
      </c>
      <c r="E12" s="667" t="inlineStr">
        <is>
          <t>Involved Party Electronic Address</t>
        </is>
      </c>
      <c r="F12" s="667" t="inlineStr">
        <is>
          <t>System Update Date</t>
        </is>
      </c>
      <c r="G12" s="667" t="inlineStr">
        <is>
          <t>IP_ELC_ADR</t>
        </is>
      </c>
      <c r="H12" s="667" t="inlineStr">
        <is>
          <t>SYS_UDT_DT</t>
        </is>
      </c>
      <c r="I12" s="668" t="inlineStr">
        <is>
          <t>DATE</t>
        </is>
      </c>
      <c r="J12" s="668" t="n"/>
      <c r="K12" s="667" t="inlineStr">
        <is>
          <t>Ngày cập nhật bản ghi</t>
        </is>
      </c>
      <c r="L12" s="416" t="n"/>
      <c r="M12" s="416">
        <f>"COMMENT ON COLUMN PG_SILVER."&amp;G12&amp;"."&amp;H12&amp;" IS '"&amp;K12&amp;"';"</f>
        <v/>
      </c>
      <c r="N12" s="416" t="inlineStr">
        <is>
          <t>Gán ${ETL_DATE}</t>
        </is>
      </c>
    </row>
    <row r="13" ht="14.25" customHeight="1" s="335">
      <c r="A13" s="433" t="n"/>
      <c r="B13" s="415" t="n"/>
      <c r="C13" s="433" t="n"/>
      <c r="D13" s="433" t="n"/>
      <c r="E13" s="433" t="n"/>
      <c r="F13" s="433" t="n"/>
      <c r="G13" s="415" t="n"/>
      <c r="H13" s="433" t="n"/>
      <c r="I13" s="415" t="n"/>
      <c r="J13" s="415" t="n"/>
      <c r="K13" s="415" t="n"/>
    </row>
    <row r="14" ht="14.25" customHeight="1" s="335">
      <c r="A14" s="669" t="inlineStr">
        <is>
          <t>UNION ALL</t>
        </is>
      </c>
      <c r="B14" s="415" t="n"/>
      <c r="C14" s="433" t="n"/>
      <c r="D14" s="433" t="n"/>
      <c r="E14" s="433" t="n"/>
      <c r="F14" s="433" t="n"/>
      <c r="G14" s="415" t="n"/>
      <c r="H14" s="433" t="n"/>
      <c r="I14" s="415" t="n"/>
      <c r="J14" s="415" t="n"/>
      <c r="K14" s="415" t="n"/>
    </row>
    <row r="15" ht="14.25" customHeight="1" s="335">
      <c r="A15" s="480" t="inlineStr">
        <is>
          <t>Nguồn</t>
        </is>
      </c>
      <c r="B15" s="480" t="inlineStr">
        <is>
          <t>Bảng nguồn</t>
        </is>
      </c>
      <c r="C15" s="480" t="inlineStr">
        <is>
          <t>Short table</t>
        </is>
      </c>
      <c r="D15" s="480" t="inlineStr">
        <is>
          <t>Business Rule</t>
        </is>
      </c>
      <c r="E15" s="433" t="n"/>
      <c r="F15" s="433" t="n"/>
      <c r="G15" s="415" t="n"/>
      <c r="H15" s="433" t="n"/>
      <c r="I15" s="415" t="n"/>
      <c r="J15" s="415" t="n"/>
      <c r="K15" s="415" t="n"/>
    </row>
    <row r="16" ht="14.25" customHeight="1" s="335">
      <c r="A16" s="370" t="inlineStr">
        <is>
          <t>PG_BRONZE</t>
        </is>
      </c>
      <c r="B16" s="370" t="inlineStr">
        <is>
          <t>T24CORE_CUSTOMER</t>
        </is>
      </c>
      <c r="C16" s="368" t="inlineStr">
        <is>
          <t>c</t>
        </is>
      </c>
      <c r="D16" s="372" t="inlineStr">
        <is>
          <t>WHERE c.HOME_NUMBER IS NOT NULL AND c.ETL_DATE = ${ETL_DATE} -- Nhánh 2: Số điện thoại bàn / nhà riêng của khách hàng</t>
        </is>
      </c>
      <c r="E16" s="433" t="n"/>
      <c r="F16" s="433" t="n"/>
      <c r="G16" s="415" t="n"/>
      <c r="H16" s="433" t="n"/>
      <c r="I16" s="415" t="n"/>
      <c r="J16" s="415" t="n"/>
      <c r="K16" s="415" t="n"/>
    </row>
    <row r="17" ht="14.25" customHeight="1" s="335">
      <c r="A17" s="415" t="n"/>
      <c r="B17" s="415" t="n"/>
      <c r="C17" s="415" t="n"/>
      <c r="D17" s="415" t="n"/>
      <c r="E17" s="433" t="n"/>
      <c r="F17" s="415" t="n"/>
      <c r="G17" s="415" t="n"/>
      <c r="H17" s="415" t="n"/>
      <c r="I17" s="415" t="n"/>
      <c r="J17" s="415" t="n"/>
      <c r="K17" s="415" t="n"/>
    </row>
    <row r="18" ht="14.25" customHeight="1" s="335">
      <c r="A18" s="480" t="inlineStr">
        <is>
          <t>Nguồn</t>
        </is>
      </c>
      <c r="B18" s="480" t="inlineStr">
        <is>
          <t>Bảng nguồn</t>
        </is>
      </c>
      <c r="C18" s="480" t="inlineStr">
        <is>
          <t>Cột nguồn</t>
        </is>
      </c>
      <c r="D18" s="480" t="inlineStr">
        <is>
          <t>Transform</t>
        </is>
      </c>
      <c r="E18" s="480" t="inlineStr">
        <is>
          <t>Entity</t>
        </is>
      </c>
      <c r="F18" s="480" t="inlineStr">
        <is>
          <t>Attribute</t>
        </is>
      </c>
      <c r="G18" s="480" t="inlineStr">
        <is>
          <t>Bảng đích</t>
        </is>
      </c>
      <c r="H18" s="480" t="inlineStr">
        <is>
          <t>Cột đích</t>
        </is>
      </c>
      <c r="I18" s="480" t="inlineStr">
        <is>
          <t>Kiểu dữ liệu</t>
        </is>
      </c>
      <c r="J18" s="480" t="inlineStr">
        <is>
          <t>Độ dài</t>
        </is>
      </c>
      <c r="K18" s="480" t="inlineStr">
        <is>
          <t>Diễn giải</t>
        </is>
      </c>
      <c r="L18" s="480" t="inlineStr">
        <is>
          <t>Glossary</t>
        </is>
      </c>
      <c r="M18" s="480" t="inlineStr">
        <is>
          <t>DDL Comment</t>
        </is>
      </c>
      <c r="N18" s="480" t="inlineStr">
        <is>
          <t>Ghi chú kỹ thuật &amp; Business Rule</t>
        </is>
      </c>
    </row>
    <row r="19" ht="14.25" customHeight="1" s="335">
      <c r="A19" s="416" t="inlineStr">
        <is>
          <t>PG_BRONZE</t>
        </is>
      </c>
      <c r="B19" s="416" t="inlineStr">
        <is>
          <t>T24CORE_CUSTOMER</t>
        </is>
      </c>
      <c r="C19" s="416" t="inlineStr">
        <is>
          <t>RECID</t>
        </is>
      </c>
      <c r="D19" s="416" t="inlineStr">
        <is>
          <t>fn_hash("T24_CUSTOMER", c.RECID)</t>
        </is>
      </c>
      <c r="E19" s="416" t="inlineStr">
        <is>
          <t>Involved Party Electronic Address</t>
        </is>
      </c>
      <c r="F19" s="416" t="inlineStr">
        <is>
          <t>Customer ID</t>
        </is>
      </c>
      <c r="G19" s="416" t="inlineStr">
        <is>
          <t>IP_ELC_ADR</t>
        </is>
      </c>
      <c r="H19" s="416" t="inlineStr">
        <is>
          <t>CST_ID</t>
        </is>
      </c>
      <c r="I19" s="482" t="inlineStr">
        <is>
          <t>CHAR</t>
        </is>
      </c>
      <c r="J19" s="482" t="n">
        <v>32</v>
      </c>
      <c r="K19" s="416" t="inlineStr">
        <is>
          <t>Unique key khách hàng trên DWH</t>
        </is>
      </c>
      <c r="L19" s="416" t="n"/>
      <c r="M19" s="416">
        <f>"COMMENT ON COLUMN PG_SILVER."&amp;G19&amp;"."&amp;H19&amp;" IS '"&amp;K19&amp;"';"</f>
        <v/>
      </c>
      <c r="N19" s="416" t="inlineStr">
        <is>
          <t>Khóa băm khách hàng chuẩn</t>
        </is>
      </c>
    </row>
    <row r="20" ht="14.25" customHeight="1" s="335">
      <c r="A20" s="416" t="inlineStr">
        <is>
          <t>PG_BRONZE</t>
        </is>
      </c>
      <c r="B20" s="416" t="inlineStr">
        <is>
          <t>T24CORE_CUSTOMER</t>
        </is>
      </c>
      <c r="C20" s="416" t="inlineStr">
        <is>
          <t>RECID</t>
        </is>
      </c>
      <c r="D20" s="416" t="inlineStr">
        <is>
          <t>1:1</t>
        </is>
      </c>
      <c r="E20" s="416" t="inlineStr">
        <is>
          <t>Involved Party Electronic Address</t>
        </is>
      </c>
      <c r="F20" s="416" t="inlineStr">
        <is>
          <t>Customer Code</t>
        </is>
      </c>
      <c r="G20" s="416" t="inlineStr">
        <is>
          <t>IP_ELC_ADR</t>
        </is>
      </c>
      <c r="H20" s="416" t="inlineStr">
        <is>
          <t>CST_CODE</t>
        </is>
      </c>
      <c r="I20" s="482" t="inlineStr">
        <is>
          <t>VARCHAR2</t>
        </is>
      </c>
      <c r="J20" s="482" t="n">
        <v>20</v>
      </c>
      <c r="K20" s="416" t="inlineStr">
        <is>
          <t>Mã khách hàng (CIF)</t>
        </is>
      </c>
      <c r="L20" s="416" t="n"/>
      <c r="M20" s="416">
        <f>"COMMENT ON COLUMN PG_SILVER."&amp;G20&amp;"."&amp;H20&amp;" IS '"&amp;K20&amp;"';"</f>
        <v/>
      </c>
      <c r="N20" s="416" t="inlineStr">
        <is>
          <t>1:1 từ c.RECID</t>
        </is>
      </c>
    </row>
    <row r="21" ht="14.25" customHeight="1" s="335">
      <c r="A21" s="416" t="inlineStr">
        <is>
          <t>PG_BRONZE</t>
        </is>
      </c>
      <c r="B21" s="416" t="inlineStr">
        <is>
          <t>T24CORE_CUSTOMER</t>
        </is>
      </c>
      <c r="C21" s="416" t="inlineStr">
        <is>
          <t>HOME_NUMBER</t>
        </is>
      </c>
      <c r="D21" s="416" t="inlineStr">
        <is>
          <t>'HOME_NUMBER'</t>
        </is>
      </c>
      <c r="E21" s="416" t="inlineStr">
        <is>
          <t>Involved Party Electronic Address</t>
        </is>
      </c>
      <c r="F21" s="416" t="inlineStr">
        <is>
          <t>Electronic Address Type</t>
        </is>
      </c>
      <c r="G21" s="416" t="inlineStr">
        <is>
          <t>IP_ELC_ADR</t>
        </is>
      </c>
      <c r="H21" s="416" t="inlineStr">
        <is>
          <t>ELC_ADR_TP</t>
        </is>
      </c>
      <c r="I21" s="482" t="inlineStr">
        <is>
          <t>VARCHAR2</t>
        </is>
      </c>
      <c r="J21" s="482" t="n">
        <v>20</v>
      </c>
      <c r="K21" s="416" t="inlineStr">
        <is>
          <t>Loại địa chỉ điện tử (EMAIL / HOME_NUMBER / MOBILE_NUMBER)</t>
        </is>
      </c>
      <c r="L21" s="416" t="n"/>
      <c r="M21" s="416">
        <f>"COMMENT ON COLUMN PG_SILVER."&amp;G21&amp;"."&amp;H21&amp;" IS '"&amp;K21&amp;"';"</f>
        <v/>
      </c>
      <c r="N21" s="416" t="inlineStr">
        <is>
          <t>Gán hằng số 'HOME_NUMBER'</t>
        </is>
      </c>
    </row>
    <row r="22" ht="14.25" customHeight="1" s="335">
      <c r="A22" s="667" t="inlineStr">
        <is>
          <t>PG_BRONZE</t>
        </is>
      </c>
      <c r="B22" s="667" t="inlineStr">
        <is>
          <t>T24CORE_CUSTOMER</t>
        </is>
      </c>
      <c r="C22" s="667" t="inlineStr">
        <is>
          <t>HOME_NUMBER</t>
        </is>
      </c>
      <c r="D22" s="667" t="inlineStr">
        <is>
          <t>1:1</t>
        </is>
      </c>
      <c r="E22" s="667" t="inlineStr">
        <is>
          <t>Involved Party Electronic Address</t>
        </is>
      </c>
      <c r="F22" s="667" t="inlineStr">
        <is>
          <t>Electronic Address Value</t>
        </is>
      </c>
      <c r="G22" s="667" t="inlineStr">
        <is>
          <t>IP_ELC_ADR</t>
        </is>
      </c>
      <c r="H22" s="667" t="inlineStr">
        <is>
          <t>ELC_ADR_VAL</t>
        </is>
      </c>
      <c r="I22" s="668" t="inlineStr">
        <is>
          <t>VARCHAR2</t>
        </is>
      </c>
      <c r="J22" s="668" t="n">
        <v>100</v>
      </c>
      <c r="K22" s="667" t="inlineStr">
        <is>
          <t>Giá trị địa chỉ liên lạc điện tử</t>
        </is>
      </c>
      <c r="L22" s="416" t="n"/>
      <c r="M22" s="416">
        <f>"COMMENT ON COLUMN PG_SILVER."&amp;G22&amp;"."&amp;H22&amp;" IS '"&amp;K22&amp;"';"</f>
        <v/>
      </c>
      <c r="N22" s="670" t="inlineStr">
        <is>
          <t>Lấy trực tiếp từ c.HOME_NUMBER</t>
        </is>
      </c>
    </row>
    <row r="23" ht="14.25" customHeight="1" s="335">
      <c r="A23" s="416" t="inlineStr">
        <is>
          <t>PG_BRONZE</t>
        </is>
      </c>
      <c r="B23" s="416" t="inlineStr">
        <is>
          <t>T24CORE_CUSTOMER</t>
        </is>
      </c>
      <c r="C23" s="416" t="inlineStr">
        <is>
          <t>RECID</t>
        </is>
      </c>
      <c r="D23" s="416" t="inlineStr">
        <is>
          <t>ETL_DATE if not exists (CST_ID, ELC_ADR_TP)</t>
        </is>
      </c>
      <c r="E23" s="416" t="inlineStr">
        <is>
          <t>Involved Party Electronic Address</t>
        </is>
      </c>
      <c r="F23" s="416" t="inlineStr">
        <is>
          <t>System Effective Date</t>
        </is>
      </c>
      <c r="G23" s="416" t="inlineStr">
        <is>
          <t>IP_ELC_ADR</t>
        </is>
      </c>
      <c r="H23" s="416" t="inlineStr">
        <is>
          <t>SYS_EFF_DT</t>
        </is>
      </c>
      <c r="I23" s="482" t="inlineStr">
        <is>
          <t>DATE</t>
        </is>
      </c>
      <c r="J23" s="482" t="n"/>
      <c r="K23" s="416" t="inlineStr">
        <is>
          <t>Ngày hiệu lực bản ghi SCD2</t>
        </is>
      </c>
      <c r="L23" s="416" t="n"/>
      <c r="M23" s="416">
        <f>"COMMENT ON COLUMN PG_SILVER."&amp;G23&amp;"."&amp;H23&amp;" IS '"&amp;K23&amp;"';"</f>
        <v/>
      </c>
      <c r="N23" s="416" t="inlineStr">
        <is>
          <t>Khóa tự nhiên tổ hợp (CST_ID, ELC_ADR_TP)</t>
        </is>
      </c>
    </row>
    <row r="24" ht="14.25" customHeight="1" s="335">
      <c r="A24" s="416" t="inlineStr">
        <is>
          <t>PG_BRONZE</t>
        </is>
      </c>
      <c r="B24" s="416" t="inlineStr">
        <is>
          <t>T24CORE_CUSTOMER</t>
        </is>
      </c>
      <c r="C24" s="416" t="inlineStr">
        <is>
          <t>RECID</t>
        </is>
      </c>
      <c r="D24" s="416" t="inlineStr">
        <is>
          <t>ETL_DATE if record was updated/deleted</t>
        </is>
      </c>
      <c r="E24" s="416" t="inlineStr">
        <is>
          <t>Involved Party Electronic Address</t>
        </is>
      </c>
      <c r="F24" s="416" t="inlineStr">
        <is>
          <t>System Expiry Date</t>
        </is>
      </c>
      <c r="G24" s="416" t="inlineStr">
        <is>
          <t>IP_ELC_ADR</t>
        </is>
      </c>
      <c r="H24" s="416" t="inlineStr">
        <is>
          <t>SYS_EXP_DT</t>
        </is>
      </c>
      <c r="I24" s="482" t="inlineStr">
        <is>
          <t>DATE</t>
        </is>
      </c>
      <c r="J24" s="482" t="n"/>
      <c r="K24" s="416" t="inlineStr">
        <is>
          <t>Ngày hết hiệu lực bản ghi SCD2</t>
        </is>
      </c>
      <c r="L24" s="416" t="n"/>
      <c r="M24" s="416">
        <f>"COMMENT ON COLUMN PG_SILVER."&amp;G24&amp;"."&amp;H24&amp;" IS '"&amp;K24&amp;"';"</f>
        <v/>
      </c>
      <c r="N24" s="416" t="inlineStr">
        <is>
          <t>Đóng bản ghi cũ khi thay đổi giá trị</t>
        </is>
      </c>
    </row>
    <row r="25" ht="54.75" customHeight="1" s="335">
      <c r="A25" s="416" t="inlineStr">
        <is>
          <t>PG_BRONZE</t>
        </is>
      </c>
      <c r="B25" s="416" t="inlineStr">
        <is>
          <t>T24CORE_CUSTOMER</t>
        </is>
      </c>
      <c r="C25" s="416" t="inlineStr">
        <is>
          <t>RECID</t>
        </is>
      </c>
      <c r="D25" s="377" t="inlineStr">
        <is>
          <t>ETL_DATE</t>
        </is>
      </c>
      <c r="E25" s="416" t="inlineStr">
        <is>
          <t>Involved Party Electronic Address</t>
        </is>
      </c>
      <c r="F25" s="416" t="inlineStr">
        <is>
          <t>System Update Date</t>
        </is>
      </c>
      <c r="G25" s="416" t="inlineStr">
        <is>
          <t>IP_ELC_ADR</t>
        </is>
      </c>
      <c r="H25" s="416" t="inlineStr">
        <is>
          <t>SYS_UDT_DT</t>
        </is>
      </c>
      <c r="I25" s="482" t="inlineStr">
        <is>
          <t>DATE</t>
        </is>
      </c>
      <c r="J25" s="482" t="n"/>
      <c r="K25" s="416" t="inlineStr">
        <is>
          <t>Ngày cập nhật bản ghi</t>
        </is>
      </c>
      <c r="L25" s="416" t="n"/>
      <c r="M25" s="416">
        <f>"COMMENT ON COLUMN PG_SILVER."&amp;G25&amp;"."&amp;H25&amp;" IS '"&amp;K25&amp;"';"</f>
        <v/>
      </c>
      <c r="N25" s="357" t="inlineStr">
        <is>
          <t>Gán ${ETL_DATE}</t>
        </is>
      </c>
    </row>
    <row r="26" ht="14.25" customHeight="1" s="335">
      <c r="A26" s="415" t="n"/>
      <c r="B26" s="415" t="n"/>
      <c r="C26" s="466" t="n"/>
      <c r="D26" s="433" t="n"/>
      <c r="E26" s="433" t="n"/>
      <c r="F26" s="433" t="n"/>
      <c r="G26" s="415" t="n"/>
      <c r="H26" s="433" t="n"/>
      <c r="I26" s="415" t="n"/>
      <c r="J26" s="415" t="n"/>
      <c r="K26" s="415" t="n"/>
    </row>
    <row r="27" ht="14.25" customHeight="1" s="335">
      <c r="A27" s="669" t="inlineStr">
        <is>
          <t>UNION ALL</t>
        </is>
      </c>
      <c r="B27" s="415" t="n"/>
      <c r="C27" s="415" t="n"/>
      <c r="D27" s="415" t="n"/>
      <c r="E27" s="433" t="n"/>
      <c r="F27" s="415" t="n"/>
      <c r="G27" s="415" t="n"/>
      <c r="H27" s="415" t="n"/>
      <c r="I27" s="415" t="n"/>
      <c r="J27" s="415" t="n"/>
      <c r="K27" s="415" t="n"/>
    </row>
    <row r="28" ht="14.25" customHeight="1" s="335">
      <c r="A28" s="480" t="inlineStr">
        <is>
          <t>Nguồn</t>
        </is>
      </c>
      <c r="B28" s="480" t="inlineStr">
        <is>
          <t>Bảng nguồn</t>
        </is>
      </c>
      <c r="C28" s="480" t="inlineStr">
        <is>
          <t>Short table</t>
        </is>
      </c>
      <c r="D28" s="480" t="inlineStr">
        <is>
          <t>Business Rule</t>
        </is>
      </c>
      <c r="E28" s="433" t="n"/>
      <c r="F28" s="415" t="n"/>
      <c r="G28" s="415" t="n"/>
      <c r="H28" s="415" t="n"/>
      <c r="I28" s="415" t="n"/>
      <c r="J28" s="415" t="n"/>
      <c r="K28" s="415" t="n"/>
    </row>
    <row r="29" ht="14.25" customHeight="1" s="335">
      <c r="A29" s="370" t="inlineStr">
        <is>
          <t>PG_BRONZE</t>
        </is>
      </c>
      <c r="B29" s="370" t="inlineStr">
        <is>
          <t>T24CORE_CUSTOMER</t>
        </is>
      </c>
      <c r="C29" s="368" t="inlineStr">
        <is>
          <t>c</t>
        </is>
      </c>
      <c r="D29" s="372" t="inlineStr">
        <is>
          <t>WHERE c.MOBILE_NUMBER IS NOT NULL AND c.ETL_DATE = ${ETL_DATE} -- Nhánh 3: Số điện thoại di động của khách hàng</t>
        </is>
      </c>
      <c r="E29" s="433" t="n"/>
      <c r="F29" s="415" t="n"/>
      <c r="G29" s="415" t="n"/>
      <c r="H29" s="415" t="n"/>
      <c r="I29" s="415" t="n"/>
      <c r="J29" s="415" t="n"/>
      <c r="K29" s="415" t="n"/>
    </row>
    <row r="31" ht="14.25" customHeight="1" s="335">
      <c r="A31" s="480" t="inlineStr">
        <is>
          <t>Nguồn</t>
        </is>
      </c>
      <c r="B31" s="480" t="inlineStr">
        <is>
          <t>Bảng nguồn</t>
        </is>
      </c>
      <c r="C31" s="480" t="inlineStr">
        <is>
          <t>Cột nguồn</t>
        </is>
      </c>
      <c r="D31" s="480" t="inlineStr">
        <is>
          <t>Transform</t>
        </is>
      </c>
      <c r="E31" s="480" t="inlineStr">
        <is>
          <t>Entity</t>
        </is>
      </c>
      <c r="F31" s="480" t="inlineStr">
        <is>
          <t>Attribute</t>
        </is>
      </c>
      <c r="G31" s="480" t="inlineStr">
        <is>
          <t>Bảng đích</t>
        </is>
      </c>
      <c r="H31" s="480" t="inlineStr">
        <is>
          <t>Cột đích</t>
        </is>
      </c>
      <c r="I31" s="480" t="inlineStr">
        <is>
          <t>Kiểu dữ liệu</t>
        </is>
      </c>
      <c r="J31" s="480" t="inlineStr">
        <is>
          <t>Độ dài</t>
        </is>
      </c>
      <c r="K31" s="480" t="inlineStr">
        <is>
          <t>Diễn giải</t>
        </is>
      </c>
      <c r="L31" s="480" t="inlineStr">
        <is>
          <t>Glossary</t>
        </is>
      </c>
      <c r="M31" s="480" t="inlineStr">
        <is>
          <t>DDL Comment</t>
        </is>
      </c>
      <c r="N31" s="480" t="inlineStr">
        <is>
          <t>Ghi chú kỹ thuật &amp; Business Rule</t>
        </is>
      </c>
    </row>
    <row r="32" ht="14.25" customHeight="1" s="335">
      <c r="A32" s="416" t="inlineStr">
        <is>
          <t>PG_BRONZE</t>
        </is>
      </c>
      <c r="B32" s="416" t="inlineStr">
        <is>
          <t>T24CORE_CUSTOMER</t>
        </is>
      </c>
      <c r="C32" s="416" t="inlineStr">
        <is>
          <t>RECID</t>
        </is>
      </c>
      <c r="D32" s="416" t="inlineStr">
        <is>
          <t>fn_hash("T24_CUSTOMER", c.RECID)</t>
        </is>
      </c>
      <c r="E32" s="416" t="inlineStr">
        <is>
          <t>Involved Party Electronic Address</t>
        </is>
      </c>
      <c r="F32" s="416" t="inlineStr">
        <is>
          <t>Customer ID</t>
        </is>
      </c>
      <c r="G32" s="416" t="inlineStr">
        <is>
          <t>IP_ELC_ADR</t>
        </is>
      </c>
      <c r="H32" s="416" t="inlineStr">
        <is>
          <t>CST_ID</t>
        </is>
      </c>
      <c r="I32" s="482" t="inlineStr">
        <is>
          <t>CHAR</t>
        </is>
      </c>
      <c r="J32" s="482" t="n">
        <v>32</v>
      </c>
      <c r="K32" s="416" t="inlineStr">
        <is>
          <t>Unique key khách hàng trên DWH</t>
        </is>
      </c>
      <c r="L32" s="416" t="n"/>
      <c r="M32" s="416">
        <f>"COMMENT ON COLUMN PG_SILVER."&amp;G32&amp;"."&amp;H32&amp;" IS '"&amp;K32&amp;"';"</f>
        <v/>
      </c>
      <c r="N32" s="416" t="inlineStr">
        <is>
          <t>Khóa băm khách hàng chuẩn</t>
        </is>
      </c>
    </row>
    <row r="33" ht="14.25" customHeight="1" s="335">
      <c r="A33" s="416" t="inlineStr">
        <is>
          <t>PG_BRONZE</t>
        </is>
      </c>
      <c r="B33" s="416" t="inlineStr">
        <is>
          <t>T24CORE_CUSTOMER</t>
        </is>
      </c>
      <c r="C33" s="416" t="inlineStr">
        <is>
          <t>RECID</t>
        </is>
      </c>
      <c r="D33" s="416" t="inlineStr">
        <is>
          <t>1:1</t>
        </is>
      </c>
      <c r="E33" s="416" t="inlineStr">
        <is>
          <t>Involved Party Electronic Address</t>
        </is>
      </c>
      <c r="F33" s="416" t="inlineStr">
        <is>
          <t>Customer Code</t>
        </is>
      </c>
      <c r="G33" s="416" t="inlineStr">
        <is>
          <t>IP_ELC_ADR</t>
        </is>
      </c>
      <c r="H33" s="416" t="inlineStr">
        <is>
          <t>CST_CODE</t>
        </is>
      </c>
      <c r="I33" s="482" t="inlineStr">
        <is>
          <t>VARCHAR2</t>
        </is>
      </c>
      <c r="J33" s="482" t="n">
        <v>20</v>
      </c>
      <c r="K33" s="416" t="inlineStr">
        <is>
          <t>Mã khách hàng (CIF)</t>
        </is>
      </c>
      <c r="L33" s="416" t="n"/>
      <c r="M33" s="416">
        <f>"COMMENT ON COLUMN PG_SILVER."&amp;G33&amp;"."&amp;H33&amp;" IS '"&amp;K33&amp;"';"</f>
        <v/>
      </c>
      <c r="N33" s="416" t="inlineStr">
        <is>
          <t>1:1 từ c.RECID</t>
        </is>
      </c>
    </row>
    <row r="34" ht="14.25" customHeight="1" s="335">
      <c r="A34" s="416" t="inlineStr">
        <is>
          <t>PG_BRONZE</t>
        </is>
      </c>
      <c r="B34" s="416" t="inlineStr">
        <is>
          <t>T24CORE_CUSTOMER</t>
        </is>
      </c>
      <c r="C34" s="416" t="inlineStr">
        <is>
          <t>MOBILE_NUMBER</t>
        </is>
      </c>
      <c r="D34" s="416" t="inlineStr">
        <is>
          <t>'MOBILE_NUMBER'</t>
        </is>
      </c>
      <c r="E34" s="416" t="inlineStr">
        <is>
          <t>Involved Party Electronic Address</t>
        </is>
      </c>
      <c r="F34" s="416" t="inlineStr">
        <is>
          <t>Electronic Address Type</t>
        </is>
      </c>
      <c r="G34" s="416" t="inlineStr">
        <is>
          <t>IP_ELC_ADR</t>
        </is>
      </c>
      <c r="H34" s="416" t="inlineStr">
        <is>
          <t>ELC_ADR_TP</t>
        </is>
      </c>
      <c r="I34" s="482" t="inlineStr">
        <is>
          <t>VARCHAR2</t>
        </is>
      </c>
      <c r="J34" s="482" t="n">
        <v>20</v>
      </c>
      <c r="K34" s="416" t="inlineStr">
        <is>
          <t>Loại địa chỉ điện tử (EMAIL / HOME_NUMBER / MOBILE_NUMBER)</t>
        </is>
      </c>
      <c r="L34" s="416" t="n"/>
      <c r="M34" s="416">
        <f>"COMMENT ON COLUMN PG_SILVER."&amp;G34&amp;"."&amp;H34&amp;" IS '"&amp;K34&amp;"';"</f>
        <v/>
      </c>
      <c r="N34" s="416" t="inlineStr">
        <is>
          <t>Gán hằng số 'MOBILE_NUMBER'</t>
        </is>
      </c>
    </row>
    <row r="35" ht="14.25" customHeight="1" s="335">
      <c r="A35" s="416" t="inlineStr">
        <is>
          <t>PG_BRONZE</t>
        </is>
      </c>
      <c r="B35" s="416" t="inlineStr">
        <is>
          <t>T24CORE_CUSTOMER</t>
        </is>
      </c>
      <c r="C35" s="416" t="inlineStr">
        <is>
          <t>MOBILE_NUMBER</t>
        </is>
      </c>
      <c r="D35" s="416" t="inlineStr">
        <is>
          <t>1:1</t>
        </is>
      </c>
      <c r="E35" s="416" t="inlineStr">
        <is>
          <t>Involved Party Electronic Address</t>
        </is>
      </c>
      <c r="F35" s="416" t="inlineStr">
        <is>
          <t>Electronic Address Value</t>
        </is>
      </c>
      <c r="G35" s="416" t="inlineStr">
        <is>
          <t>IP_ELC_ADR</t>
        </is>
      </c>
      <c r="H35" s="416" t="inlineStr">
        <is>
          <t>ELC_ADR_VAL</t>
        </is>
      </c>
      <c r="I35" s="482" t="inlineStr">
        <is>
          <t>VARCHAR2</t>
        </is>
      </c>
      <c r="J35" s="482" t="n">
        <v>100</v>
      </c>
      <c r="K35" s="416" t="inlineStr">
        <is>
          <t>Giá trị địa chỉ liên lạc điện tử</t>
        </is>
      </c>
      <c r="L35" s="416" t="n"/>
      <c r="M35" s="416">
        <f>"COMMENT ON COLUMN PG_SILVER."&amp;G35&amp;"."&amp;H35&amp;" IS '"&amp;K35&amp;"';"</f>
        <v/>
      </c>
      <c r="N35" s="416" t="inlineStr">
        <is>
          <t>Lấy trực tiếp từ c.MOBILE_NUMBER</t>
        </is>
      </c>
    </row>
    <row r="36" ht="14.25" customHeight="1" s="335">
      <c r="A36" s="416" t="inlineStr">
        <is>
          <t>PG_BRONZE</t>
        </is>
      </c>
      <c r="B36" s="416" t="inlineStr">
        <is>
          <t>T24CORE_CUSTOMER</t>
        </is>
      </c>
      <c r="C36" s="416" t="inlineStr">
        <is>
          <t>RECID</t>
        </is>
      </c>
      <c r="D36" s="416" t="inlineStr">
        <is>
          <t>ETL_DATE if not exists (CST_ID, ELC_ADR_TP)</t>
        </is>
      </c>
      <c r="E36" s="416" t="inlineStr">
        <is>
          <t>Involved Party Electronic Address</t>
        </is>
      </c>
      <c r="F36" s="416" t="inlineStr">
        <is>
          <t>System Effective Date</t>
        </is>
      </c>
      <c r="G36" s="416" t="inlineStr">
        <is>
          <t>IP_ELC_ADR</t>
        </is>
      </c>
      <c r="H36" s="416" t="inlineStr">
        <is>
          <t>SYS_EFF_DT</t>
        </is>
      </c>
      <c r="I36" s="482" t="inlineStr">
        <is>
          <t>DATE</t>
        </is>
      </c>
      <c r="J36" s="482" t="n"/>
      <c r="K36" s="416" t="inlineStr">
        <is>
          <t>Ngày hiệu lực bản ghi SCD2</t>
        </is>
      </c>
      <c r="L36" s="416" t="n"/>
      <c r="M36" s="416">
        <f>"COMMENT ON COLUMN PG_SILVER."&amp;G36&amp;"."&amp;H36&amp;" IS '"&amp;K36&amp;"';"</f>
        <v/>
      </c>
      <c r="N36" s="416" t="inlineStr">
        <is>
          <t>Khóa tự nhiên tổ hợp (CST_ID, ELC_ADR_TP)</t>
        </is>
      </c>
    </row>
    <row r="37" ht="14.25" customHeight="1" s="335">
      <c r="A37" s="416" t="inlineStr">
        <is>
          <t>PG_BRONZE</t>
        </is>
      </c>
      <c r="B37" s="416" t="inlineStr">
        <is>
          <t>T24CORE_CUSTOMER</t>
        </is>
      </c>
      <c r="C37" s="416" t="inlineStr">
        <is>
          <t>RECID</t>
        </is>
      </c>
      <c r="D37" s="416" t="inlineStr">
        <is>
          <t>ETL_DATE if record was updated/deleted</t>
        </is>
      </c>
      <c r="E37" s="416" t="inlineStr">
        <is>
          <t>Involved Party Electronic Address</t>
        </is>
      </c>
      <c r="F37" s="416" t="inlineStr">
        <is>
          <t>System Expiry Date</t>
        </is>
      </c>
      <c r="G37" s="416" t="inlineStr">
        <is>
          <t>IP_ELC_ADR</t>
        </is>
      </c>
      <c r="H37" s="416" t="inlineStr">
        <is>
          <t>SYS_EXP_DT</t>
        </is>
      </c>
      <c r="I37" s="482" t="inlineStr">
        <is>
          <t>DATE</t>
        </is>
      </c>
      <c r="J37" s="482" t="n"/>
      <c r="K37" s="416" t="inlineStr">
        <is>
          <t>Ngày hết hiệu lực bản ghi SCD2</t>
        </is>
      </c>
      <c r="L37" s="416" t="n"/>
      <c r="M37" s="416">
        <f>"COMMENT ON COLUMN PG_SILVER."&amp;G37&amp;"."&amp;H37&amp;" IS '"&amp;K37&amp;"';"</f>
        <v/>
      </c>
      <c r="N37" s="416" t="inlineStr">
        <is>
          <t>Đóng bản ghi cũ khi thay đổi giá trị</t>
        </is>
      </c>
    </row>
    <row r="38" ht="14.25" customHeight="1" s="335">
      <c r="A38" s="416" t="inlineStr">
        <is>
          <t>PG_BRONZE</t>
        </is>
      </c>
      <c r="B38" s="416" t="inlineStr">
        <is>
          <t>T24CORE_CUSTOMER</t>
        </is>
      </c>
      <c r="C38" s="416" t="inlineStr">
        <is>
          <t>RECID</t>
        </is>
      </c>
      <c r="D38" s="416" t="inlineStr">
        <is>
          <t>ETL_DATE</t>
        </is>
      </c>
      <c r="E38" s="416" t="inlineStr">
        <is>
          <t>Involved Party Electronic Address</t>
        </is>
      </c>
      <c r="F38" s="416" t="inlineStr">
        <is>
          <t>System Update Date</t>
        </is>
      </c>
      <c r="G38" s="416" t="inlineStr">
        <is>
          <t>IP_ELC_ADR</t>
        </is>
      </c>
      <c r="H38" s="416" t="inlineStr">
        <is>
          <t>SYS_UDT_DT</t>
        </is>
      </c>
      <c r="I38" s="482" t="inlineStr">
        <is>
          <t>DATE</t>
        </is>
      </c>
      <c r="J38" s="482" t="n"/>
      <c r="K38" s="416" t="inlineStr">
        <is>
          <t>Ngày cập nhật bản ghi</t>
        </is>
      </c>
      <c r="L38" s="416" t="n"/>
      <c r="M38" s="416">
        <f>"COMMENT ON COLUMN PG_SILVER."&amp;G38&amp;"."&amp;H38&amp;" IS '"&amp;K38&amp;"';"</f>
        <v/>
      </c>
      <c r="N38" s="416" t="inlineStr">
        <is>
          <t>Gán ${ETL_DATE}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N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10.11" customWidth="1" style="334" min="1" max="1"/>
    <col width="12.56" customWidth="1" style="334" min="2" max="2"/>
    <col width="16.89" customWidth="1" style="334" min="3" max="3"/>
    <col width="30.44" customWidth="1" style="334" min="4" max="5"/>
    <col width="22" customWidth="1" style="334" min="6" max="6"/>
    <col width="27.88" customWidth="1" style="334" min="7" max="7"/>
    <col width="14.11" customWidth="1" style="334" min="8" max="8"/>
    <col width="12.11" customWidth="1" style="334" min="9" max="9"/>
    <col width="6.67" customWidth="1" style="334" min="10" max="10"/>
    <col width="34" customWidth="1" style="334" min="11" max="11"/>
  </cols>
  <sheetData>
    <row r="1" ht="14.25" customHeight="1" s="335">
      <c r="A1" s="666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80" t="inlineStr">
        <is>
          <t>Nguồn</t>
        </is>
      </c>
      <c r="B2" s="480" t="inlineStr">
        <is>
          <t>Bảng nguồn</t>
        </is>
      </c>
      <c r="C2" s="480" t="inlineStr">
        <is>
          <t>Short table</t>
        </is>
      </c>
      <c r="D2" s="480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370" t="inlineStr">
        <is>
          <t>PG_BRONZE</t>
        </is>
      </c>
      <c r="B3" s="370" t="inlineStr">
        <is>
          <t>T24CORE_CUSTOMER</t>
        </is>
      </c>
      <c r="C3" s="368" t="inlineStr">
        <is>
          <t>c</t>
        </is>
      </c>
      <c r="D3" s="372" t="inlineStr">
        <is>
          <t>WHERE c.ETL_DATE = ${ETL_DATE} -- Nhánh 1: Địa chỉ cư trú hiện tại (CURRENT ADDRESS)</t>
        </is>
      </c>
      <c r="E3" s="433" t="n"/>
      <c r="F3" s="433" t="n"/>
      <c r="G3" s="415" t="n"/>
      <c r="H3" s="433" t="n"/>
      <c r="I3" s="415" t="n"/>
      <c r="J3" s="415" t="n"/>
      <c r="K3" s="415" t="n"/>
      <c r="M3" s="334" t="n"/>
    </row>
    <row r="4" ht="14.25" customHeight="1" s="335">
      <c r="A4" s="433" t="n"/>
      <c r="B4" s="415" t="n"/>
      <c r="C4" s="433" t="n"/>
      <c r="D4" s="433" t="n"/>
      <c r="E4" s="433" t="n"/>
      <c r="F4" s="433" t="n"/>
      <c r="G4" s="415" t="n"/>
      <c r="H4" s="433" t="n"/>
      <c r="I4" s="415" t="n"/>
      <c r="J4" s="415" t="n"/>
      <c r="K4" s="415" t="n"/>
      <c r="M4" s="334" t="n"/>
    </row>
    <row r="5" ht="14.25" customHeight="1" s="335">
      <c r="A5" s="480" t="inlineStr">
        <is>
          <t>Nguồn</t>
        </is>
      </c>
      <c r="B5" s="480" t="inlineStr">
        <is>
          <t>Bảng nguồn</t>
        </is>
      </c>
      <c r="C5" s="480" t="inlineStr">
        <is>
          <t>Cột nguồn</t>
        </is>
      </c>
      <c r="D5" s="480" t="inlineStr">
        <is>
          <t>Transform</t>
        </is>
      </c>
      <c r="E5" s="480" t="inlineStr">
        <is>
          <t>Entity</t>
        </is>
      </c>
      <c r="F5" s="480" t="inlineStr">
        <is>
          <t>Attribute</t>
        </is>
      </c>
      <c r="G5" s="480" t="inlineStr">
        <is>
          <t>Bảng đích</t>
        </is>
      </c>
      <c r="H5" s="480" t="inlineStr">
        <is>
          <t>Cột đích</t>
        </is>
      </c>
      <c r="I5" s="480" t="inlineStr">
        <is>
          <t>Kiểu dữ liệu</t>
        </is>
      </c>
      <c r="J5" s="480" t="inlineStr">
        <is>
          <t>Độ dài</t>
        </is>
      </c>
      <c r="K5" s="480" t="inlineStr">
        <is>
          <t>Diễn giải</t>
        </is>
      </c>
      <c r="L5" s="480" t="inlineStr">
        <is>
          <t>Glossary</t>
        </is>
      </c>
      <c r="M5" s="480" t="inlineStr">
        <is>
          <t>DDL Comment</t>
        </is>
      </c>
      <c r="N5" s="480" t="inlineStr">
        <is>
          <t>Ghi chú kỹ thuật &amp; Business Rule</t>
        </is>
      </c>
    </row>
    <row r="6" ht="14.25" customHeight="1" s="335">
      <c r="A6" s="416" t="inlineStr">
        <is>
          <t>PG_BRONZE</t>
        </is>
      </c>
      <c r="B6" s="416" t="inlineStr">
        <is>
          <t>T24CORE_CUSTOMER</t>
        </is>
      </c>
      <c r="C6" s="416" t="inlineStr">
        <is>
          <t>RECID</t>
        </is>
      </c>
      <c r="D6" s="416" t="inlineStr">
        <is>
          <t>fn_hash("T24_CUSTOMER", c.RECID)</t>
        </is>
      </c>
      <c r="E6" s="416" t="inlineStr">
        <is>
          <t>Involved Party Postal Address</t>
        </is>
      </c>
      <c r="F6" s="416" t="inlineStr">
        <is>
          <t>Customer ID</t>
        </is>
      </c>
      <c r="G6" s="416" t="inlineStr">
        <is>
          <t>IP_PST_ADR</t>
        </is>
      </c>
      <c r="H6" s="416" t="inlineStr">
        <is>
          <t>CST_ID</t>
        </is>
      </c>
      <c r="I6" s="482" t="inlineStr">
        <is>
          <t>CHAR</t>
        </is>
      </c>
      <c r="J6" s="482" t="n">
        <v>32</v>
      </c>
      <c r="K6" s="416" t="inlineStr">
        <is>
          <t>Unique key khách hàng trên DWH</t>
        </is>
      </c>
      <c r="L6" s="416" t="n"/>
      <c r="M6" s="416">
        <f>"COMMENT ON COLUMN PG_SILVER."&amp;G6&amp;"."&amp;H6&amp;" IS '"&amp;K6&amp;"';"</f>
        <v/>
      </c>
      <c r="N6" s="416" t="inlineStr">
        <is>
          <t>Khóa băm khách hàng chuẩn</t>
        </is>
      </c>
    </row>
    <row r="7" ht="14.25" customHeight="1" s="335">
      <c r="A7" s="416" t="inlineStr">
        <is>
          <t>PG_BRONZE</t>
        </is>
      </c>
      <c r="B7" s="416" t="inlineStr">
        <is>
          <t>T24CORE_CUSTOMER</t>
        </is>
      </c>
      <c r="C7" s="416" t="inlineStr">
        <is>
          <t>RECID</t>
        </is>
      </c>
      <c r="D7" s="416" t="inlineStr">
        <is>
          <t>1:1</t>
        </is>
      </c>
      <c r="E7" s="416" t="inlineStr">
        <is>
          <t>Involved Party Postal Address</t>
        </is>
      </c>
      <c r="F7" s="416" t="inlineStr">
        <is>
          <t>Customer Code</t>
        </is>
      </c>
      <c r="G7" s="416" t="inlineStr">
        <is>
          <t>IP_PST_ADR</t>
        </is>
      </c>
      <c r="H7" s="416" t="inlineStr">
        <is>
          <t>CST_CODE</t>
        </is>
      </c>
      <c r="I7" s="482" t="inlineStr">
        <is>
          <t>VARCHAR2</t>
        </is>
      </c>
      <c r="J7" s="482" t="n">
        <v>20</v>
      </c>
      <c r="K7" s="416" t="inlineStr">
        <is>
          <t>Mã khách hàng (CIF)</t>
        </is>
      </c>
      <c r="L7" s="416" t="n"/>
      <c r="M7" s="416">
        <f>"COMMENT ON COLUMN PG_SILVER."&amp;G7&amp;"."&amp;H7&amp;" IS '"&amp;K7&amp;"';"</f>
        <v/>
      </c>
      <c r="N7" s="416" t="inlineStr">
        <is>
          <t>1:1 từ c.RECID</t>
        </is>
      </c>
    </row>
    <row r="8" ht="14.25" customHeight="1" s="335">
      <c r="A8" s="416" t="inlineStr">
        <is>
          <t>PG_BRONZE</t>
        </is>
      </c>
      <c r="B8" s="416" t="inlineStr">
        <is>
          <t>T24CORE_CUSTOMER</t>
        </is>
      </c>
      <c r="C8" s="416" t="inlineStr">
        <is>
          <t>VN_STREET</t>
        </is>
      </c>
      <c r="D8" s="416" t="inlineStr">
        <is>
          <t>'CURRENT ADDRESS'</t>
        </is>
      </c>
      <c r="E8" s="416" t="inlineStr">
        <is>
          <t>Involved Party Postal Address</t>
        </is>
      </c>
      <c r="F8" s="416" t="inlineStr">
        <is>
          <t>Postal Address Type</t>
        </is>
      </c>
      <c r="G8" s="416" t="inlineStr">
        <is>
          <t>IP_PST_ADR</t>
        </is>
      </c>
      <c r="H8" s="416" t="inlineStr">
        <is>
          <t>PST_ADR_TP</t>
        </is>
      </c>
      <c r="I8" s="482" t="inlineStr">
        <is>
          <t>VARCHAR2</t>
        </is>
      </c>
      <c r="J8" s="482" t="n">
        <v>20</v>
      </c>
      <c r="K8" s="416" t="inlineStr">
        <is>
          <t>Loại địa chỉ bưu chính</t>
        </is>
      </c>
      <c r="L8" s="416" t="n"/>
      <c r="M8" s="416">
        <f>"COMMENT ON COLUMN PG_SILVER."&amp;G8&amp;"."&amp;H8&amp;" IS '"&amp;K8&amp;"';"</f>
        <v/>
      </c>
      <c r="N8" s="416" t="inlineStr">
        <is>
          <t>Hằng số 'CURRENT ADDRESS'</t>
        </is>
      </c>
    </row>
    <row r="9" ht="14.25" customHeight="1" s="335">
      <c r="A9" s="416" t="inlineStr">
        <is>
          <t>PG_BRONZE</t>
        </is>
      </c>
      <c r="B9" s="416" t="inlineStr">
        <is>
          <t>T24CORE_CUSTOMER</t>
        </is>
      </c>
      <c r="C9" s="416" t="inlineStr">
        <is>
          <t>VN_STREET, VN_TOWN, COUNTRY</t>
        </is>
      </c>
      <c r="D9" s="416" t="inlineStr">
        <is>
          <t>c.VN_STREET || ',' || c.VN_TOWN || ',' || c.COUNTRY</t>
        </is>
      </c>
      <c r="E9" s="416" t="inlineStr">
        <is>
          <t>Involved Party Postal Address</t>
        </is>
      </c>
      <c r="F9" s="416" t="inlineStr">
        <is>
          <t>Postal Address Value</t>
        </is>
      </c>
      <c r="G9" s="416" t="inlineStr">
        <is>
          <t>IP_PST_ADR</t>
        </is>
      </c>
      <c r="H9" s="416" t="inlineStr">
        <is>
          <t>PST_ADR_VAL</t>
        </is>
      </c>
      <c r="I9" s="482" t="inlineStr">
        <is>
          <t>VARCHAR2</t>
        </is>
      </c>
      <c r="J9" s="482" t="n">
        <v>100</v>
      </c>
      <c r="K9" s="416" t="inlineStr">
        <is>
          <t>Địa chỉ cư trú hiện tại đầy đủ</t>
        </is>
      </c>
      <c r="L9" s="416" t="n"/>
      <c r="M9" s="416">
        <f>"COMMENT ON COLUMN PG_SILVER."&amp;G9&amp;"."&amp;H9&amp;" IS '"&amp;K9&amp;"';"</f>
        <v/>
      </c>
      <c r="N9" s="416" t="inlineStr">
        <is>
          <t>Ghép đường + tỉnh/thành + quốc gia</t>
        </is>
      </c>
    </row>
    <row r="10" ht="14.25" customHeight="1" s="335">
      <c r="A10" s="416" t="inlineStr">
        <is>
          <t>PG_BRONZE</t>
        </is>
      </c>
      <c r="B10" s="416" t="inlineStr">
        <is>
          <t>T24CORE_CUSTOMER</t>
        </is>
      </c>
      <c r="C10" s="416" t="inlineStr">
        <is>
          <t>COUNTRY</t>
        </is>
      </c>
      <c r="D10" s="416" t="inlineStr">
        <is>
          <t>1:1</t>
        </is>
      </c>
      <c r="E10" s="416" t="inlineStr">
        <is>
          <t>Involved Party Postal Address</t>
        </is>
      </c>
      <c r="F10" s="416" t="inlineStr">
        <is>
          <t>Country Name</t>
        </is>
      </c>
      <c r="G10" s="416" t="inlineStr">
        <is>
          <t>IP_PST_ADR</t>
        </is>
      </c>
      <c r="H10" s="416" t="inlineStr">
        <is>
          <t>CTY_NM</t>
        </is>
      </c>
      <c r="I10" s="482" t="inlineStr">
        <is>
          <t>VARCHAR2</t>
        </is>
      </c>
      <c r="J10" s="482" t="n">
        <v>100</v>
      </c>
      <c r="K10" s="416" t="inlineStr">
        <is>
          <t>Tên quốc gia cư trú hiện tại</t>
        </is>
      </c>
      <c r="L10" s="416" t="n"/>
      <c r="M10" s="416">
        <f>"COMMENT ON COLUMN PG_SILVER."&amp;G10&amp;"."&amp;H10&amp;" IS '"&amp;K10&amp;"';"</f>
        <v/>
      </c>
      <c r="N10" s="416" t="inlineStr">
        <is>
          <t>1:1 từ c.COUNTRY</t>
        </is>
      </c>
    </row>
    <row r="11" ht="14.25" customHeight="1" s="335">
      <c r="A11" s="416" t="inlineStr">
        <is>
          <t>PG_BRONZE</t>
        </is>
      </c>
      <c r="B11" s="416" t="inlineStr">
        <is>
          <t>T24CORE_CUSTOMER</t>
        </is>
      </c>
      <c r="C11" s="416" t="inlineStr">
        <is>
          <t>VN_TOWN</t>
        </is>
      </c>
      <c r="D11" s="416" t="inlineStr">
        <is>
          <t>1:1</t>
        </is>
      </c>
      <c r="E11" s="416" t="inlineStr">
        <is>
          <t>Involved Party Postal Address</t>
        </is>
      </c>
      <c r="F11" s="416" t="inlineStr">
        <is>
          <t>Province Name</t>
        </is>
      </c>
      <c r="G11" s="416" t="inlineStr">
        <is>
          <t>IP_PST_ADR</t>
        </is>
      </c>
      <c r="H11" s="416" t="inlineStr">
        <is>
          <t>PROV_NM</t>
        </is>
      </c>
      <c r="I11" s="482" t="inlineStr">
        <is>
          <t>VARCHAR2</t>
        </is>
      </c>
      <c r="J11" s="482" t="n">
        <v>100</v>
      </c>
      <c r="K11" s="416" t="inlineStr">
        <is>
          <t>Tên tỉnh/thành phố cư trú hiện tại</t>
        </is>
      </c>
      <c r="L11" s="416" t="n"/>
      <c r="M11" s="416">
        <f>"COMMENT ON COLUMN PG_SILVER."&amp;G11&amp;"."&amp;H11&amp;" IS '"&amp;K11&amp;"';"</f>
        <v/>
      </c>
      <c r="N11" s="416" t="inlineStr">
        <is>
          <t>1:1 từ c.VN_TOWN</t>
        </is>
      </c>
    </row>
    <row r="12" ht="14.25" customHeight="1" s="335">
      <c r="A12" s="416" t="inlineStr">
        <is>
          <t>PG_BRONZE</t>
        </is>
      </c>
      <c r="B12" s="416" t="inlineStr">
        <is>
          <t>T24CORE_CUSTOMER</t>
        </is>
      </c>
      <c r="C12" s="416" t="inlineStr">
        <is>
          <t>VN_STREET</t>
        </is>
      </c>
      <c r="D12" s="416" t="inlineStr">
        <is>
          <t>1:1</t>
        </is>
      </c>
      <c r="E12" s="416" t="inlineStr">
        <is>
          <t>Involved Party Postal Address</t>
        </is>
      </c>
      <c r="F12" s="416" t="inlineStr">
        <is>
          <t>Street Name</t>
        </is>
      </c>
      <c r="G12" s="416" t="inlineStr">
        <is>
          <t>IP_PST_ADR</t>
        </is>
      </c>
      <c r="H12" s="416" t="inlineStr">
        <is>
          <t>STR_NM</t>
        </is>
      </c>
      <c r="I12" s="482" t="inlineStr">
        <is>
          <t>VARCHAR2</t>
        </is>
      </c>
      <c r="J12" s="482" t="n">
        <v>100</v>
      </c>
      <c r="K12" s="416" t="inlineStr">
        <is>
          <t>Số nhà, tên đường cư trú hiện tại</t>
        </is>
      </c>
      <c r="L12" s="416" t="n"/>
      <c r="M12" s="416">
        <f>"COMMENT ON COLUMN PG_SILVER."&amp;G12&amp;"."&amp;H12&amp;" IS '"&amp;K12&amp;"';"</f>
        <v/>
      </c>
      <c r="N12" s="416" t="inlineStr">
        <is>
          <t>1:1 từ c.VN_STREET</t>
        </is>
      </c>
    </row>
    <row r="13" ht="14.25" customHeight="1" s="335">
      <c r="A13" s="416" t="inlineStr">
        <is>
          <t>PG_BRONZE</t>
        </is>
      </c>
      <c r="B13" s="416" t="inlineStr">
        <is>
          <t>T24CORE_CUSTOMER</t>
        </is>
      </c>
      <c r="C13" s="416" t="inlineStr">
        <is>
          <t>RECID</t>
        </is>
      </c>
      <c r="D13" s="416" t="inlineStr">
        <is>
          <t>ETL_DATE if not exists (CST_ID, PST_ADR_TP)</t>
        </is>
      </c>
      <c r="E13" s="416" t="inlineStr">
        <is>
          <t>Involved Party Postal Address</t>
        </is>
      </c>
      <c r="F13" s="416" t="inlineStr">
        <is>
          <t>System Effective Date</t>
        </is>
      </c>
      <c r="G13" s="416" t="inlineStr">
        <is>
          <t>IP_PST_ADR</t>
        </is>
      </c>
      <c r="H13" s="416" t="inlineStr">
        <is>
          <t>SYS_EFF_DT</t>
        </is>
      </c>
      <c r="I13" s="482" t="inlineStr">
        <is>
          <t>DATE</t>
        </is>
      </c>
      <c r="J13" s="482" t="n"/>
      <c r="K13" s="416" t="inlineStr">
        <is>
          <t>Ngày hiệu lực bản ghi SCD2</t>
        </is>
      </c>
      <c r="L13" s="416" t="n"/>
      <c r="M13" s="416">
        <f>"COMMENT ON COLUMN PG_SILVER."&amp;G13&amp;"."&amp;H13&amp;" IS '"&amp;K13&amp;"';"</f>
        <v/>
      </c>
      <c r="N13" s="416" t="inlineStr">
        <is>
          <t>Khóa tự nhiên tổ hợp (CST_ID, PST_ADR_TP)</t>
        </is>
      </c>
    </row>
    <row r="14" ht="14.25" customHeight="1" s="335">
      <c r="A14" s="416" t="inlineStr">
        <is>
          <t>PG_BRONZE</t>
        </is>
      </c>
      <c r="B14" s="416" t="inlineStr">
        <is>
          <t>T24CORE_CUSTOMER</t>
        </is>
      </c>
      <c r="C14" s="416" t="inlineStr">
        <is>
          <t>RECID</t>
        </is>
      </c>
      <c r="D14" s="416" t="inlineStr">
        <is>
          <t>ETL_DATE if record was updated/deleted</t>
        </is>
      </c>
      <c r="E14" s="416" t="inlineStr">
        <is>
          <t>Involved Party Postal Address</t>
        </is>
      </c>
      <c r="F14" s="416" t="inlineStr">
        <is>
          <t>System Expiry Date</t>
        </is>
      </c>
      <c r="G14" s="416" t="inlineStr">
        <is>
          <t>IP_PST_ADR</t>
        </is>
      </c>
      <c r="H14" s="416" t="inlineStr">
        <is>
          <t>SYS_EXP_DT</t>
        </is>
      </c>
      <c r="I14" s="482" t="inlineStr">
        <is>
          <t>DATE</t>
        </is>
      </c>
      <c r="J14" s="482" t="n"/>
      <c r="K14" s="416" t="inlineStr">
        <is>
          <t>Ngày hết hiệu lực bản ghi SCD2</t>
        </is>
      </c>
      <c r="L14" s="416" t="n"/>
      <c r="M14" s="416">
        <f>"COMMENT ON COLUMN PG_SILVER."&amp;G14&amp;"."&amp;H14&amp;" IS '"&amp;K14&amp;"';"</f>
        <v/>
      </c>
      <c r="N14" s="416" t="inlineStr">
        <is>
          <t>Đóng bản ghi cũ khi thay đổi địa chỉ</t>
        </is>
      </c>
    </row>
    <row r="15" ht="14.25" customHeight="1" s="335">
      <c r="A15" s="667" t="inlineStr">
        <is>
          <t>PG_BRONZE</t>
        </is>
      </c>
      <c r="B15" s="667" t="inlineStr">
        <is>
          <t>T24CORE_CUSTOMER</t>
        </is>
      </c>
      <c r="C15" s="667" t="inlineStr">
        <is>
          <t>RECID</t>
        </is>
      </c>
      <c r="D15" s="667" t="inlineStr">
        <is>
          <t>ETL_DATE</t>
        </is>
      </c>
      <c r="E15" s="667" t="inlineStr">
        <is>
          <t>Involved Party Postal Address</t>
        </is>
      </c>
      <c r="F15" s="667" t="inlineStr">
        <is>
          <t>System Update Date</t>
        </is>
      </c>
      <c r="G15" s="667" t="inlineStr">
        <is>
          <t>IP_PST_ADR</t>
        </is>
      </c>
      <c r="H15" s="667" t="inlineStr">
        <is>
          <t>SYS_UDT_DT</t>
        </is>
      </c>
      <c r="I15" s="668" t="inlineStr">
        <is>
          <t>DATE</t>
        </is>
      </c>
      <c r="J15" s="668" t="n"/>
      <c r="K15" s="667" t="inlineStr">
        <is>
          <t>Ngày cập nhật bản ghi</t>
        </is>
      </c>
      <c r="L15" s="416" t="n"/>
      <c r="M15" s="416">
        <f>"COMMENT ON COLUMN PG_SILVER."&amp;G15&amp;"."&amp;H15&amp;" IS '"&amp;K15&amp;"';"</f>
        <v/>
      </c>
      <c r="N15" s="416" t="inlineStr">
        <is>
          <t>Gán ${ETL_DATE}</t>
        </is>
      </c>
    </row>
    <row r="16" ht="14.25" customHeight="1" s="335">
      <c r="A16" s="433" t="n"/>
      <c r="B16" s="415" t="n"/>
      <c r="C16" s="433" t="n"/>
      <c r="D16" s="433" t="n"/>
      <c r="E16" s="433" t="n"/>
      <c r="F16" s="433" t="n"/>
      <c r="G16" s="415" t="n"/>
      <c r="H16" s="433" t="n"/>
      <c r="I16" s="415" t="n"/>
      <c r="J16" s="415" t="n"/>
      <c r="K16" s="415" t="n"/>
    </row>
    <row r="17" ht="14.25" customHeight="1" s="335">
      <c r="A17" s="669" t="inlineStr">
        <is>
          <t>UNION ALL</t>
        </is>
      </c>
      <c r="B17" s="415" t="n"/>
      <c r="C17" s="433" t="n"/>
      <c r="D17" s="433" t="n"/>
      <c r="E17" s="433" t="n"/>
      <c r="F17" s="433" t="n"/>
      <c r="G17" s="415" t="n"/>
      <c r="H17" s="433" t="n"/>
      <c r="I17" s="415" t="n"/>
      <c r="J17" s="415" t="n"/>
      <c r="K17" s="415" t="n"/>
    </row>
    <row r="18" ht="14.25" customHeight="1" s="335">
      <c r="A18" s="480" t="inlineStr">
        <is>
          <t>Nguồn</t>
        </is>
      </c>
      <c r="B18" s="480" t="inlineStr">
        <is>
          <t>Bảng nguồn</t>
        </is>
      </c>
      <c r="C18" s="480" t="inlineStr">
        <is>
          <t>Short table</t>
        </is>
      </c>
      <c r="D18" s="480" t="inlineStr">
        <is>
          <t>Business Rule</t>
        </is>
      </c>
      <c r="E18" s="433" t="n"/>
      <c r="F18" s="433" t="n"/>
      <c r="G18" s="415" t="n"/>
      <c r="H18" s="433" t="n"/>
      <c r="I18" s="415" t="n"/>
      <c r="J18" s="415" t="n"/>
      <c r="K18" s="415" t="n"/>
    </row>
    <row r="19" ht="14.25" customHeight="1" s="335">
      <c r="A19" s="370" t="inlineStr">
        <is>
          <t>PG_BRONZE</t>
        </is>
      </c>
      <c r="B19" s="370" t="inlineStr">
        <is>
          <t>T24CORE_CUSTOMER</t>
        </is>
      </c>
      <c r="C19" s="368" t="inlineStr">
        <is>
          <t>c</t>
        </is>
      </c>
      <c r="D19" s="372" t="inlineStr">
        <is>
          <t>WHERE c.ETL_DATE = ${ETL_DATE} -- Nhánh 2: Địa chỉ thường trú / đăng ký (PERMANENT ADDRESS)</t>
        </is>
      </c>
      <c r="E19" s="433" t="n"/>
      <c r="F19" s="433" t="n"/>
      <c r="G19" s="415" t="n"/>
      <c r="H19" s="433" t="n"/>
      <c r="I19" s="415" t="n"/>
      <c r="J19" s="415" t="n"/>
      <c r="K19" s="415" t="n"/>
    </row>
    <row r="20" ht="14.25" customHeight="1" s="335">
      <c r="A20" s="415" t="n"/>
      <c r="B20" s="415" t="n"/>
      <c r="C20" s="466" t="n"/>
      <c r="D20" s="433" t="n"/>
      <c r="E20" s="433" t="n"/>
      <c r="F20" s="415" t="n"/>
      <c r="G20" s="415" t="n"/>
      <c r="H20" s="415" t="n"/>
      <c r="I20" s="415" t="n"/>
      <c r="J20" s="415" t="n"/>
      <c r="K20" s="415" t="n"/>
    </row>
    <row r="21" ht="14.25" customHeight="1" s="335">
      <c r="A21" s="480" t="inlineStr">
        <is>
          <t>Nguồn</t>
        </is>
      </c>
      <c r="B21" s="480" t="inlineStr">
        <is>
          <t>Bảng nguồn</t>
        </is>
      </c>
      <c r="C21" s="480" t="inlineStr">
        <is>
          <t>Cột nguồn</t>
        </is>
      </c>
      <c r="D21" s="480" t="inlineStr">
        <is>
          <t>Transform</t>
        </is>
      </c>
      <c r="E21" s="480" t="inlineStr">
        <is>
          <t>Entity</t>
        </is>
      </c>
      <c r="F21" s="480" t="inlineStr">
        <is>
          <t>Attribute</t>
        </is>
      </c>
      <c r="G21" s="480" t="inlineStr">
        <is>
          <t>Bảng đích</t>
        </is>
      </c>
      <c r="H21" s="480" t="inlineStr">
        <is>
          <t>Cột đích</t>
        </is>
      </c>
      <c r="I21" s="480" t="inlineStr">
        <is>
          <t>Kiểu dữ liệu</t>
        </is>
      </c>
      <c r="J21" s="480" t="inlineStr">
        <is>
          <t>Độ dài</t>
        </is>
      </c>
      <c r="K21" s="480" t="inlineStr">
        <is>
          <t>Diễn giải</t>
        </is>
      </c>
      <c r="L21" s="480" t="inlineStr">
        <is>
          <t>Glossary</t>
        </is>
      </c>
      <c r="M21" s="480" t="inlineStr">
        <is>
          <t>DDL Comment</t>
        </is>
      </c>
      <c r="N21" s="480" t="inlineStr">
        <is>
          <t>Ghi chú kỹ thuật &amp; Business Rule</t>
        </is>
      </c>
    </row>
    <row r="22" ht="14.25" customHeight="1" s="335">
      <c r="A22" s="416" t="inlineStr">
        <is>
          <t>PG_BRONZE</t>
        </is>
      </c>
      <c r="B22" s="416" t="inlineStr">
        <is>
          <t>T24CORE_CUSTOMER</t>
        </is>
      </c>
      <c r="C22" s="416" t="inlineStr">
        <is>
          <t>RECID</t>
        </is>
      </c>
      <c r="D22" s="416" t="inlineStr">
        <is>
          <t>fn_hash("T24_CUSTOMER", c.RECID)</t>
        </is>
      </c>
      <c r="E22" s="416" t="inlineStr">
        <is>
          <t>Involved Party Postal Address</t>
        </is>
      </c>
      <c r="F22" s="416" t="inlineStr">
        <is>
          <t>Customer ID</t>
        </is>
      </c>
      <c r="G22" s="416" t="inlineStr">
        <is>
          <t>IP_PST_ADR</t>
        </is>
      </c>
      <c r="H22" s="416" t="inlineStr">
        <is>
          <t>CST_ID</t>
        </is>
      </c>
      <c r="I22" s="482" t="inlineStr">
        <is>
          <t>CHAR</t>
        </is>
      </c>
      <c r="J22" s="482" t="n">
        <v>32</v>
      </c>
      <c r="K22" s="416" t="inlineStr">
        <is>
          <t>Unique key khách hàng trên DWH</t>
        </is>
      </c>
      <c r="L22" s="416" t="n"/>
      <c r="M22" s="416">
        <f>"COMMENT ON COLUMN PG_SILVER."&amp;G22&amp;"."&amp;H22&amp;" IS '"&amp;K22&amp;"';"</f>
        <v/>
      </c>
      <c r="N22" s="416" t="inlineStr">
        <is>
          <t>Khóa băm khách hàng chuẩn</t>
        </is>
      </c>
    </row>
    <row r="23" ht="14.25" customHeight="1" s="335">
      <c r="A23" s="416" t="inlineStr">
        <is>
          <t>PG_BRONZE</t>
        </is>
      </c>
      <c r="B23" s="416" t="inlineStr">
        <is>
          <t>T24CORE_CUSTOMER</t>
        </is>
      </c>
      <c r="C23" s="416" t="inlineStr">
        <is>
          <t>RECID</t>
        </is>
      </c>
      <c r="D23" s="416" t="inlineStr">
        <is>
          <t>1:1</t>
        </is>
      </c>
      <c r="E23" s="416" t="inlineStr">
        <is>
          <t>Involved Party Postal Address</t>
        </is>
      </c>
      <c r="F23" s="416" t="inlineStr">
        <is>
          <t>Customer Code</t>
        </is>
      </c>
      <c r="G23" s="416" t="inlineStr">
        <is>
          <t>IP_PST_ADR</t>
        </is>
      </c>
      <c r="H23" s="416" t="inlineStr">
        <is>
          <t>CST_CODE</t>
        </is>
      </c>
      <c r="I23" s="482" t="inlineStr">
        <is>
          <t>VARCHAR2</t>
        </is>
      </c>
      <c r="J23" s="482" t="n">
        <v>20</v>
      </c>
      <c r="K23" s="416" t="inlineStr">
        <is>
          <t>Mã khách hàng (CIF)</t>
        </is>
      </c>
      <c r="L23" s="416" t="n"/>
      <c r="M23" s="416">
        <f>"COMMENT ON COLUMN PG_SILVER."&amp;G23&amp;"."&amp;H23&amp;" IS '"&amp;K23&amp;"';"</f>
        <v/>
      </c>
      <c r="N23" s="416" t="inlineStr">
        <is>
          <t>1:1 từ c.RECID</t>
        </is>
      </c>
    </row>
    <row r="24" ht="14.25" customHeight="1" s="335">
      <c r="A24" s="416" t="inlineStr">
        <is>
          <t>PG_BRONZE</t>
        </is>
      </c>
      <c r="B24" s="416" t="inlineStr">
        <is>
          <t>T24CORE_CUSTOMER</t>
        </is>
      </c>
      <c r="C24" s="416" t="inlineStr">
        <is>
          <t>RESID_PROVINCE</t>
        </is>
      </c>
      <c r="D24" s="416" t="inlineStr">
        <is>
          <t>'PERMANENT ADDRESS'</t>
        </is>
      </c>
      <c r="E24" s="416" t="inlineStr">
        <is>
          <t>Involved Party Postal Address</t>
        </is>
      </c>
      <c r="F24" s="416" t="inlineStr">
        <is>
          <t>Postal Address Type</t>
        </is>
      </c>
      <c r="G24" s="416" t="inlineStr">
        <is>
          <t>IP_PST_ADR</t>
        </is>
      </c>
      <c r="H24" s="416" t="inlineStr">
        <is>
          <t>PST_ADR_TP</t>
        </is>
      </c>
      <c r="I24" s="482" t="inlineStr">
        <is>
          <t>VARCHAR2</t>
        </is>
      </c>
      <c r="J24" s="482" t="n">
        <v>20</v>
      </c>
      <c r="K24" s="416" t="inlineStr">
        <is>
          <t>Loại địa chỉ bưu chính</t>
        </is>
      </c>
      <c r="L24" s="416" t="n"/>
      <c r="M24" s="416">
        <f>"COMMENT ON COLUMN PG_SILVER."&amp;G24&amp;"."&amp;H24&amp;" IS '"&amp;K24&amp;"';"</f>
        <v/>
      </c>
      <c r="N24" s="416" t="inlineStr">
        <is>
          <t>Hằng số 'PERMANENT ADDRESS'</t>
        </is>
      </c>
    </row>
    <row r="25" ht="14.25" customHeight="1" s="335">
      <c r="A25" s="416" t="inlineStr">
        <is>
          <t>PG_BRONZE</t>
        </is>
      </c>
      <c r="B25" s="416" t="inlineStr">
        <is>
          <t>T24CORE_CUSTOMER</t>
        </is>
      </c>
      <c r="C25" s="416" t="inlineStr">
        <is>
          <t>RESID_PROVINCE, RESIDENCE</t>
        </is>
      </c>
      <c r="D25" s="416" t="inlineStr">
        <is>
          <t>c.RESID_PROVINCE || ',' || c.RESIDENCE</t>
        </is>
      </c>
      <c r="E25" s="416" t="inlineStr">
        <is>
          <t>Involved Party Postal Address</t>
        </is>
      </c>
      <c r="F25" s="416" t="inlineStr">
        <is>
          <t>Postal Address Value</t>
        </is>
      </c>
      <c r="G25" s="416" t="inlineStr">
        <is>
          <t>IP_PST_ADR</t>
        </is>
      </c>
      <c r="H25" s="416" t="inlineStr">
        <is>
          <t>PST_ADR_VAL</t>
        </is>
      </c>
      <c r="I25" s="482" t="inlineStr">
        <is>
          <t>VARCHAR2</t>
        </is>
      </c>
      <c r="J25" s="482" t="n">
        <v>100</v>
      </c>
      <c r="K25" s="416" t="inlineStr">
        <is>
          <t>Địa chỉ thường trú đầy đủ</t>
        </is>
      </c>
      <c r="L25" s="416" t="n"/>
      <c r="M25" s="416">
        <f>"COMMENT ON COLUMN PG_SILVER."&amp;G25&amp;"."&amp;H25&amp;" IS '"&amp;K25&amp;"';"</f>
        <v/>
      </c>
      <c r="N25" s="416" t="inlineStr">
        <is>
          <t>Ghép tỉnh thường trú + quốc gia thường trú</t>
        </is>
      </c>
    </row>
    <row r="26" ht="14.25" customHeight="1" s="335">
      <c r="A26" s="416" t="inlineStr">
        <is>
          <t>PG_BRONZE</t>
        </is>
      </c>
      <c r="B26" s="416" t="inlineStr">
        <is>
          <t>T24CORE_CUSTOMER</t>
        </is>
      </c>
      <c r="C26" s="416" t="inlineStr">
        <is>
          <t>RESIDENCE</t>
        </is>
      </c>
      <c r="D26" s="416" t="inlineStr">
        <is>
          <t>1:1</t>
        </is>
      </c>
      <c r="E26" s="416" t="inlineStr">
        <is>
          <t>Involved Party Postal Address</t>
        </is>
      </c>
      <c r="F26" s="416" t="inlineStr">
        <is>
          <t>Country Name</t>
        </is>
      </c>
      <c r="G26" s="416" t="inlineStr">
        <is>
          <t>IP_PST_ADR</t>
        </is>
      </c>
      <c r="H26" s="416" t="inlineStr">
        <is>
          <t>CTY_NM</t>
        </is>
      </c>
      <c r="I26" s="482" t="inlineStr">
        <is>
          <t>VARCHAR2</t>
        </is>
      </c>
      <c r="J26" s="482" t="n">
        <v>100</v>
      </c>
      <c r="K26" s="416" t="inlineStr">
        <is>
          <t>Tên quốc gia thường trú</t>
        </is>
      </c>
      <c r="L26" s="416" t="n"/>
      <c r="M26" s="416">
        <f>"COMMENT ON COLUMN PG_SILVER."&amp;G26&amp;"."&amp;H26&amp;" IS '"&amp;K26&amp;"';"</f>
        <v/>
      </c>
      <c r="N26" s="416" t="inlineStr">
        <is>
          <t>1:1 từ c.RESIDENCE</t>
        </is>
      </c>
    </row>
    <row r="27" ht="14.25" customHeight="1" s="335">
      <c r="A27" s="416" t="inlineStr">
        <is>
          <t>PG_BRONZE</t>
        </is>
      </c>
      <c r="B27" s="416" t="inlineStr">
        <is>
          <t>T24CORE_CUSTOMER</t>
        </is>
      </c>
      <c r="C27" s="416" t="inlineStr">
        <is>
          <t>RESID_PROVINCE</t>
        </is>
      </c>
      <c r="D27" s="416" t="inlineStr">
        <is>
          <t>1:1</t>
        </is>
      </c>
      <c r="E27" s="416" t="inlineStr">
        <is>
          <t>Involved Party Postal Address</t>
        </is>
      </c>
      <c r="F27" s="416" t="inlineStr">
        <is>
          <t>Province Name</t>
        </is>
      </c>
      <c r="G27" s="416" t="inlineStr">
        <is>
          <t>IP_PST_ADR</t>
        </is>
      </c>
      <c r="H27" s="416" t="inlineStr">
        <is>
          <t>PROV_NM</t>
        </is>
      </c>
      <c r="I27" s="482" t="inlineStr">
        <is>
          <t>VARCHAR2</t>
        </is>
      </c>
      <c r="J27" s="482" t="n">
        <v>100</v>
      </c>
      <c r="K27" s="416" t="inlineStr">
        <is>
          <t>Tên tỉnh/thành phố thường trú</t>
        </is>
      </c>
      <c r="L27" s="416" t="n"/>
      <c r="M27" s="416">
        <f>"COMMENT ON COLUMN PG_SILVER."&amp;G27&amp;"."&amp;H27&amp;" IS '"&amp;K27&amp;"';"</f>
        <v/>
      </c>
      <c r="N27" s="416" t="inlineStr">
        <is>
          <t>1:1 từ c.RESID_PROVINCE</t>
        </is>
      </c>
    </row>
    <row r="28" ht="14.25" customHeight="1" s="335">
      <c r="A28" s="416" t="inlineStr">
        <is>
          <t>PG_BRONZE</t>
        </is>
      </c>
      <c r="B28" s="416" t="inlineStr">
        <is>
          <t>T24CORE_CUSTOMER</t>
        </is>
      </c>
      <c r="C28" s="416" t="inlineStr">
        <is>
          <t>STREET</t>
        </is>
      </c>
      <c r="D28" s="416" t="inlineStr">
        <is>
          <t>1:1</t>
        </is>
      </c>
      <c r="E28" s="416" t="inlineStr">
        <is>
          <t>Involved Party Postal Address</t>
        </is>
      </c>
      <c r="F28" s="416" t="inlineStr">
        <is>
          <t>Street Name</t>
        </is>
      </c>
      <c r="G28" s="416" t="inlineStr">
        <is>
          <t>IP_PST_ADR</t>
        </is>
      </c>
      <c r="H28" s="416" t="inlineStr">
        <is>
          <t>STR_NM</t>
        </is>
      </c>
      <c r="I28" s="482" t="inlineStr">
        <is>
          <t>VARCHAR2</t>
        </is>
      </c>
      <c r="J28" s="482" t="n">
        <v>100</v>
      </c>
      <c r="K28" s="416" t="inlineStr">
        <is>
          <t>Số nhà, tên đường thường trú</t>
        </is>
      </c>
      <c r="L28" s="416" t="n"/>
      <c r="M28" s="416">
        <f>"COMMENT ON COLUMN PG_SILVER."&amp;G28&amp;"."&amp;H28&amp;" IS '"&amp;K28&amp;"';"</f>
        <v/>
      </c>
      <c r="N28" s="416" t="inlineStr">
        <is>
          <t>1:1 từ c.STREET</t>
        </is>
      </c>
    </row>
    <row r="29" ht="14.25" customHeight="1" s="335">
      <c r="A29" s="416" t="inlineStr">
        <is>
          <t>PG_BRONZE</t>
        </is>
      </c>
      <c r="B29" s="416" t="inlineStr">
        <is>
          <t>T24CORE_CUSTOMER</t>
        </is>
      </c>
      <c r="C29" s="416" t="inlineStr">
        <is>
          <t>RECID</t>
        </is>
      </c>
      <c r="D29" s="416" t="inlineStr">
        <is>
          <t>ETL_DATE if not exists (CST_ID, PST_ADR_TP)</t>
        </is>
      </c>
      <c r="E29" s="416" t="inlineStr">
        <is>
          <t>Involved Party Postal Address</t>
        </is>
      </c>
      <c r="F29" s="416" t="inlineStr">
        <is>
          <t>System Effective Date</t>
        </is>
      </c>
      <c r="G29" s="416" t="inlineStr">
        <is>
          <t>IP_PST_ADR</t>
        </is>
      </c>
      <c r="H29" s="416" t="inlineStr">
        <is>
          <t>SYS_EFF_DT</t>
        </is>
      </c>
      <c r="I29" s="482" t="inlineStr">
        <is>
          <t>DATE</t>
        </is>
      </c>
      <c r="J29" s="482" t="n"/>
      <c r="K29" s="416" t="inlineStr">
        <is>
          <t>Ngày hiệu lực bản ghi SCD2</t>
        </is>
      </c>
      <c r="L29" s="416" t="n"/>
      <c r="M29" s="416">
        <f>"COMMENT ON COLUMN PG_SILVER."&amp;G29&amp;"."&amp;H29&amp;" IS '"&amp;K29&amp;"';"</f>
        <v/>
      </c>
      <c r="N29" s="416" t="inlineStr">
        <is>
          <t>Khóa tự nhiên tổ hợp (CST_ID, PST_ADR_TP)</t>
        </is>
      </c>
    </row>
    <row r="30" ht="14.25" customHeight="1" s="335">
      <c r="A30" s="416" t="inlineStr">
        <is>
          <t>PG_BRONZE</t>
        </is>
      </c>
      <c r="B30" s="416" t="inlineStr">
        <is>
          <t>T24CORE_CUSTOMER</t>
        </is>
      </c>
      <c r="C30" s="416" t="inlineStr">
        <is>
          <t>RECID</t>
        </is>
      </c>
      <c r="D30" s="416" t="inlineStr">
        <is>
          <t>ETL_DATE if record was updated/deleted</t>
        </is>
      </c>
      <c r="E30" s="416" t="inlineStr">
        <is>
          <t>Involved Party Postal Address</t>
        </is>
      </c>
      <c r="F30" s="416" t="inlineStr">
        <is>
          <t>System Expiry Date</t>
        </is>
      </c>
      <c r="G30" s="416" t="inlineStr">
        <is>
          <t>IP_PST_ADR</t>
        </is>
      </c>
      <c r="H30" s="416" t="inlineStr">
        <is>
          <t>SYS_EXP_DT</t>
        </is>
      </c>
      <c r="I30" s="482" t="inlineStr">
        <is>
          <t>DATE</t>
        </is>
      </c>
      <c r="J30" s="482" t="n"/>
      <c r="K30" s="416" t="inlineStr">
        <is>
          <t>Ngày hết hiệu lực bản ghi SCD2</t>
        </is>
      </c>
      <c r="L30" s="416" t="n"/>
      <c r="M30" s="416">
        <f>"COMMENT ON COLUMN PG_SILVER."&amp;G30&amp;"."&amp;H30&amp;" IS '"&amp;K30&amp;"';"</f>
        <v/>
      </c>
      <c r="N30" s="416" t="inlineStr">
        <is>
          <t>Đóng bản ghi cũ khi thay đổi địa chỉ</t>
        </is>
      </c>
    </row>
    <row r="31" ht="14.25" customHeight="1" s="335">
      <c r="A31" s="416" t="inlineStr">
        <is>
          <t>PG_BRONZE</t>
        </is>
      </c>
      <c r="B31" s="416" t="inlineStr">
        <is>
          <t>T24CORE_CUSTOMER</t>
        </is>
      </c>
      <c r="C31" s="416" t="inlineStr">
        <is>
          <t>RECID</t>
        </is>
      </c>
      <c r="D31" s="416" t="inlineStr">
        <is>
          <t>ETL_DATE</t>
        </is>
      </c>
      <c r="E31" s="416" t="inlineStr">
        <is>
          <t>Involved Party Postal Address</t>
        </is>
      </c>
      <c r="F31" s="416" t="inlineStr">
        <is>
          <t>System Update Date</t>
        </is>
      </c>
      <c r="G31" s="416" t="inlineStr">
        <is>
          <t>IP_PST_ADR</t>
        </is>
      </c>
      <c r="H31" s="416" t="inlineStr">
        <is>
          <t>SYS_UDT_DT</t>
        </is>
      </c>
      <c r="I31" s="482" t="inlineStr">
        <is>
          <t>DATE</t>
        </is>
      </c>
      <c r="J31" s="482" t="n"/>
      <c r="K31" s="416" t="inlineStr">
        <is>
          <t>Ngày cập nhật bản ghi</t>
        </is>
      </c>
      <c r="L31" s="416" t="n"/>
      <c r="M31" s="416">
        <f>"COMMENT ON COLUMN PG_SILVER."&amp;G31&amp;"."&amp;H31&amp;" IS '"&amp;K31&amp;"';"</f>
        <v/>
      </c>
      <c r="N31" s="416" t="inlineStr">
        <is>
          <t>Gán ${ETL_DATE}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N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27.11" customWidth="1" style="334" min="3" max="3"/>
    <col width="30.44" customWidth="1" style="334" min="4" max="4"/>
    <col width="34.66" customWidth="1" style="334" min="5" max="5"/>
    <col width="29.44" customWidth="1" style="334" min="6" max="6"/>
    <col width="16.67" customWidth="1" style="334" min="7" max="7"/>
    <col width="18.88" customWidth="1" style="334" min="8" max="8"/>
    <col width="6.67" customWidth="1" style="334" min="10" max="10"/>
    <col width="40.44" customWidth="1" style="334" min="11" max="11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15" t="inlineStr">
        <is>
          <t>PG_BRONZE</t>
        </is>
      </c>
      <c r="B3" s="415" t="inlineStr">
        <is>
          <t>T24CORE_CUSTOMER</t>
        </is>
      </c>
      <c r="C3" s="433" t="inlineStr">
        <is>
          <t>c</t>
        </is>
      </c>
      <c r="D3" s="433" t="inlineStr">
        <is>
          <t>WHERE c.KHOI LIKE '%INDIV%'</t>
        </is>
      </c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500" t="n"/>
      <c r="B4" s="500" t="n"/>
      <c r="C4" s="500" t="n"/>
      <c r="D4" s="500" t="n"/>
      <c r="E4" s="500" t="n"/>
      <c r="F4" s="500" t="n"/>
      <c r="G4" s="500" t="n"/>
      <c r="H4" s="500" t="n"/>
      <c r="I4" s="500" t="n"/>
      <c r="J4" s="500" t="n"/>
      <c r="K4" s="500" t="n"/>
    </row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32" t="inlineStr">
        <is>
          <t>Ghi chú kỹ thuật &amp; Business Rule</t>
        </is>
      </c>
    </row>
    <row r="6" ht="14.25" customHeight="1" s="335">
      <c r="A6" s="433" t="inlineStr">
        <is>
          <t>PG_BRONZE</t>
        </is>
      </c>
      <c r="B6" s="415" t="inlineStr">
        <is>
          <t>T24CORE_CUSTOMER</t>
        </is>
      </c>
      <c r="C6" s="433" t="inlineStr">
        <is>
          <t>RECID</t>
        </is>
      </c>
      <c r="D6" s="433" t="inlineStr">
        <is>
          <t>fn_hash("T24_CUSTOMER", c.RECID)</t>
        </is>
      </c>
      <c r="E6" s="433" t="inlineStr">
        <is>
          <t>Individual Profile</t>
        </is>
      </c>
      <c r="F6" s="433" t="inlineStr">
        <is>
          <t>Customer ID</t>
        </is>
      </c>
      <c r="G6" s="433" t="inlineStr">
        <is>
          <t>IDV_PRFL</t>
        </is>
      </c>
      <c r="H6" s="433" t="inlineStr">
        <is>
          <t>CST_ID</t>
        </is>
      </c>
      <c r="I6" s="415" t="inlineStr">
        <is>
          <t>CHAR</t>
        </is>
      </c>
      <c r="J6" s="415" t="n">
        <v>32</v>
      </c>
      <c r="K6" s="415" t="inlineStr">
        <is>
          <t>Unique key trên DWH</t>
        </is>
      </c>
      <c r="M6" s="334">
        <f>"COMMENT ON COLUMN PG_SILVER."&amp;G6&amp;"."&amp;H6&amp;" IS '"&amp;K6&amp;"';"</f>
        <v/>
      </c>
    </row>
    <row r="7" ht="14.25" customHeight="1" s="335">
      <c r="A7" s="433" t="inlineStr">
        <is>
          <t>PG_BRONZE</t>
        </is>
      </c>
      <c r="B7" s="415" t="inlineStr">
        <is>
          <t>T24CORE_CUSTOMER</t>
        </is>
      </c>
      <c r="C7" s="433" t="inlineStr">
        <is>
          <t>RECID</t>
        </is>
      </c>
      <c r="D7" s="433" t="inlineStr">
        <is>
          <t>1:1</t>
        </is>
      </c>
      <c r="E7" s="433" t="inlineStr">
        <is>
          <t>Individual Profile</t>
        </is>
      </c>
      <c r="F7" s="433" t="inlineStr">
        <is>
          <t>Customer Code</t>
        </is>
      </c>
      <c r="G7" s="433" t="inlineStr">
        <is>
          <t>IDV_PRFL</t>
        </is>
      </c>
      <c r="H7" s="433" t="inlineStr">
        <is>
          <t>CST_CODE</t>
        </is>
      </c>
      <c r="I7" s="415" t="inlineStr">
        <is>
          <t>VARCHAR2</t>
        </is>
      </c>
      <c r="J7" s="415" t="n">
        <v>20</v>
      </c>
      <c r="K7" s="415" t="inlineStr">
        <is>
          <t>Mã CIF</t>
        </is>
      </c>
      <c r="M7" s="334">
        <f>"COMMENT ON COLUMN PG_SILVER."&amp;G7&amp;"."&amp;H7&amp;" IS '"&amp;K7&amp;"';"</f>
        <v/>
      </c>
    </row>
    <row r="8" ht="14.25" customHeight="1" s="335">
      <c r="A8" s="415" t="inlineStr">
        <is>
          <t>PG_BRONZE</t>
        </is>
      </c>
      <c r="B8" s="415" t="inlineStr">
        <is>
          <t>T24CORE_CUSTOMER</t>
        </is>
      </c>
      <c r="C8" s="466" t="inlineStr">
        <is>
          <t>ACTIVE_STATUS</t>
        </is>
      </c>
      <c r="D8" s="433" t="inlineStr">
        <is>
          <t>1:1</t>
        </is>
      </c>
      <c r="E8" s="433" t="inlineStr">
        <is>
          <t>Individual Profile</t>
        </is>
      </c>
      <c r="F8" s="433" t="inlineStr">
        <is>
          <t>Customer Life Cycle Status Code</t>
        </is>
      </c>
      <c r="G8" s="433" t="inlineStr">
        <is>
          <t>IDV_PRFL</t>
        </is>
      </c>
      <c r="H8" s="334" t="inlineStr">
        <is>
          <t>CST_LCS_CODE</t>
        </is>
      </c>
      <c r="I8" s="415" t="inlineStr">
        <is>
          <t>VARCHAR2</t>
        </is>
      </c>
      <c r="J8" s="415" t="n">
        <v>20</v>
      </c>
      <c r="K8" s="466" t="inlineStr">
        <is>
          <t>Trạng thái bản ghi</t>
        </is>
      </c>
      <c r="M8" s="334">
        <f>"COMMENT ON COLUMN PG_SILVER."&amp;G8&amp;"."&amp;H8&amp;" IS '"&amp;K8&amp;"';"</f>
        <v/>
      </c>
    </row>
    <row r="9" ht="14.25" customHeight="1" s="335">
      <c r="A9" s="415" t="inlineStr">
        <is>
          <t>PG_BRONZE</t>
        </is>
      </c>
      <c r="B9" s="415" t="inlineStr">
        <is>
          <t>T24CORE_CUSTOMER</t>
        </is>
      </c>
      <c r="C9" s="466" t="inlineStr">
        <is>
          <t>AML_CHECK</t>
        </is>
      </c>
      <c r="D9" s="433" t="inlineStr">
        <is>
          <t>1:1</t>
        </is>
      </c>
      <c r="E9" s="433" t="inlineStr">
        <is>
          <t>Individual Profile</t>
        </is>
      </c>
      <c r="F9" s="433" t="inlineStr">
        <is>
          <t>AML Check Flag</t>
        </is>
      </c>
      <c r="G9" s="433" t="inlineStr">
        <is>
          <t>IDV_PRFL</t>
        </is>
      </c>
      <c r="H9" s="433" t="inlineStr">
        <is>
          <t>AML_CHK_F</t>
        </is>
      </c>
      <c r="I9" s="415" t="inlineStr">
        <is>
          <t>VARCHAR2</t>
        </is>
      </c>
      <c r="J9" s="415" t="n">
        <v>20</v>
      </c>
      <c r="K9" s="466" t="inlineStr">
        <is>
          <t>Liên quan tới hệ thống Phòng Chống rửa tiền</t>
        </is>
      </c>
      <c r="M9" s="334">
        <f>"COMMENT ON COLUMN PG_SILVER."&amp;G9&amp;"."&amp;H9&amp;" IS '"&amp;K9&amp;"';"</f>
        <v/>
      </c>
    </row>
    <row r="10" ht="14.25" customHeight="1" s="335">
      <c r="A10" s="415" t="inlineStr">
        <is>
          <t>PG_BRONZE</t>
        </is>
      </c>
      <c r="B10" s="415" t="inlineStr">
        <is>
          <t>T24CORE_CUSTOMER</t>
        </is>
      </c>
      <c r="C10" s="466" t="inlineStr">
        <is>
          <t>AML_RESULT</t>
        </is>
      </c>
      <c r="D10" s="433" t="inlineStr">
        <is>
          <t>1:1</t>
        </is>
      </c>
      <c r="E10" s="433" t="inlineStr">
        <is>
          <t>Individual Profile</t>
        </is>
      </c>
      <c r="F10" s="433" t="inlineStr">
        <is>
          <t>AML Result</t>
        </is>
      </c>
      <c r="G10" s="433" t="inlineStr">
        <is>
          <t>IDV_PRFL</t>
        </is>
      </c>
      <c r="H10" s="433" t="inlineStr">
        <is>
          <t>AML_RSLT</t>
        </is>
      </c>
      <c r="I10" s="415" t="inlineStr">
        <is>
          <t>VARCHAR2</t>
        </is>
      </c>
      <c r="J10" s="415" t="n">
        <v>100</v>
      </c>
      <c r="K10" s="466" t="inlineStr">
        <is>
          <t>Liên quan tới hệ thống Phòng Chống rửa tiền</t>
        </is>
      </c>
      <c r="M10" s="334">
        <f>"COMMENT ON COLUMN PG_SILVER."&amp;G10&amp;"."&amp;H10&amp;" IS '"&amp;K10&amp;"';"</f>
        <v/>
      </c>
    </row>
    <row r="11" ht="14.25" customHeight="1" s="335">
      <c r="A11" s="415" t="inlineStr">
        <is>
          <t>PG_BRONZE</t>
        </is>
      </c>
      <c r="B11" s="415" t="inlineStr">
        <is>
          <t>T24CORE_CUSTOMER</t>
        </is>
      </c>
      <c r="C11" s="433" t="inlineStr">
        <is>
          <t>ASSET_CLASS</t>
        </is>
      </c>
      <c r="D11" s="433" t="inlineStr">
        <is>
          <t>1:1</t>
        </is>
      </c>
      <c r="E11" s="433" t="inlineStr">
        <is>
          <t>Individual Profile</t>
        </is>
      </c>
      <c r="F11" s="433" t="inlineStr">
        <is>
          <t>Customer Financial Status Code</t>
        </is>
      </c>
      <c r="G11" s="433" t="inlineStr">
        <is>
          <t>IDV_PRFL</t>
        </is>
      </c>
      <c r="H11" s="433" t="inlineStr">
        <is>
          <t>CST_FNC_ST_CODE</t>
        </is>
      </c>
      <c r="I11" s="415" t="inlineStr">
        <is>
          <t>VARCHAR2</t>
        </is>
      </c>
      <c r="J11" s="415" t="n">
        <v>20</v>
      </c>
      <c r="K11" s="466" t="inlineStr">
        <is>
          <t>Nhóm nợ khách hàng Core tính</t>
        </is>
      </c>
      <c r="M11" s="334">
        <f>"COMMENT ON COLUMN PG_SILVER."&amp;G11&amp;"."&amp;H11&amp;" IS '"&amp;K11&amp;"';"</f>
        <v/>
      </c>
    </row>
    <row r="12" ht="14.25" customHeight="1" s="335">
      <c r="A12" s="415" t="inlineStr">
        <is>
          <t>PG_BRONZE</t>
        </is>
      </c>
      <c r="B12" s="415" t="inlineStr">
        <is>
          <t>T24CORE_CUSTOMER</t>
        </is>
      </c>
      <c r="C12" s="466" t="inlineStr">
        <is>
          <t>CO_CODE</t>
        </is>
      </c>
      <c r="D12" s="433" t="inlineStr">
        <is>
          <t>1:1</t>
        </is>
      </c>
      <c r="E12" s="433" t="inlineStr">
        <is>
          <t>Individual Profile</t>
        </is>
      </c>
      <c r="F12" s="433" t="inlineStr">
        <is>
          <t>Organization Unit Code</t>
        </is>
      </c>
      <c r="G12" s="433" t="inlineStr">
        <is>
          <t>IDV_PRFL</t>
        </is>
      </c>
      <c r="H12" s="433" t="inlineStr">
        <is>
          <t>OU_CODE</t>
        </is>
      </c>
      <c r="I12" s="415" t="inlineStr">
        <is>
          <t>VARCHAR2</t>
        </is>
      </c>
      <c r="J12" s="415" t="n">
        <v>20</v>
      </c>
      <c r="K12" s="466" t="inlineStr">
        <is>
          <t>Mã chi nhánh quản lý khách hàng</t>
        </is>
      </c>
      <c r="M12" s="334">
        <f>"COMMENT ON COLUMN PG_SILVER."&amp;G12&amp;"."&amp;H12&amp;" IS '"&amp;K12&amp;"';"</f>
        <v/>
      </c>
    </row>
    <row r="13" ht="14.25" customHeight="1" s="335">
      <c r="A13" s="415" t="inlineStr">
        <is>
          <t>PG_BRONZE</t>
        </is>
      </c>
      <c r="B13" s="415" t="inlineStr">
        <is>
          <t>T24CORE_CUSTOMER</t>
        </is>
      </c>
      <c r="C13" s="466" t="inlineStr">
        <is>
          <t>CUSTOMER_STATUS</t>
        </is>
      </c>
      <c r="D13" s="433" t="inlineStr">
        <is>
          <t>1:1</t>
        </is>
      </c>
      <c r="E13" s="433" t="inlineStr">
        <is>
          <t>Individual Profile</t>
        </is>
      </c>
      <c r="F13" s="433" t="inlineStr">
        <is>
          <t>Customer Status Code</t>
        </is>
      </c>
      <c r="G13" s="433" t="inlineStr">
        <is>
          <t>IDV_PRFL</t>
        </is>
      </c>
      <c r="H13" s="433" t="inlineStr">
        <is>
          <t>CST_ST_CODE</t>
        </is>
      </c>
      <c r="I13" s="415" t="inlineStr">
        <is>
          <t>VARCHAR2</t>
        </is>
      </c>
      <c r="J13" s="415" t="n">
        <v>20</v>
      </c>
      <c r="K13" s="466" t="inlineStr">
        <is>
          <t>Trạng thái hiện tại của khách hàng</t>
        </is>
      </c>
      <c r="M13" s="334">
        <f>"COMMENT ON COLUMN PG_SILVER."&amp;G13&amp;"."&amp;H13&amp;" IS '"&amp;K13&amp;"';"</f>
        <v/>
      </c>
    </row>
    <row r="14" ht="14.25" customHeight="1" s="335">
      <c r="A14" s="415" t="inlineStr">
        <is>
          <t>PG_BRONZE</t>
        </is>
      </c>
      <c r="B14" s="415" t="inlineStr">
        <is>
          <t>T24CORE_CUSTOMER</t>
        </is>
      </c>
      <c r="C14" s="466" t="inlineStr">
        <is>
          <t>INTERNET_BANKING_SERVICE</t>
        </is>
      </c>
      <c r="D14" s="433" t="inlineStr">
        <is>
          <t>1:1</t>
        </is>
      </c>
      <c r="E14" s="433" t="inlineStr">
        <is>
          <t>Individual Profile</t>
        </is>
      </c>
      <c r="F14" s="433" t="inlineStr">
        <is>
          <t>Internet Banking Flag</t>
        </is>
      </c>
      <c r="G14" s="433" t="inlineStr">
        <is>
          <t>IDV_PRFL</t>
        </is>
      </c>
      <c r="H14" s="433" t="inlineStr">
        <is>
          <t>INN_BNKG_F</t>
        </is>
      </c>
      <c r="I14" s="415" t="inlineStr">
        <is>
          <t>VARCHAR2</t>
        </is>
      </c>
      <c r="J14" s="415" t="n">
        <v>20</v>
      </c>
      <c r="K14" s="466" t="inlineStr">
        <is>
          <t>Dịch vụ Internet banking khách hàng giao tiếp</t>
        </is>
      </c>
      <c r="M14" s="334">
        <f>"COMMENT ON COLUMN PG_SILVER."&amp;G14&amp;"."&amp;H14&amp;" IS '"&amp;K14&amp;"';"</f>
        <v/>
      </c>
    </row>
    <row r="15" ht="14.25" customHeight="1" s="335">
      <c r="A15" s="415" t="inlineStr">
        <is>
          <t>PG_BRONZE</t>
        </is>
      </c>
      <c r="B15" s="415" t="inlineStr">
        <is>
          <t>T24CORE_CUSTOMER</t>
        </is>
      </c>
      <c r="C15" s="466" t="inlineStr">
        <is>
          <t>KYC_CHANNEL</t>
        </is>
      </c>
      <c r="D15" s="433" t="inlineStr">
        <is>
          <t>1:1</t>
        </is>
      </c>
      <c r="E15" s="433" t="inlineStr">
        <is>
          <t>Individual Profile</t>
        </is>
      </c>
      <c r="F15" s="433" t="inlineStr">
        <is>
          <t>KYC Channel Code</t>
        </is>
      </c>
      <c r="G15" s="433" t="inlineStr">
        <is>
          <t>IDV_PRFL</t>
        </is>
      </c>
      <c r="H15" s="433" t="inlineStr">
        <is>
          <t>KYC_CNL_CODE</t>
        </is>
      </c>
      <c r="I15" s="415" t="inlineStr">
        <is>
          <t>VARCHAR2</t>
        </is>
      </c>
      <c r="J15" s="415" t="n">
        <v>20</v>
      </c>
      <c r="K15" s="466" t="inlineStr">
        <is>
          <t>Kênh thực hiện KYC</t>
        </is>
      </c>
      <c r="M15" s="334">
        <f>"COMMENT ON COLUMN PG_SILVER."&amp;G15&amp;"."&amp;H15&amp;" IS '"&amp;K15&amp;"';"</f>
        <v/>
      </c>
    </row>
    <row r="16" ht="14.25" customHeight="1" s="335">
      <c r="A16" s="415" t="inlineStr">
        <is>
          <t>PG_BRONZE</t>
        </is>
      </c>
      <c r="B16" s="415" t="inlineStr">
        <is>
          <t>T24CORE_CUSTOMER</t>
        </is>
      </c>
      <c r="C16" s="466" t="inlineStr">
        <is>
          <t>MA_BHXH</t>
        </is>
      </c>
      <c r="D16" s="433" t="inlineStr">
        <is>
          <t>1:1</t>
        </is>
      </c>
      <c r="E16" s="433" t="inlineStr">
        <is>
          <t>Individual Profile</t>
        </is>
      </c>
      <c r="F16" s="433" t="inlineStr">
        <is>
          <t>VSS Code</t>
        </is>
      </c>
      <c r="G16" s="433" t="inlineStr">
        <is>
          <t>IDV_PRFL</t>
        </is>
      </c>
      <c r="H16" s="433" t="inlineStr">
        <is>
          <t>VSS_CODE</t>
        </is>
      </c>
      <c r="I16" s="415" t="inlineStr">
        <is>
          <t>VARCHAR2</t>
        </is>
      </c>
      <c r="J16" s="415" t="n">
        <v>40</v>
      </c>
      <c r="K16" s="466" t="inlineStr">
        <is>
          <t>Mã bảo hiểm xã hội</t>
        </is>
      </c>
      <c r="M16" s="334">
        <f>"COMMENT ON COLUMN PG_SILVER."&amp;G16&amp;"."&amp;H16&amp;" IS '"&amp;K16&amp;"';"</f>
        <v/>
      </c>
    </row>
    <row r="17" ht="14.25" customHeight="1" s="335">
      <c r="A17" s="415" t="inlineStr">
        <is>
          <t>PG_BRONZE</t>
        </is>
      </c>
      <c r="B17" s="415" t="inlineStr">
        <is>
          <t>T24CORE_CUSTOMER</t>
        </is>
      </c>
      <c r="C17" s="466" t="inlineStr">
        <is>
          <t>MOBILE_BANKING_SERVICE</t>
        </is>
      </c>
      <c r="D17" s="433" t="inlineStr">
        <is>
          <t>1:1</t>
        </is>
      </c>
      <c r="E17" s="433" t="inlineStr">
        <is>
          <t>Individual Profile</t>
        </is>
      </c>
      <c r="F17" s="433" t="inlineStr">
        <is>
          <t>Mobile Banking Flag</t>
        </is>
      </c>
      <c r="G17" s="433" t="inlineStr">
        <is>
          <t>IDV_PRFL</t>
        </is>
      </c>
      <c r="H17" s="433" t="inlineStr">
        <is>
          <t>MBL_BNKG_F</t>
        </is>
      </c>
      <c r="I17" s="415" t="inlineStr">
        <is>
          <t>VARCHAR2</t>
        </is>
      </c>
      <c r="J17" s="415" t="n">
        <v>20</v>
      </c>
      <c r="K17" s="466" t="inlineStr">
        <is>
          <t>Dịch vụ sử dụng sản phẩm mobile banking</t>
        </is>
      </c>
      <c r="M17" s="334">
        <f>"COMMENT ON COLUMN PG_SILVER."&amp;G17&amp;"."&amp;H17&amp;" IS '"&amp;K17&amp;"';"</f>
        <v/>
      </c>
    </row>
    <row r="18" ht="14.25" customHeight="1" s="335">
      <c r="A18" s="415" t="inlineStr">
        <is>
          <t>PG_BRONZE</t>
        </is>
      </c>
      <c r="B18" s="415" t="inlineStr">
        <is>
          <t>T24CORE_CUSTOMER</t>
        </is>
      </c>
      <c r="C18" s="466" t="inlineStr">
        <is>
          <t>NATIONALITY</t>
        </is>
      </c>
      <c r="D18" s="433" t="inlineStr">
        <is>
          <t>1:1</t>
        </is>
      </c>
      <c r="E18" s="433" t="inlineStr">
        <is>
          <t>Individual Profile</t>
        </is>
      </c>
      <c r="F18" s="433" t="inlineStr">
        <is>
          <t>Country Of Citizenship Code</t>
        </is>
      </c>
      <c r="G18" s="433" t="inlineStr">
        <is>
          <t>IDV_PRFL</t>
        </is>
      </c>
      <c r="H18" s="433" t="inlineStr">
        <is>
          <t>CTY_OF_CTZN_CODE</t>
        </is>
      </c>
      <c r="I18" s="415" t="inlineStr">
        <is>
          <t>VARCHAR2</t>
        </is>
      </c>
      <c r="J18" s="415" t="n">
        <v>40</v>
      </c>
      <c r="K18" s="466" t="inlineStr">
        <is>
          <t>Quốc tịch</t>
        </is>
      </c>
      <c r="M18" s="334">
        <f>"COMMENT ON COLUMN PG_SILVER."&amp;G18&amp;"."&amp;H18&amp;" IS '"&amp;K18&amp;"';"</f>
        <v/>
      </c>
    </row>
    <row r="19" ht="14.25" customHeight="1" s="335">
      <c r="A19" s="415" t="inlineStr">
        <is>
          <t>PG_BRONZE</t>
        </is>
      </c>
      <c r="B19" s="415" t="inlineStr">
        <is>
          <t>T24CORE_CUSTOMER</t>
        </is>
      </c>
      <c r="C19" s="466" t="inlineStr">
        <is>
          <t>NO_LIEN_DOI</t>
        </is>
      </c>
      <c r="D19" s="433" t="inlineStr">
        <is>
          <t>1:1</t>
        </is>
      </c>
      <c r="E19" s="433" t="inlineStr">
        <is>
          <t>Individual Profile</t>
        </is>
      </c>
      <c r="F19" s="433" t="inlineStr">
        <is>
          <t>Joint liability Flag</t>
        </is>
      </c>
      <c r="G19" s="433" t="inlineStr">
        <is>
          <t>IDV_PRFL</t>
        </is>
      </c>
      <c r="H19" s="433" t="inlineStr">
        <is>
          <t>JNT_LBY_F</t>
        </is>
      </c>
      <c r="I19" s="415" t="inlineStr">
        <is>
          <t>VARCHAR2</t>
        </is>
      </c>
      <c r="J19" s="415" t="n">
        <v>20</v>
      </c>
      <c r="K19" s="466" t="inlineStr">
        <is>
          <t>Nợ liên đới</t>
        </is>
      </c>
      <c r="M19" s="334">
        <f>"COMMENT ON COLUMN PG_SILVER."&amp;G19&amp;"."&amp;H19&amp;" IS '"&amp;K19&amp;"';"</f>
        <v/>
      </c>
    </row>
    <row r="20" ht="14.25" customHeight="1" s="335">
      <c r="A20" s="415" t="inlineStr">
        <is>
          <t>PG_BRONZE</t>
        </is>
      </c>
      <c r="B20" s="415" t="inlineStr">
        <is>
          <t>T24CORE_CUSTOMER</t>
        </is>
      </c>
      <c r="C20" s="466" t="inlineStr">
        <is>
          <t>TAX_SERIAL, VAT_INV_SERIAL</t>
        </is>
      </c>
      <c r="D20" s="433" t="inlineStr">
        <is>
          <t>COALESCE(c.TAX_SERIAL, c.VAT_INV_SERIAL)</t>
        </is>
      </c>
      <c r="E20" s="433" t="inlineStr">
        <is>
          <t>Individual Profile</t>
        </is>
      </c>
      <c r="F20" s="433" t="inlineStr">
        <is>
          <t>Tax Identification Number</t>
        </is>
      </c>
      <c r="G20" s="433" t="inlineStr">
        <is>
          <t>IDV_PRFL</t>
        </is>
      </c>
      <c r="H20" s="433" t="inlineStr">
        <is>
          <t>TAX_IDENTN_NBR</t>
        </is>
      </c>
      <c r="I20" s="415" t="inlineStr">
        <is>
          <t>VARCHAR2</t>
        </is>
      </c>
      <c r="J20" s="415" t="n">
        <v>100</v>
      </c>
      <c r="K20" s="466" t="inlineStr">
        <is>
          <t>Mã số thuế</t>
        </is>
      </c>
      <c r="M20" s="334">
        <f>"COMMENT ON COLUMN PG_SILVER."&amp;G20&amp;"."&amp;H20&amp;" IS '"&amp;K20&amp;"';"</f>
        <v/>
      </c>
    </row>
    <row r="21" ht="14.25" customHeight="1" s="335">
      <c r="A21" s="415" t="inlineStr">
        <is>
          <t>PG_BRONZE</t>
        </is>
      </c>
      <c r="B21" s="415" t="inlineStr">
        <is>
          <t>T24CORE_CUSTOMER</t>
        </is>
      </c>
      <c r="C21" s="466" t="inlineStr">
        <is>
          <t>VIP_CUSTOMER</t>
        </is>
      </c>
      <c r="D21" s="433" t="inlineStr">
        <is>
          <t>1:1</t>
        </is>
      </c>
      <c r="E21" s="433" t="inlineStr">
        <is>
          <t>Individual Profile</t>
        </is>
      </c>
      <c r="F21" s="433" t="inlineStr">
        <is>
          <t>VIP Flag</t>
        </is>
      </c>
      <c r="G21" s="433" t="inlineStr">
        <is>
          <t>IDV_PRFL</t>
        </is>
      </c>
      <c r="H21" s="433" t="inlineStr">
        <is>
          <t>VIP_F</t>
        </is>
      </c>
      <c r="I21" s="415" t="inlineStr">
        <is>
          <t>VARCHAR2</t>
        </is>
      </c>
      <c r="J21" s="415" t="n">
        <v>20</v>
      </c>
      <c r="K21" s="466" t="inlineStr">
        <is>
          <t>Đánh dấu khách hàng ưu tiên</t>
        </is>
      </c>
      <c r="M21" s="334">
        <f>"COMMENT ON COLUMN PG_SILVER."&amp;G21&amp;"."&amp;H21&amp;" IS '"&amp;K21&amp;"';"</f>
        <v/>
      </c>
    </row>
    <row r="22" ht="14.25" customHeight="1" s="335">
      <c r="A22" s="415" t="inlineStr">
        <is>
          <t>PG_BRONZE</t>
        </is>
      </c>
      <c r="B22" s="415" t="inlineStr">
        <is>
          <t>T24CORE_CUSTOMER</t>
        </is>
      </c>
      <c r="C22" s="466" t="inlineStr">
        <is>
          <t>VN_GENDER</t>
        </is>
      </c>
      <c r="D22" s="433" t="inlineStr">
        <is>
          <t>1:1</t>
        </is>
      </c>
      <c r="E22" s="433" t="inlineStr">
        <is>
          <t>Individual Profile</t>
        </is>
      </c>
      <c r="F22" s="433" t="inlineStr">
        <is>
          <t>Gender</t>
        </is>
      </c>
      <c r="G22" s="433" t="inlineStr">
        <is>
          <t>IDV_PRFL</t>
        </is>
      </c>
      <c r="H22" s="433" t="inlineStr">
        <is>
          <t>GND</t>
        </is>
      </c>
      <c r="I22" s="415" t="inlineStr">
        <is>
          <t>VARCHAR2</t>
        </is>
      </c>
      <c r="J22" s="415" t="n">
        <v>20</v>
      </c>
      <c r="K22" s="466" t="inlineStr">
        <is>
          <t>Giới tính</t>
        </is>
      </c>
      <c r="M22" s="334">
        <f>"COMMENT ON COLUMN PG_SILVER."&amp;G22&amp;"."&amp;H22&amp;" IS '"&amp;K22&amp;"';"</f>
        <v/>
      </c>
    </row>
    <row r="23" ht="14.25" customHeight="1" s="335">
      <c r="A23" s="415" t="inlineStr">
        <is>
          <t>PG_BRONZE</t>
        </is>
      </c>
      <c r="B23" s="415" t="inlineStr">
        <is>
          <t>T24CORE_CUSTOMER</t>
        </is>
      </c>
      <c r="C23" s="415" t="inlineStr">
        <is>
          <t>CUS_IND_PARENT</t>
        </is>
      </c>
      <c r="D23" s="433" t="inlineStr">
        <is>
          <t>1:1</t>
        </is>
      </c>
      <c r="E23" s="433" t="inlineStr">
        <is>
          <t>Individual Profile</t>
        </is>
      </c>
      <c r="F23" s="433" t="inlineStr">
        <is>
          <t>Industry LV1 Classification Code</t>
        </is>
      </c>
      <c r="G23" s="433" t="inlineStr">
        <is>
          <t>IDV_PRFL</t>
        </is>
      </c>
      <c r="H23" s="558" t="inlineStr">
        <is>
          <t>IDY_LV1_CL_CODE</t>
        </is>
      </c>
      <c r="I23" s="415" t="inlineStr">
        <is>
          <t>VARCHAR2</t>
        </is>
      </c>
      <c r="J23" s="415" t="n">
        <v>20</v>
      </c>
      <c r="K23" s="415" t="inlineStr">
        <is>
          <t>Mã ngành nghê kinh tế cha</t>
        </is>
      </c>
      <c r="M23" s="334">
        <f>"COMMENT ON COLUMN PG_SILVER."&amp;G23&amp;"."&amp;H23&amp;" IS '"&amp;K23&amp;"';"</f>
        <v/>
      </c>
    </row>
    <row r="24" ht="14.25" customHeight="1" s="335">
      <c r="A24" s="415" t="inlineStr">
        <is>
          <t>PG_BRONZE</t>
        </is>
      </c>
      <c r="B24" s="415" t="inlineStr">
        <is>
          <t>T24CORE_CUSTOMER</t>
        </is>
      </c>
      <c r="C24" s="415" t="inlineStr">
        <is>
          <t>MB_INDUSTRY</t>
        </is>
      </c>
      <c r="D24" s="433" t="inlineStr">
        <is>
          <t>1:1</t>
        </is>
      </c>
      <c r="E24" s="433" t="inlineStr">
        <is>
          <t>Individual Profile</t>
        </is>
      </c>
      <c r="F24" s="433" t="inlineStr">
        <is>
          <t>Industry LV2 Classification Code</t>
        </is>
      </c>
      <c r="G24" s="433" t="inlineStr">
        <is>
          <t>IDV_PRFL</t>
        </is>
      </c>
      <c r="H24" s="558" t="inlineStr">
        <is>
          <t>IDY_LV2_CL_CODE</t>
        </is>
      </c>
      <c r="I24" s="415" t="inlineStr">
        <is>
          <t>VARCHAR2</t>
        </is>
      </c>
      <c r="J24" s="415" t="n">
        <v>20</v>
      </c>
      <c r="K24" s="415" t="inlineStr">
        <is>
          <t>Ngành nghề kinh tế</t>
        </is>
      </c>
      <c r="M24" s="334">
        <f>"COMMENT ON COLUMN PG_SILVER."&amp;G24&amp;"."&amp;H24&amp;" IS '"&amp;K24&amp;"';"</f>
        <v/>
      </c>
    </row>
    <row r="25" ht="14.25" customHeight="1" s="335">
      <c r="A25" s="415" t="inlineStr">
        <is>
          <t>PG_BRONZE</t>
        </is>
      </c>
      <c r="B25" s="415" t="inlineStr">
        <is>
          <t>T24CORE_CUSTOMER</t>
        </is>
      </c>
      <c r="C25" s="415" t="inlineStr">
        <is>
          <t>BIRTH_INCORP_DATE, BDATE_LEGAL</t>
        </is>
      </c>
      <c r="D25" s="433" t="inlineStr">
        <is>
          <t>COALESCE(c.BIRTH_INCORP_DATE, c.BDATE_LEGAL)</t>
        </is>
      </c>
      <c r="E25" s="433" t="inlineStr">
        <is>
          <t>Individual Profile</t>
        </is>
      </c>
      <c r="F25" s="433" t="inlineStr">
        <is>
          <t>Date Of Birth</t>
        </is>
      </c>
      <c r="G25" s="433" t="inlineStr">
        <is>
          <t>IDV_PRFL</t>
        </is>
      </c>
      <c r="H25" s="558" t="inlineStr">
        <is>
          <t>DOB</t>
        </is>
      </c>
      <c r="I25" s="415" t="inlineStr">
        <is>
          <t>DATE</t>
        </is>
      </c>
      <c r="J25" s="415" t="n"/>
      <c r="K25" s="415" t="inlineStr">
        <is>
          <t>Ngày sinh khách hàng cá nhân</t>
        </is>
      </c>
      <c r="L25" s="334" t="inlineStr">
        <is>
          <t>DOB</t>
        </is>
      </c>
      <c r="M25" s="334">
        <f>"COMMENT ON COLUMN PG_SILVER."&amp;G25&amp;"."&amp;H25&amp;" IS '"&amp;K25&amp;"';"</f>
        <v/>
      </c>
      <c r="N25" s="334" t="inlineStr">
        <is>
          <t>Bổ sung ngày sinh KHCN từ COALESCE(BIRTH_INCORP_DATE, BDATE_LEGAL) phục vụ INF_CST.DOB</t>
        </is>
      </c>
    </row>
    <row r="26" ht="14.25" customHeight="1" s="335">
      <c r="A26" s="415" t="inlineStr">
        <is>
          <t>PG_BRONZE</t>
        </is>
      </c>
      <c r="B26" s="415" t="inlineStr">
        <is>
          <t>T24CORE_CUSTOMER</t>
        </is>
      </c>
      <c r="C26" s="415" t="inlineStr">
        <is>
          <t>FFB_TYPE</t>
        </is>
      </c>
      <c r="D26" s="433" t="inlineStr">
        <is>
          <t>1:1</t>
        </is>
      </c>
      <c r="E26" s="433" t="inlineStr">
        <is>
          <t>Individual Profile</t>
        </is>
      </c>
      <c r="F26" s="433" t="inlineStr">
        <is>
          <t>Vip Type Code</t>
        </is>
      </c>
      <c r="G26" s="433" t="inlineStr">
        <is>
          <t>IDV_PRFL</t>
        </is>
      </c>
      <c r="H26" s="558" t="inlineStr">
        <is>
          <t>VIP_TP_CODE</t>
        </is>
      </c>
      <c r="I26" s="415" t="inlineStr">
        <is>
          <t>VARCHAR2</t>
        </is>
      </c>
      <c r="J26" s="415" t="n">
        <v>20</v>
      </c>
      <c r="K26" s="415" t="inlineStr">
        <is>
          <t>Phân hạng khách hàng ưu tiên (VIP)</t>
        </is>
      </c>
      <c r="L26" s="334" t="inlineStr">
        <is>
          <t>VIP_TP_CODE</t>
        </is>
      </c>
      <c r="M26" s="334">
        <f>"COMMENT ON COLUMN PG_SILVER."&amp;G26&amp;"."&amp;H26&amp;" IS '"&amp;K26&amp;"';"</f>
        <v/>
      </c>
      <c r="N26" s="334" t="inlineStr">
        <is>
          <t>Bổ sung từ T24CORE_CUSTOMER.FFB_TYPE phục vụ INF_CST.VIP_TP_CODE</t>
        </is>
      </c>
    </row>
    <row r="27" ht="14.25" customHeight="1" s="335">
      <c r="A27" s="415" t="inlineStr">
        <is>
          <t>PG_BRONZE</t>
        </is>
      </c>
      <c r="B27" s="415" t="inlineStr">
        <is>
          <t>T24CORE_CUSTOMER</t>
        </is>
      </c>
      <c r="C27" s="415" t="inlineStr">
        <is>
          <t>CU_EFF_DATE</t>
        </is>
      </c>
      <c r="D27" s="433" t="inlineStr">
        <is>
          <t>1:1</t>
        </is>
      </c>
      <c r="E27" s="433" t="inlineStr">
        <is>
          <t>Individual Profile</t>
        </is>
      </c>
      <c r="F27" s="433" t="inlineStr">
        <is>
          <t>Vip Effective Date</t>
        </is>
      </c>
      <c r="G27" s="433" t="inlineStr">
        <is>
          <t>IDV_PRFL</t>
        </is>
      </c>
      <c r="H27" s="558" t="inlineStr">
        <is>
          <t>VIP_EFF_DT</t>
        </is>
      </c>
      <c r="I27" s="415" t="inlineStr">
        <is>
          <t>DATE</t>
        </is>
      </c>
      <c r="J27" s="415" t="n"/>
      <c r="K27" s="415" t="inlineStr">
        <is>
          <t>Ngày hiệu lực phân hạng khách hàng VIP</t>
        </is>
      </c>
      <c r="L27" s="334" t="inlineStr">
        <is>
          <t>VIP_EFF_DT</t>
        </is>
      </c>
      <c r="M27" s="334">
        <f>"COMMENT ON COLUMN PG_SILVER."&amp;G27&amp;"."&amp;H27&amp;" IS '"&amp;K27&amp;"';"</f>
        <v/>
      </c>
      <c r="N27" s="334" t="inlineStr">
        <is>
          <t>Bổ sung từ T24CORE_CUSTOMER.CU_EFF_DATE phục vụ INF_CST.VIP_EFF_DT</t>
        </is>
      </c>
    </row>
    <row r="28" ht="14.25" customHeight="1" s="335">
      <c r="A28" s="415" t="inlineStr">
        <is>
          <t>PG_BRONZE</t>
        </is>
      </c>
      <c r="B28" s="415" t="inlineStr">
        <is>
          <t>T24CORE_CUSTOMER</t>
        </is>
      </c>
      <c r="C28" s="415" t="inlineStr">
        <is>
          <t>VAT_INV_DATE</t>
        </is>
      </c>
      <c r="D28" s="433" t="inlineStr">
        <is>
          <t>1:1</t>
        </is>
      </c>
      <c r="E28" s="433" t="inlineStr">
        <is>
          <t>Individual Profile</t>
        </is>
      </c>
      <c r="F28" s="433" t="inlineStr">
        <is>
          <t>Business Registration Effective Date</t>
        </is>
      </c>
      <c r="G28" s="433" t="inlineStr">
        <is>
          <t>IDV_PRFL</t>
        </is>
      </c>
      <c r="H28" s="558" t="inlineStr">
        <is>
          <t>BSN_RGST_EFF_DT</t>
        </is>
      </c>
      <c r="I28" s="415" t="inlineStr">
        <is>
          <t>DATE</t>
        </is>
      </c>
      <c r="J28" s="415" t="n"/>
      <c r="K28" s="415" t="inlineStr">
        <is>
          <t>Ngày phát hành hóa đơn</t>
        </is>
      </c>
      <c r="L28" s="334" t="inlineStr">
        <is>
          <t>BSN_RGST_EFF_DT</t>
        </is>
      </c>
      <c r="M28" s="334">
        <f>"COMMENT ON COLUMN PG_SILVER."&amp;G28&amp;"."&amp;H28&amp;" IS '"&amp;K28&amp;"';"</f>
        <v/>
      </c>
      <c r="N28" s="334" t="inlineStr">
        <is>
          <t>Bổ sung từ T24CORE_CUSTOMER.VAT_INV_DATE phục vụ INF_CST.BSN_RGST_EFF_DT</t>
        </is>
      </c>
    </row>
    <row r="29" ht="14.25" customHeight="1" s="335">
      <c r="A29" s="415" t="inlineStr">
        <is>
          <t>PG_BRONZE</t>
        </is>
      </c>
      <c r="B29" s="415" t="inlineStr">
        <is>
          <t>T24CORE_CUSTOMER</t>
        </is>
      </c>
      <c r="C29" s="415" t="inlineStr">
        <is>
          <t>MB_CR_STT</t>
        </is>
      </c>
      <c r="D29" s="433" t="inlineStr">
        <is>
          <t>1:1</t>
        </is>
      </c>
      <c r="E29" s="433" t="inlineStr">
        <is>
          <t>Individual Profile</t>
        </is>
      </c>
      <c r="F29" s="433" t="inlineStr">
        <is>
          <t>MB Credit Status</t>
        </is>
      </c>
      <c r="G29" s="433" t="inlineStr">
        <is>
          <t>IDV_PRFL</t>
        </is>
      </c>
      <c r="H29" s="558" t="inlineStr">
        <is>
          <t>MB_CR_ST</t>
        </is>
      </c>
      <c r="I29" s="415" t="inlineStr">
        <is>
          <t>VARCHAR2</t>
        </is>
      </c>
      <c r="J29" s="415" t="n">
        <v>20</v>
      </c>
      <c r="K29" s="415" t="inlineStr">
        <is>
          <t>Trạng thái quan hệ tín dụng MB</t>
        </is>
      </c>
      <c r="L29" s="334" t="inlineStr">
        <is>
          <t>MB_CR_ST</t>
        </is>
      </c>
      <c r="M29" s="334">
        <f>"COMMENT ON COLUMN PG_SILVER."&amp;G29&amp;"."&amp;H29&amp;" IS '"&amp;K29&amp;"';"</f>
        <v/>
      </c>
      <c r="N29" s="334" t="inlineStr">
        <is>
          <t>Bổ sung từ T24CORE_CUSTOMER.MB_CR_STT phục vụ INF_CST.MB_CR_ST</t>
        </is>
      </c>
    </row>
    <row r="30" ht="14.25" customHeight="1" s="335">
      <c r="A30" s="415" t="inlineStr">
        <is>
          <t>PG_BRONZE</t>
        </is>
      </c>
      <c r="B30" s="415" t="inlineStr">
        <is>
          <t>T24CORE_CUSTOMER</t>
        </is>
      </c>
      <c r="C30" s="415" t="inlineStr">
        <is>
          <t>RECID</t>
        </is>
      </c>
      <c r="D30" s="415" t="inlineStr">
        <is>
          <t>ETL_DATE if not exists CST_ID</t>
        </is>
      </c>
      <c r="E30" s="433" t="inlineStr">
        <is>
          <t>Individual Profile</t>
        </is>
      </c>
      <c r="F30" s="415" t="inlineStr">
        <is>
          <t>System Effective Date</t>
        </is>
      </c>
      <c r="G30" s="433" t="inlineStr">
        <is>
          <t>IDV_PRFL</t>
        </is>
      </c>
      <c r="H30" s="415" t="inlineStr">
        <is>
          <t>SYS_EFF_DT</t>
        </is>
      </c>
      <c r="I30" s="415" t="inlineStr">
        <is>
          <t>DATE</t>
        </is>
      </c>
      <c r="J30" s="415" t="n"/>
      <c r="K30" s="415" t="inlineStr">
        <is>
          <t>Ngày bản ghi lần đầu tiên vào hệ thống</t>
        </is>
      </c>
      <c r="M30" s="334">
        <f>"COMMENT ON COLUMN PG_SILVER."&amp;G30&amp;"."&amp;H30&amp;" IS '"&amp;K30&amp;"';"</f>
        <v/>
      </c>
    </row>
    <row r="31" ht="14.25" customHeight="1" s="335">
      <c r="A31" s="415" t="inlineStr">
        <is>
          <t>PG_BRONZE</t>
        </is>
      </c>
      <c r="B31" s="415" t="inlineStr">
        <is>
          <t>T24CORE_CUSTOMER</t>
        </is>
      </c>
      <c r="C31" s="415" t="inlineStr">
        <is>
          <t>RECID</t>
        </is>
      </c>
      <c r="D31" s="415" t="inlineStr">
        <is>
          <t>ETL_DATE if RECID was deleted</t>
        </is>
      </c>
      <c r="E31" s="433" t="inlineStr">
        <is>
          <t>Individual Profile</t>
        </is>
      </c>
      <c r="F31" s="415" t="inlineStr">
        <is>
          <t>System Expiry Date</t>
        </is>
      </c>
      <c r="G31" s="433" t="inlineStr">
        <is>
          <t>IDV_PRFL</t>
        </is>
      </c>
      <c r="H31" s="415" t="inlineStr">
        <is>
          <t>SYS_EXP_DT</t>
        </is>
      </c>
      <c r="I31" s="415" t="inlineStr">
        <is>
          <t>DATE</t>
        </is>
      </c>
      <c r="J31" s="415" t="n"/>
      <c r="K31" s="415" t="inlineStr">
        <is>
          <t>Ngày hết hạn của bản ghi</t>
        </is>
      </c>
      <c r="M31" s="334">
        <f>"COMMENT ON COLUMN PG_SILVER."&amp;G31&amp;"."&amp;H31&amp;" IS '"&amp;K31&amp;"';"</f>
        <v/>
      </c>
    </row>
    <row r="32" ht="14.25" customHeight="1" s="335">
      <c r="A32" s="415" t="inlineStr">
        <is>
          <t>PG_BRONZE</t>
        </is>
      </c>
      <c r="B32" s="415" t="inlineStr">
        <is>
          <t>T24CORE_CUSTOMER</t>
        </is>
      </c>
      <c r="C32" s="415" t="inlineStr">
        <is>
          <t>RECID</t>
        </is>
      </c>
      <c r="D32" s="415" t="inlineStr">
        <is>
          <t>ETL_DATE</t>
        </is>
      </c>
      <c r="E32" s="433" t="inlineStr">
        <is>
          <t>Individual Profile</t>
        </is>
      </c>
      <c r="F32" s="415" t="inlineStr">
        <is>
          <t>System Update Date</t>
        </is>
      </c>
      <c r="G32" s="433" t="inlineStr">
        <is>
          <t>IDV_PRFL</t>
        </is>
      </c>
      <c r="H32" s="415" t="inlineStr">
        <is>
          <t>SYS_UDT_DT</t>
        </is>
      </c>
      <c r="I32" s="415" t="inlineStr">
        <is>
          <t>DATE</t>
        </is>
      </c>
      <c r="J32" s="415" t="n"/>
      <c r="K32" s="415" t="inlineStr">
        <is>
          <t>Ngày update dữ liệu gần nhất</t>
        </is>
      </c>
      <c r="M32" s="334">
        <f>"COMMENT ON COLUMN PG_SILVER."&amp;G32&amp;"."&amp;H32&amp;" IS '"&amp;K32&amp;"';"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N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27.11" customWidth="1" style="334" min="3" max="3"/>
    <col width="30.44" customWidth="1" style="334" min="4" max="4"/>
    <col width="34.66" customWidth="1" style="334" min="5" max="5"/>
    <col width="29.44" customWidth="1" style="334" min="6" max="6"/>
    <col width="16.67" customWidth="1" style="334" min="7" max="7"/>
    <col width="18.88" customWidth="1" style="334" min="8" max="8"/>
    <col width="6.67" customWidth="1" style="334" min="10" max="10"/>
    <col width="40.44" customWidth="1" style="334" min="11" max="11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15" t="inlineStr">
        <is>
          <t>PG_BRONZE</t>
        </is>
      </c>
      <c r="B3" s="415" t="inlineStr">
        <is>
          <t>T24CORE_CUSTOMER</t>
        </is>
      </c>
      <c r="C3" s="433" t="inlineStr">
        <is>
          <t>c</t>
        </is>
      </c>
      <c r="D3" s="433" t="inlineStr">
        <is>
          <t>WHERE c.KHOI LIKE '%INDIV%'</t>
        </is>
      </c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500" t="n"/>
      <c r="B4" s="500" t="n"/>
      <c r="C4" s="500" t="n"/>
      <c r="D4" s="500" t="n"/>
      <c r="E4" s="500" t="n"/>
      <c r="F4" s="500" t="n"/>
      <c r="G4" s="500" t="n"/>
      <c r="H4" s="500" t="n"/>
      <c r="I4" s="500" t="n"/>
      <c r="J4" s="500" t="n"/>
      <c r="K4" s="500" t="n"/>
    </row>
    <row r="5" ht="14.25" customHeight="1" s="335">
      <c r="A5" s="555" t="inlineStr">
        <is>
          <t>Nguồn</t>
        </is>
      </c>
      <c r="B5" s="555" t="inlineStr">
        <is>
          <t>Bảng nguồn</t>
        </is>
      </c>
      <c r="C5" s="555" t="inlineStr">
        <is>
          <t>Cột nguồn</t>
        </is>
      </c>
      <c r="D5" s="555" t="inlineStr">
        <is>
          <t>Transform</t>
        </is>
      </c>
      <c r="E5" s="555" t="inlineStr">
        <is>
          <t>Entity</t>
        </is>
      </c>
      <c r="F5" s="555" t="inlineStr">
        <is>
          <t>Attribute</t>
        </is>
      </c>
      <c r="G5" s="555" t="inlineStr">
        <is>
          <t>Bảng đích</t>
        </is>
      </c>
      <c r="H5" s="555" t="inlineStr">
        <is>
          <t>Cột đích</t>
        </is>
      </c>
      <c r="I5" s="555" t="inlineStr">
        <is>
          <t>Kiểu dữ liệu</t>
        </is>
      </c>
      <c r="J5" s="555" t="inlineStr">
        <is>
          <t>Độ dài</t>
        </is>
      </c>
      <c r="K5" s="555" t="inlineStr">
        <is>
          <t>Diễn giải</t>
        </is>
      </c>
      <c r="L5" s="555" t="inlineStr">
        <is>
          <t>Glossary</t>
        </is>
      </c>
      <c r="M5" s="555" t="inlineStr">
        <is>
          <t>DDL Comment</t>
        </is>
      </c>
      <c r="N5" s="555" t="inlineStr">
        <is>
          <t>Ghi chú kỹ thuật &amp; Business Rule</t>
        </is>
      </c>
    </row>
    <row r="6" ht="14.25" customHeight="1" s="335">
      <c r="A6" s="415" t="inlineStr">
        <is>
          <t>PG_BRONZE</t>
        </is>
      </c>
      <c r="B6" s="415" t="inlineStr">
        <is>
          <t>T24CORE_CUSTOMER</t>
        </is>
      </c>
      <c r="C6" s="415" t="inlineStr">
        <is>
          <t>RECID</t>
        </is>
      </c>
      <c r="D6" s="415" t="inlineStr">
        <is>
          <t>fn_hash("T24_CUSTOMER", c.RECID)</t>
        </is>
      </c>
      <c r="E6" s="415" t="inlineStr">
        <is>
          <t>Individual Employment Status</t>
        </is>
      </c>
      <c r="F6" s="415" t="inlineStr">
        <is>
          <t>Customer ID</t>
        </is>
      </c>
      <c r="G6" s="415" t="inlineStr">
        <is>
          <t>IDV_EMP_ST</t>
        </is>
      </c>
      <c r="H6" s="415" t="inlineStr">
        <is>
          <t>CST_ID</t>
        </is>
      </c>
      <c r="I6" s="415" t="inlineStr">
        <is>
          <t>CHAR</t>
        </is>
      </c>
      <c r="J6" s="415" t="n">
        <v>32</v>
      </c>
      <c r="K6" s="415" t="inlineStr">
        <is>
          <t>Unique key trên DWH</t>
        </is>
      </c>
      <c r="M6" s="334">
        <f>"COMMENT ON COLUMN PG_SILVER."&amp;G6&amp;"."&amp;H6&amp;" IS '"&amp;K6&amp;"';"</f>
        <v/>
      </c>
    </row>
    <row r="7" ht="14.25" customHeight="1" s="335">
      <c r="A7" s="415" t="inlineStr">
        <is>
          <t>PG_BRONZE</t>
        </is>
      </c>
      <c r="B7" s="415" t="inlineStr">
        <is>
          <t>T24CORE_CUSTOMER</t>
        </is>
      </c>
      <c r="C7" s="415" t="inlineStr">
        <is>
          <t>RECID</t>
        </is>
      </c>
      <c r="D7" s="415" t="inlineStr">
        <is>
          <t>1:1</t>
        </is>
      </c>
      <c r="E7" s="415" t="inlineStr">
        <is>
          <t>Individual Employment Status</t>
        </is>
      </c>
      <c r="F7" s="415" t="inlineStr">
        <is>
          <t>Customer Code</t>
        </is>
      </c>
      <c r="G7" s="415" t="inlineStr">
        <is>
          <t>IDV_EMP_ST</t>
        </is>
      </c>
      <c r="H7" s="415" t="inlineStr">
        <is>
          <t>CST_CODE</t>
        </is>
      </c>
      <c r="I7" s="415" t="inlineStr">
        <is>
          <t>VARCHAR2</t>
        </is>
      </c>
      <c r="J7" s="415" t="n">
        <v>20</v>
      </c>
      <c r="K7" s="415" t="inlineStr">
        <is>
          <t>Mã CIF</t>
        </is>
      </c>
      <c r="M7" s="334">
        <f>"COMMENT ON COLUMN PG_SILVER."&amp;G7&amp;"."&amp;H7&amp;" IS '"&amp;K7&amp;"';"</f>
        <v/>
      </c>
    </row>
    <row r="8" ht="14.25" customHeight="1" s="335">
      <c r="A8" s="415" t="inlineStr">
        <is>
          <t>PG_BRONZE</t>
        </is>
      </c>
      <c r="B8" s="415" t="inlineStr">
        <is>
          <t>T24CORE_CUSTOMER</t>
        </is>
      </c>
      <c r="C8" s="415" t="inlineStr">
        <is>
          <t>EMPLOYMENT_STATUS</t>
        </is>
      </c>
      <c r="D8" s="415" t="inlineStr">
        <is>
          <t>1:1</t>
        </is>
      </c>
      <c r="E8" s="415" t="inlineStr">
        <is>
          <t>Individual Employment Status</t>
        </is>
      </c>
      <c r="F8" s="415" t="inlineStr">
        <is>
          <t>Individual Employment Status Code</t>
        </is>
      </c>
      <c r="G8" s="415" t="inlineStr">
        <is>
          <t>IDV_EMP_ST</t>
        </is>
      </c>
      <c r="H8" s="415" t="inlineStr">
        <is>
          <t>IDV_EMP_ST_CODE</t>
        </is>
      </c>
      <c r="I8" s="415" t="inlineStr">
        <is>
          <t>VARCHAR2</t>
        </is>
      </c>
      <c r="J8" s="415" t="n">
        <v>20</v>
      </c>
      <c r="K8" s="466" t="inlineStr">
        <is>
          <t>Trạng thái khách hàng</t>
        </is>
      </c>
      <c r="M8" s="334">
        <f>"COMMENT ON COLUMN PG_SILVER."&amp;G8&amp;"."&amp;H8&amp;" IS '"&amp;K8&amp;"';"</f>
        <v/>
      </c>
    </row>
    <row r="9" ht="14.25" customHeight="1" s="335">
      <c r="A9" s="415" t="inlineStr">
        <is>
          <t>PG_BRONZE</t>
        </is>
      </c>
      <c r="B9" s="415" t="inlineStr">
        <is>
          <t>T24CORE_CUSTOMER</t>
        </is>
      </c>
      <c r="C9" s="415" t="inlineStr">
        <is>
          <t>NET_MONTHLY_IN</t>
        </is>
      </c>
      <c r="D9" s="415" t="inlineStr">
        <is>
          <t>1:1</t>
        </is>
      </c>
      <c r="E9" s="415" t="inlineStr">
        <is>
          <t>Individual Employment Status</t>
        </is>
      </c>
      <c r="F9" s="415" t="inlineStr">
        <is>
          <t>Annual Income</t>
        </is>
      </c>
      <c r="G9" s="415" t="inlineStr">
        <is>
          <t>IDV_EMP_ST</t>
        </is>
      </c>
      <c r="H9" s="415" t="inlineStr">
        <is>
          <t>ANUL_INCM</t>
        </is>
      </c>
      <c r="I9" s="415" t="inlineStr">
        <is>
          <t>NUMBER</t>
        </is>
      </c>
      <c r="J9" s="415" t="n">
        <v>25.5</v>
      </c>
      <c r="K9" s="415" t="inlineStr">
        <is>
          <t>Thu nhập theo tháng</t>
        </is>
      </c>
      <c r="M9" s="334">
        <f>"COMMENT ON COLUMN PG_SILVER."&amp;G9&amp;"."&amp;H9&amp;" IS '"&amp;K9&amp;"';"</f>
        <v/>
      </c>
    </row>
    <row r="10" ht="14.25" customHeight="1" s="335">
      <c r="A10" s="415" t="inlineStr">
        <is>
          <t>PG_BRONZE</t>
        </is>
      </c>
      <c r="B10" s="415" t="inlineStr">
        <is>
          <t>T24CORE_CUSTOMER</t>
        </is>
      </c>
      <c r="C10" s="415" t="inlineStr">
        <is>
          <t>OCCUPATION</t>
        </is>
      </c>
      <c r="D10" s="415" t="inlineStr">
        <is>
          <t>1:1</t>
        </is>
      </c>
      <c r="E10" s="415" t="inlineStr">
        <is>
          <t>Individual Employment Status</t>
        </is>
      </c>
      <c r="F10" s="415" t="inlineStr">
        <is>
          <t>Occupation Code</t>
        </is>
      </c>
      <c r="G10" s="415" t="inlineStr">
        <is>
          <t>IDV_EMP_ST</t>
        </is>
      </c>
      <c r="H10" s="415" t="inlineStr">
        <is>
          <t>OCP_CODE</t>
        </is>
      </c>
      <c r="I10" s="415" t="inlineStr">
        <is>
          <t>VARCHAR2</t>
        </is>
      </c>
      <c r="J10" s="415" t="n">
        <v>100</v>
      </c>
      <c r="K10" s="415" t="inlineStr">
        <is>
          <t>Nghề nghiệp của khách hàng</t>
        </is>
      </c>
      <c r="M10" s="334">
        <f>"COMMENT ON COLUMN PG_SILVER."&amp;G10&amp;"."&amp;H10&amp;" IS '"&amp;K10&amp;"';"</f>
        <v/>
      </c>
    </row>
    <row r="11" ht="14.25" customHeight="1" s="335">
      <c r="A11" s="415" t="inlineStr">
        <is>
          <t>PG_BRONZE</t>
        </is>
      </c>
      <c r="B11" s="415" t="inlineStr">
        <is>
          <t>T24CORE_CUSTOMER</t>
        </is>
      </c>
      <c r="C11" s="415" t="inlineStr">
        <is>
          <t>RECID</t>
        </is>
      </c>
      <c r="D11" s="415" t="inlineStr">
        <is>
          <t>ETL_DATE if not exists CST_ID</t>
        </is>
      </c>
      <c r="E11" s="415" t="inlineStr">
        <is>
          <t>Individual Employment Status</t>
        </is>
      </c>
      <c r="F11" s="415" t="inlineStr">
        <is>
          <t>System Effective Date</t>
        </is>
      </c>
      <c r="G11" s="415" t="inlineStr">
        <is>
          <t>IDV_EMP_ST</t>
        </is>
      </c>
      <c r="H11" s="415" t="inlineStr">
        <is>
          <t>SYS_EFF_DT</t>
        </is>
      </c>
      <c r="I11" s="415" t="inlineStr">
        <is>
          <t>DATE</t>
        </is>
      </c>
      <c r="J11" s="415" t="n"/>
      <c r="K11" s="415" t="inlineStr">
        <is>
          <t>Ngày bản ghi lần đầu tiên vào hệ thống</t>
        </is>
      </c>
      <c r="M11" s="334">
        <f>"COMMENT ON COLUMN PG_SILVER."&amp;G11&amp;"."&amp;H11&amp;" IS '"&amp;K11&amp;"';"</f>
        <v/>
      </c>
    </row>
    <row r="12" ht="14.25" customHeight="1" s="335">
      <c r="A12" s="415" t="inlineStr">
        <is>
          <t>PG_BRONZE</t>
        </is>
      </c>
      <c r="B12" s="415" t="inlineStr">
        <is>
          <t>T24CORE_CUSTOMER</t>
        </is>
      </c>
      <c r="C12" s="415" t="inlineStr">
        <is>
          <t>RECID</t>
        </is>
      </c>
      <c r="D12" s="415" t="inlineStr">
        <is>
          <t>ETL_DATE if RECID was deleted</t>
        </is>
      </c>
      <c r="E12" s="415" t="inlineStr">
        <is>
          <t>Individual Employment Status</t>
        </is>
      </c>
      <c r="F12" s="415" t="inlineStr">
        <is>
          <t>System Expiry Date</t>
        </is>
      </c>
      <c r="G12" s="415" t="inlineStr">
        <is>
          <t>IDV_EMP_ST</t>
        </is>
      </c>
      <c r="H12" s="415" t="inlineStr">
        <is>
          <t>SYS_EXP_DT</t>
        </is>
      </c>
      <c r="I12" s="415" t="inlineStr">
        <is>
          <t>DATE</t>
        </is>
      </c>
      <c r="J12" s="415" t="n"/>
      <c r="K12" s="415" t="inlineStr">
        <is>
          <t>Ngày hết hạn của bản ghi</t>
        </is>
      </c>
      <c r="M12" s="334">
        <f>"COMMENT ON COLUMN PG_SILVER."&amp;G12&amp;"."&amp;H12&amp;" IS '"&amp;K12&amp;"';"</f>
        <v/>
      </c>
    </row>
    <row r="13" ht="14.25" customHeight="1" s="335">
      <c r="A13" s="415" t="inlineStr">
        <is>
          <t>PG_BRONZE</t>
        </is>
      </c>
      <c r="B13" s="415" t="inlineStr">
        <is>
          <t>T24CORE_CUSTOMER</t>
        </is>
      </c>
      <c r="C13" s="415" t="inlineStr">
        <is>
          <t>RECID</t>
        </is>
      </c>
      <c r="D13" s="415" t="inlineStr">
        <is>
          <t>ETL_DATE</t>
        </is>
      </c>
      <c r="E13" s="415" t="inlineStr">
        <is>
          <t>Individual Employment Status</t>
        </is>
      </c>
      <c r="F13" s="415" t="inlineStr">
        <is>
          <t>System Update Date</t>
        </is>
      </c>
      <c r="G13" s="415" t="inlineStr">
        <is>
          <t>IDV_EMP_ST</t>
        </is>
      </c>
      <c r="H13" s="415" t="inlineStr">
        <is>
          <t>SYS_UDT_DT</t>
        </is>
      </c>
      <c r="I13" s="415" t="inlineStr">
        <is>
          <t>DATE</t>
        </is>
      </c>
      <c r="J13" s="415" t="n"/>
      <c r="K13" s="415" t="inlineStr">
        <is>
          <t>Ngày update dữ liệu gần nhất</t>
        </is>
      </c>
      <c r="M13" s="334">
        <f>"COMMENT ON COLUMN PG_SILVER."&amp;G13&amp;"."&amp;H13&amp;" IS '"&amp;K13&amp;"';"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29.44" customWidth="1" style="334" min="3" max="3"/>
    <col width="32.11" customWidth="1" style="334" min="4" max="4"/>
    <col width="34.66" customWidth="1" style="334" min="5" max="5"/>
    <col width="29.44" customWidth="1" style="334" min="6" max="6"/>
    <col width="16.67" customWidth="1" style="334" min="7" max="7"/>
    <col width="18.88" customWidth="1" style="334" min="8" max="8"/>
    <col width="6.67" customWidth="1" style="334" min="10" max="10"/>
    <col width="40.44" customWidth="1" style="334" min="11" max="11"/>
  </cols>
  <sheetData>
    <row r="1" ht="14.25" customHeight="1" s="335">
      <c r="A1" s="432" t="inlineStr">
        <is>
          <t>TYPE : SCD TYPE 2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32" t="inlineStr">
        <is>
          <t>Nguồn</t>
        </is>
      </c>
      <c r="B2" s="432" t="inlineStr">
        <is>
          <t>Bảng nguồn</t>
        </is>
      </c>
      <c r="C2" s="432" t="inlineStr">
        <is>
          <t>Short table</t>
        </is>
      </c>
      <c r="D2" s="432" t="inlineStr">
        <is>
          <t>Business Rule</t>
        </is>
      </c>
      <c r="E2" s="432" t="n"/>
      <c r="F2" s="432" t="n"/>
      <c r="G2" s="432" t="n"/>
      <c r="H2" s="432" t="n"/>
      <c r="I2" s="432" t="n"/>
      <c r="J2" s="432" t="n"/>
      <c r="K2" s="432" t="n"/>
    </row>
    <row r="3" ht="14.25" customHeight="1" s="335">
      <c r="A3" s="415" t="inlineStr">
        <is>
          <t>PG_BRONZE</t>
        </is>
      </c>
      <c r="B3" s="415" t="inlineStr">
        <is>
          <t>T24CORE_CUSTOMER</t>
        </is>
      </c>
      <c r="C3" s="433" t="inlineStr">
        <is>
          <t>c</t>
        </is>
      </c>
      <c r="D3" s="433" t="inlineStr">
        <is>
          <t>WHERE c.KHOI NOT LIKE '%INDIV%'</t>
        </is>
      </c>
      <c r="E3" s="435" t="n"/>
      <c r="F3" s="435" t="n"/>
      <c r="G3" s="435" t="n"/>
      <c r="H3" s="435" t="n"/>
      <c r="I3" s="435" t="n"/>
      <c r="J3" s="435" t="n"/>
      <c r="K3" s="435" t="n"/>
    </row>
    <row r="4" ht="14.25" customHeight="1" s="335">
      <c r="A4" s="500" t="n"/>
      <c r="B4" s="500" t="n"/>
      <c r="C4" s="500" t="n"/>
      <c r="D4" s="500" t="n"/>
      <c r="E4" s="500" t="n"/>
      <c r="F4" s="500" t="n"/>
      <c r="G4" s="500" t="n"/>
      <c r="H4" s="500" t="n"/>
      <c r="I4" s="500" t="n"/>
      <c r="J4" s="500" t="n"/>
      <c r="K4" s="500" t="n"/>
    </row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32" t="inlineStr">
        <is>
          <t>Ghi chú kỹ thuật &amp; Business Rule</t>
        </is>
      </c>
    </row>
    <row r="6" ht="14.25" customHeight="1" s="335">
      <c r="A6" s="433" t="inlineStr">
        <is>
          <t>PG_BRONZE</t>
        </is>
      </c>
      <c r="B6" s="415" t="inlineStr">
        <is>
          <t>T24CORE_CUSTOMER</t>
        </is>
      </c>
      <c r="C6" s="433" t="inlineStr">
        <is>
          <t>RECID</t>
        </is>
      </c>
      <c r="D6" s="433" t="inlineStr">
        <is>
          <t>fn_hash("T24_CUSTOMER", c.RECID)</t>
        </is>
      </c>
      <c r="E6" s="433" t="inlineStr">
        <is>
          <t>Organization Profile</t>
        </is>
      </c>
      <c r="F6" s="433" t="inlineStr">
        <is>
          <t>Customer ID</t>
        </is>
      </c>
      <c r="G6" s="433" t="inlineStr">
        <is>
          <t>ORG_PRFL</t>
        </is>
      </c>
      <c r="H6" s="433" t="inlineStr">
        <is>
          <t>CST_ID</t>
        </is>
      </c>
      <c r="I6" s="415" t="inlineStr">
        <is>
          <t>CHAR</t>
        </is>
      </c>
      <c r="J6" s="415" t="n">
        <v>32</v>
      </c>
      <c r="K6" s="415" t="inlineStr">
        <is>
          <t>Unique key trên DWH</t>
        </is>
      </c>
      <c r="M6" s="334">
        <f>"COMMENT ON COLUMN PG_SILVER."&amp;G6&amp;"."&amp;H6&amp;" IS '"&amp;K6&amp;"';"</f>
        <v/>
      </c>
    </row>
    <row r="7" ht="14.25" customHeight="1" s="335">
      <c r="A7" s="433" t="inlineStr">
        <is>
          <t>PG_BRONZE</t>
        </is>
      </c>
      <c r="B7" s="415" t="inlineStr">
        <is>
          <t>T24CORE_CUSTOMER</t>
        </is>
      </c>
      <c r="C7" s="433" t="inlineStr">
        <is>
          <t>RECID</t>
        </is>
      </c>
      <c r="D7" s="433" t="inlineStr">
        <is>
          <t>1:1</t>
        </is>
      </c>
      <c r="E7" s="433" t="inlineStr">
        <is>
          <t>Organization Profile</t>
        </is>
      </c>
      <c r="F7" s="433" t="inlineStr">
        <is>
          <t>Customer Code</t>
        </is>
      </c>
      <c r="G7" s="433" t="inlineStr">
        <is>
          <t>ORG_PRFL</t>
        </is>
      </c>
      <c r="H7" s="433" t="inlineStr">
        <is>
          <t>CST_CODE</t>
        </is>
      </c>
      <c r="I7" s="415" t="inlineStr">
        <is>
          <t>VARCHAR2</t>
        </is>
      </c>
      <c r="J7" s="415" t="n">
        <v>20</v>
      </c>
      <c r="K7" s="415" t="inlineStr">
        <is>
          <t>Mã CIF</t>
        </is>
      </c>
      <c r="M7" s="334">
        <f>"COMMENT ON COLUMN PG_SILVER."&amp;G7&amp;"."&amp;H7&amp;" IS '"&amp;K7&amp;"';"</f>
        <v/>
      </c>
    </row>
    <row r="8" ht="14.25" customHeight="1" s="335">
      <c r="A8" s="433" t="inlineStr">
        <is>
          <t>PG_BRONZE</t>
        </is>
      </c>
      <c r="B8" s="415" t="inlineStr">
        <is>
          <t>T24CORE_CUSTOMER</t>
        </is>
      </c>
      <c r="C8" s="466" t="inlineStr">
        <is>
          <t>ACTIVE_STATUS</t>
        </is>
      </c>
      <c r="D8" s="433" t="inlineStr">
        <is>
          <t>1:1</t>
        </is>
      </c>
      <c r="E8" s="433" t="inlineStr">
        <is>
          <t>Organization Profile</t>
        </is>
      </c>
      <c r="F8" s="433" t="inlineStr">
        <is>
          <t>Customer Life Cycle Status Code</t>
        </is>
      </c>
      <c r="G8" s="433" t="inlineStr">
        <is>
          <t>ORG_PRFL</t>
        </is>
      </c>
      <c r="H8" s="433" t="inlineStr">
        <is>
          <t>CST_LCS_CODE</t>
        </is>
      </c>
      <c r="I8" s="415" t="inlineStr">
        <is>
          <t>VARCHAR2</t>
        </is>
      </c>
      <c r="J8" s="415" t="n">
        <v>20</v>
      </c>
      <c r="K8" s="466" t="inlineStr">
        <is>
          <t>Trạng thái bản ghi</t>
        </is>
      </c>
      <c r="M8" s="334">
        <f>"COMMENT ON COLUMN PG_SILVER."&amp;G8&amp;"."&amp;H8&amp;" IS '"&amp;K8&amp;"';"</f>
        <v/>
      </c>
    </row>
    <row r="9" ht="14.25" customHeight="1" s="335">
      <c r="A9" s="433" t="inlineStr">
        <is>
          <t>PG_BRONZE</t>
        </is>
      </c>
      <c r="B9" s="415" t="inlineStr">
        <is>
          <t>T24CORE_CUSTOMER</t>
        </is>
      </c>
      <c r="C9" s="433" t="inlineStr">
        <is>
          <t>ASSET_CLASS</t>
        </is>
      </c>
      <c r="D9" s="433" t="inlineStr">
        <is>
          <t>1:1</t>
        </is>
      </c>
      <c r="E9" s="433" t="inlineStr">
        <is>
          <t>Organization Profile</t>
        </is>
      </c>
      <c r="F9" s="433" t="inlineStr">
        <is>
          <t>Customer Financial Status Code</t>
        </is>
      </c>
      <c r="G9" s="433" t="inlineStr">
        <is>
          <t>ORG_PRFL</t>
        </is>
      </c>
      <c r="H9" s="433" t="inlineStr">
        <is>
          <t>CST_FNC_ST_CODE</t>
        </is>
      </c>
      <c r="I9" s="415" t="inlineStr">
        <is>
          <t>VARCHAR2</t>
        </is>
      </c>
      <c r="J9" s="415" t="n">
        <v>20</v>
      </c>
      <c r="K9" s="466" t="inlineStr">
        <is>
          <t>Nhóm nợ khách hàng Core tính</t>
        </is>
      </c>
      <c r="M9" s="334">
        <f>"COMMENT ON COLUMN PG_SILVER."&amp;G9&amp;"."&amp;H9&amp;" IS '"&amp;K9&amp;"';"</f>
        <v/>
      </c>
    </row>
    <row r="10" ht="14.25" customHeight="1" s="335">
      <c r="A10" s="433" t="inlineStr">
        <is>
          <t>PG_BRONZE</t>
        </is>
      </c>
      <c r="B10" s="415" t="inlineStr">
        <is>
          <t>T24CORE_CUSTOMER</t>
        </is>
      </c>
      <c r="C10" s="466" t="inlineStr">
        <is>
          <t>BIRTH_INCORP_DATE</t>
        </is>
      </c>
      <c r="D10" s="433" t="inlineStr">
        <is>
          <t>1:1</t>
        </is>
      </c>
      <c r="E10" s="433" t="inlineStr">
        <is>
          <t>Organization Profile</t>
        </is>
      </c>
      <c r="F10" s="433" t="inlineStr">
        <is>
          <t>Establish Date</t>
        </is>
      </c>
      <c r="G10" s="433" t="inlineStr">
        <is>
          <t>ORG_PRFL</t>
        </is>
      </c>
      <c r="H10" s="433" t="inlineStr">
        <is>
          <t>ESTB_DT</t>
        </is>
      </c>
      <c r="I10" s="415" t="inlineStr">
        <is>
          <t>DATE</t>
        </is>
      </c>
      <c r="J10" s="415" t="n"/>
      <c r="K10" s="466" t="inlineStr">
        <is>
          <t>Ngày thành lập doanh nghiệp</t>
        </is>
      </c>
      <c r="M10" s="334">
        <f>"COMMENT ON COLUMN PG_SILVER."&amp;G10&amp;"."&amp;H10&amp;" IS '"&amp;K10&amp;"';"</f>
        <v/>
      </c>
    </row>
    <row r="11" ht="14.25" customHeight="1" s="335">
      <c r="A11" s="433" t="inlineStr">
        <is>
          <t>PG_BRONZE</t>
        </is>
      </c>
      <c r="B11" s="415" t="inlineStr">
        <is>
          <t>T24CORE_CUSTOMER</t>
        </is>
      </c>
      <c r="C11" s="466" t="inlineStr">
        <is>
          <t>CO_CODE</t>
        </is>
      </c>
      <c r="D11" s="433" t="inlineStr">
        <is>
          <t>1:1</t>
        </is>
      </c>
      <c r="E11" s="433" t="inlineStr">
        <is>
          <t>Organization Profile</t>
        </is>
      </c>
      <c r="F11" s="433" t="inlineStr">
        <is>
          <t>Organization Unit Code</t>
        </is>
      </c>
      <c r="G11" s="433" t="inlineStr">
        <is>
          <t>ORG_PRFL</t>
        </is>
      </c>
      <c r="H11" s="433" t="inlineStr">
        <is>
          <t>OU_CODE</t>
        </is>
      </c>
      <c r="I11" s="415" t="inlineStr">
        <is>
          <t>VARCHAR2</t>
        </is>
      </c>
      <c r="J11" s="415" t="n">
        <v>20</v>
      </c>
      <c r="K11" s="466" t="inlineStr">
        <is>
          <t>Mã chi nhánh quản lý khách hàng</t>
        </is>
      </c>
      <c r="M11" s="334">
        <f>"COMMENT ON COLUMN PG_SILVER."&amp;G11&amp;"."&amp;H11&amp;" IS '"&amp;K11&amp;"';"</f>
        <v/>
      </c>
    </row>
    <row r="12" ht="14.25" customHeight="1" s="335">
      <c r="A12" s="433" t="inlineStr">
        <is>
          <t>PG_BRONZE</t>
        </is>
      </c>
      <c r="B12" s="415" t="inlineStr">
        <is>
          <t>T24CORE_CUSTOMER</t>
        </is>
      </c>
      <c r="C12" s="466" t="inlineStr">
        <is>
          <t>CUSTOMER_STATUS</t>
        </is>
      </c>
      <c r="D12" s="433" t="inlineStr">
        <is>
          <t>1:1</t>
        </is>
      </c>
      <c r="E12" s="433" t="inlineStr">
        <is>
          <t>Organization Profile</t>
        </is>
      </c>
      <c r="F12" s="433" t="inlineStr">
        <is>
          <t>Customer Status Code</t>
        </is>
      </c>
      <c r="G12" s="433" t="inlineStr">
        <is>
          <t>ORG_PRFL</t>
        </is>
      </c>
      <c r="H12" s="433" t="inlineStr">
        <is>
          <t>CST_ST_CODE</t>
        </is>
      </c>
      <c r="I12" s="415" t="inlineStr">
        <is>
          <t>VARCHAR2</t>
        </is>
      </c>
      <c r="J12" s="415" t="n">
        <v>20</v>
      </c>
      <c r="K12" s="466" t="inlineStr">
        <is>
          <t>Trạng thái hiện tại của khách hàng</t>
        </is>
      </c>
      <c r="M12" s="334">
        <f>"COMMENT ON COLUMN PG_SILVER."&amp;G12&amp;"."&amp;H12&amp;" IS '"&amp;K12&amp;"';"</f>
        <v/>
      </c>
    </row>
    <row r="13" ht="14.25" customHeight="1" s="335">
      <c r="A13" s="433" t="inlineStr">
        <is>
          <t>PG_BRONZE</t>
        </is>
      </c>
      <c r="B13" s="415" t="inlineStr">
        <is>
          <t>T24CORE_CUSTOMER</t>
        </is>
      </c>
      <c r="C13" s="466" t="inlineStr">
        <is>
          <t>INDUSTRY</t>
        </is>
      </c>
      <c r="D13" s="433" t="inlineStr">
        <is>
          <t>1:1</t>
        </is>
      </c>
      <c r="E13" s="433" t="inlineStr">
        <is>
          <t>Organization Profile</t>
        </is>
      </c>
      <c r="F13" s="433" t="inlineStr">
        <is>
          <t>Industry Classification Code</t>
        </is>
      </c>
      <c r="G13" s="433" t="inlineStr">
        <is>
          <t>ORG_PRFL</t>
        </is>
      </c>
      <c r="H13" s="433" t="inlineStr">
        <is>
          <t>IDY_CL_CODE</t>
        </is>
      </c>
      <c r="I13" s="415" t="inlineStr">
        <is>
          <t>VARCHAR2</t>
        </is>
      </c>
      <c r="J13" s="415" t="n">
        <v>40</v>
      </c>
      <c r="K13" s="466" t="inlineStr">
        <is>
          <t>Mã ngành nghề đăng ký kinh doanh</t>
        </is>
      </c>
      <c r="M13" s="334">
        <f>"COMMENT ON COLUMN PG_SILVER."&amp;G13&amp;"."&amp;H13&amp;" IS '"&amp;K13&amp;"';"</f>
        <v/>
      </c>
    </row>
    <row r="14" ht="14.25" customHeight="1" s="335">
      <c r="A14" s="433" t="inlineStr">
        <is>
          <t>PG_BRONZE</t>
        </is>
      </c>
      <c r="B14" s="415" t="inlineStr">
        <is>
          <t>T24CORE_CUSTOMER</t>
        </is>
      </c>
      <c r="C14" s="466" t="inlineStr">
        <is>
          <t>INTERNET_BANKING_SERVICE</t>
        </is>
      </c>
      <c r="D14" s="433" t="inlineStr">
        <is>
          <t>1:1</t>
        </is>
      </c>
      <c r="E14" s="433" t="inlineStr">
        <is>
          <t>Organization Profile</t>
        </is>
      </c>
      <c r="F14" s="433" t="inlineStr">
        <is>
          <t>Internet Banking Flag</t>
        </is>
      </c>
      <c r="G14" s="433" t="inlineStr">
        <is>
          <t>ORG_PRFL</t>
        </is>
      </c>
      <c r="H14" s="433" t="inlineStr">
        <is>
          <t>INN_BNKG_F</t>
        </is>
      </c>
      <c r="I14" s="415" t="inlineStr">
        <is>
          <t>VARCHAR2</t>
        </is>
      </c>
      <c r="J14" s="415" t="n">
        <v>20</v>
      </c>
      <c r="K14" s="466" t="inlineStr">
        <is>
          <t>Dịch vụ Internet banking khách hàng giao tiếp</t>
        </is>
      </c>
      <c r="M14" s="334">
        <f>"COMMENT ON COLUMN PG_SILVER."&amp;G14&amp;"."&amp;H14&amp;" IS '"&amp;K14&amp;"';"</f>
        <v/>
      </c>
    </row>
    <row r="15" ht="14.25" customHeight="1" s="335">
      <c r="A15" s="433" t="inlineStr">
        <is>
          <t>PG_BRONZE</t>
        </is>
      </c>
      <c r="B15" s="415" t="inlineStr">
        <is>
          <t>T24CORE_CUSTOMER</t>
        </is>
      </c>
      <c r="C15" s="466" t="inlineStr">
        <is>
          <t>MOBILE_BANKING_SERVICE</t>
        </is>
      </c>
      <c r="D15" s="433" t="inlineStr">
        <is>
          <t>1:1</t>
        </is>
      </c>
      <c r="E15" s="433" t="inlineStr">
        <is>
          <t>Organization Profile</t>
        </is>
      </c>
      <c r="F15" s="433" t="inlineStr">
        <is>
          <t>Mobile Banking Flag</t>
        </is>
      </c>
      <c r="G15" s="433" t="inlineStr">
        <is>
          <t>ORG_PRFL</t>
        </is>
      </c>
      <c r="H15" s="433" t="inlineStr">
        <is>
          <t>MBL_BNKG_F</t>
        </is>
      </c>
      <c r="I15" s="415" t="inlineStr">
        <is>
          <t>VARCHAR2</t>
        </is>
      </c>
      <c r="J15" s="415" t="n">
        <v>20</v>
      </c>
      <c r="K15" s="466" t="inlineStr">
        <is>
          <t>Dịch vụ sử dụng sản phẩm mobile banking</t>
        </is>
      </c>
      <c r="M15" s="334">
        <f>"COMMENT ON COLUMN PG_SILVER."&amp;G15&amp;"."&amp;H15&amp;" IS '"&amp;K15&amp;"';"</f>
        <v/>
      </c>
    </row>
    <row r="16" ht="14.25" customHeight="1" s="335">
      <c r="A16" s="433" t="inlineStr">
        <is>
          <t>PG_BRONZE</t>
        </is>
      </c>
      <c r="B16" s="415" t="inlineStr">
        <is>
          <t>T24CORE_CUSTOMER</t>
        </is>
      </c>
      <c r="C16" s="466" t="inlineStr">
        <is>
          <t>NO_LIEN_DOI</t>
        </is>
      </c>
      <c r="D16" s="433" t="inlineStr">
        <is>
          <t>1:1</t>
        </is>
      </c>
      <c r="E16" s="433" t="inlineStr">
        <is>
          <t>Organization Profile</t>
        </is>
      </c>
      <c r="F16" s="433" t="inlineStr">
        <is>
          <t>Joint liability Flag</t>
        </is>
      </c>
      <c r="G16" s="433" t="inlineStr">
        <is>
          <t>ORG_PRFL</t>
        </is>
      </c>
      <c r="H16" s="433" t="inlineStr">
        <is>
          <t>JNT_LBY_F</t>
        </is>
      </c>
      <c r="I16" s="415" t="inlineStr">
        <is>
          <t>VARCHAR2</t>
        </is>
      </c>
      <c r="J16" s="415" t="n">
        <v>20</v>
      </c>
      <c r="K16" s="466" t="inlineStr">
        <is>
          <t>Nợ liên đới</t>
        </is>
      </c>
      <c r="M16" s="334">
        <f>"COMMENT ON COLUMN PG_SILVER."&amp;G16&amp;"."&amp;H16&amp;" IS '"&amp;K16&amp;"';"</f>
        <v/>
      </c>
    </row>
    <row r="17" ht="14.25" customHeight="1" s="335">
      <c r="A17" s="433" t="inlineStr">
        <is>
          <t>PG_BRONZE</t>
        </is>
      </c>
      <c r="B17" s="415" t="inlineStr">
        <is>
          <t>T24CORE_CUSTOMER</t>
        </is>
      </c>
      <c r="C17" s="466" t="inlineStr">
        <is>
          <t>TAX_SERIAL, VAT_INV_SERIAL</t>
        </is>
      </c>
      <c r="D17" s="433" t="inlineStr">
        <is>
          <t>COALESCE(c.TAX_SERIAL, c.VAT_INV_SERIAL)</t>
        </is>
      </c>
      <c r="E17" s="433" t="inlineStr">
        <is>
          <t>Organization Profile</t>
        </is>
      </c>
      <c r="F17" s="433" t="inlineStr">
        <is>
          <t>Tax Identification Number</t>
        </is>
      </c>
      <c r="G17" s="433" t="inlineStr">
        <is>
          <t>ORG_PRFL</t>
        </is>
      </c>
      <c r="H17" s="433" t="inlineStr">
        <is>
          <t>TAX_IDENTN_NBR</t>
        </is>
      </c>
      <c r="I17" s="415" t="inlineStr">
        <is>
          <t>VARCHAR2</t>
        </is>
      </c>
      <c r="J17" s="415" t="n">
        <v>100</v>
      </c>
      <c r="K17" s="466" t="inlineStr">
        <is>
          <t>Mã số thuế</t>
        </is>
      </c>
      <c r="M17" s="334">
        <f>"COMMENT ON COLUMN PG_SILVER."&amp;G17&amp;"."&amp;H17&amp;" IS '"&amp;K17&amp;"';"</f>
        <v/>
      </c>
    </row>
    <row r="18" ht="16.5" customHeight="1" s="335">
      <c r="A18" s="433" t="inlineStr">
        <is>
          <t>PG_BRONZE</t>
        </is>
      </c>
      <c r="B18" s="415" t="inlineStr">
        <is>
          <t>T24CORE_CUSTOMER</t>
        </is>
      </c>
      <c r="C18" s="466" t="inlineStr">
        <is>
          <t>VIP_CUSTOMER</t>
        </is>
      </c>
      <c r="D18" s="433" t="inlineStr">
        <is>
          <t>1:1</t>
        </is>
      </c>
      <c r="E18" s="433" t="inlineStr">
        <is>
          <t>Organization Profile</t>
        </is>
      </c>
      <c r="F18" s="433" t="inlineStr">
        <is>
          <t>VIP Flag</t>
        </is>
      </c>
      <c r="G18" s="433" t="inlineStr">
        <is>
          <t>ORG_PRFL</t>
        </is>
      </c>
      <c r="H18" s="433" t="inlineStr">
        <is>
          <t>VIP_F</t>
        </is>
      </c>
      <c r="I18" s="415" t="inlineStr">
        <is>
          <t>VARCHAR2</t>
        </is>
      </c>
      <c r="J18" s="415" t="n">
        <v>20</v>
      </c>
      <c r="K18" s="466" t="inlineStr">
        <is>
          <t>Đánh dấu khách hàng ưu tiên</t>
        </is>
      </c>
      <c r="M18" s="334">
        <f>"COMMENT ON COLUMN PG_SILVER."&amp;G18&amp;"."&amp;H18&amp;" IS '"&amp;K18&amp;"';"</f>
        <v/>
      </c>
    </row>
    <row r="19" ht="14.25" customHeight="1" s="335">
      <c r="A19" s="415" t="inlineStr">
        <is>
          <t>PG_BRONZE</t>
        </is>
      </c>
      <c r="B19" s="415" t="inlineStr">
        <is>
          <t>T24CORE_CUSTOMER</t>
        </is>
      </c>
      <c r="C19" s="415" t="inlineStr">
        <is>
          <t>CUS_IND_PARENT</t>
        </is>
      </c>
      <c r="D19" s="433" t="inlineStr">
        <is>
          <t>1:1</t>
        </is>
      </c>
      <c r="E19" s="433" t="inlineStr">
        <is>
          <t>Organization Profile</t>
        </is>
      </c>
      <c r="F19" s="433" t="inlineStr">
        <is>
          <t>Industry LV1 Classification Code</t>
        </is>
      </c>
      <c r="G19" s="433" t="inlineStr">
        <is>
          <t>ORG_PRFL</t>
        </is>
      </c>
      <c r="H19" s="558" t="inlineStr">
        <is>
          <t>IDY_LV1_CL_CODE</t>
        </is>
      </c>
      <c r="I19" s="415" t="inlineStr">
        <is>
          <t>VARCHAR2</t>
        </is>
      </c>
      <c r="J19" s="415" t="n">
        <v>20</v>
      </c>
      <c r="K19" s="415" t="inlineStr">
        <is>
          <t>Mã ngành nghê kinh tế cha</t>
        </is>
      </c>
      <c r="M19" s="334">
        <f>"COMMENT ON COLUMN PG_SILVER."&amp;G19&amp;"."&amp;H19&amp;" IS '"&amp;K19&amp;"';"</f>
        <v/>
      </c>
    </row>
    <row r="20" ht="14.25" customHeight="1" s="335">
      <c r="A20" s="415" t="inlineStr">
        <is>
          <t>PG_BRONZE</t>
        </is>
      </c>
      <c r="B20" s="415" t="inlineStr">
        <is>
          <t>T24CORE_CUSTOMER</t>
        </is>
      </c>
      <c r="C20" s="415" t="inlineStr">
        <is>
          <t>MB_INDUSTRY</t>
        </is>
      </c>
      <c r="D20" s="433" t="inlineStr">
        <is>
          <t>1:1</t>
        </is>
      </c>
      <c r="E20" s="433" t="inlineStr">
        <is>
          <t>Organization Profile</t>
        </is>
      </c>
      <c r="F20" s="433" t="inlineStr">
        <is>
          <t>Industry LV2 Classification Code</t>
        </is>
      </c>
      <c r="G20" s="433" t="inlineStr">
        <is>
          <t>ORG_PRFL</t>
        </is>
      </c>
      <c r="H20" s="558" t="inlineStr">
        <is>
          <t>IDY_LV2_CL_CODE</t>
        </is>
      </c>
      <c r="I20" s="415" t="inlineStr">
        <is>
          <t>VARCHAR2</t>
        </is>
      </c>
      <c r="J20" s="415" t="n">
        <v>20</v>
      </c>
      <c r="K20" s="415" t="inlineStr">
        <is>
          <t>Ngành nghề kinh tế</t>
        </is>
      </c>
      <c r="M20" s="334">
        <f>"COMMENT ON COLUMN PG_SILVER."&amp;G20&amp;"."&amp;H20&amp;" IS '"&amp;K20&amp;"';"</f>
        <v/>
      </c>
    </row>
    <row r="21" ht="14.25" customHeight="1" s="335">
      <c r="A21" s="415" t="inlineStr">
        <is>
          <t>PG_BRONZE</t>
        </is>
      </c>
      <c r="B21" s="415" t="inlineStr">
        <is>
          <t>T24CORE_CUSTOMER</t>
        </is>
      </c>
      <c r="C21" s="415" t="inlineStr">
        <is>
          <t>ESTAB_LIC_CODE</t>
        </is>
      </c>
      <c r="D21" s="433" t="inlineStr">
        <is>
          <t>1:1</t>
        </is>
      </c>
      <c r="E21" s="433" t="inlineStr">
        <is>
          <t>Organization Profile</t>
        </is>
      </c>
      <c r="F21" s="433" t="inlineStr">
        <is>
          <t>Business Registration Number</t>
        </is>
      </c>
      <c r="G21" s="433" t="inlineStr">
        <is>
          <t>ORG_PRFL</t>
        </is>
      </c>
      <c r="H21" s="558" t="inlineStr">
        <is>
          <t>BSN_RGST_NBR</t>
        </is>
      </c>
      <c r="I21" s="415" t="inlineStr">
        <is>
          <t>VARCHAR2</t>
        </is>
      </c>
      <c r="J21" s="415" t="n">
        <v>40</v>
      </c>
      <c r="K21" s="415" t="inlineStr">
        <is>
          <t>Số giấy phép đăng ký kinh doanh</t>
        </is>
      </c>
      <c r="L21" s="334" t="inlineStr">
        <is>
          <t>BSN_RGST_NBR</t>
        </is>
      </c>
      <c r="M21" s="334">
        <f>"COMMENT ON COLUMN PG_SILVER."&amp;G21&amp;"."&amp;H21&amp;" IS '"&amp;K21&amp;"';"</f>
        <v/>
      </c>
      <c r="N21" s="334" t="inlineStr">
        <is>
          <t>Bổ sung từ T24CORE_CUSTOMER.ESTAB_LIC_CODE phục vụ INF_CST.BSN_RGST_NBR</t>
        </is>
      </c>
    </row>
    <row r="22" ht="14.25" customHeight="1" s="335">
      <c r="A22" s="415" t="inlineStr">
        <is>
          <t>PG_BRONZE</t>
        </is>
      </c>
      <c r="B22" s="415" t="inlineStr">
        <is>
          <t>T24CORE_CUSTOMER</t>
        </is>
      </c>
      <c r="C22" s="415" t="inlineStr">
        <is>
          <t>VAT_INV_DATE</t>
        </is>
      </c>
      <c r="D22" s="433" t="inlineStr">
        <is>
          <t>1:1</t>
        </is>
      </c>
      <c r="E22" s="433" t="inlineStr">
        <is>
          <t>Organization Profile</t>
        </is>
      </c>
      <c r="F22" s="433" t="inlineStr">
        <is>
          <t>Business Registration Effective Date</t>
        </is>
      </c>
      <c r="G22" s="433" t="inlineStr">
        <is>
          <t>ORG_PRFL</t>
        </is>
      </c>
      <c r="H22" s="558" t="inlineStr">
        <is>
          <t>BSN_RGST_EFF_DT</t>
        </is>
      </c>
      <c r="I22" s="415" t="inlineStr">
        <is>
          <t>DATE</t>
        </is>
      </c>
      <c r="J22" s="415" t="n"/>
      <c r="K22" s="415" t="inlineStr">
        <is>
          <t>Ngày cấp giấy phép ĐKKD / phát hành hóa đơn</t>
        </is>
      </c>
      <c r="L22" s="334" t="inlineStr">
        <is>
          <t>BSN_RGST_EFF_DT</t>
        </is>
      </c>
      <c r="M22" s="334">
        <f>"COMMENT ON COLUMN PG_SILVER."&amp;G22&amp;"."&amp;H22&amp;" IS '"&amp;K22&amp;"';"</f>
        <v/>
      </c>
      <c r="N22" s="334" t="inlineStr">
        <is>
          <t>Bổ sung từ T24CORE_CUSTOMER.VAT_INV_DATE phục vụ INF_CST.BSN_RGST_EFF_DT</t>
        </is>
      </c>
    </row>
    <row r="23" ht="14.25" customHeight="1" s="335">
      <c r="A23" s="415" t="inlineStr">
        <is>
          <t>PG_BRONZE</t>
        </is>
      </c>
      <c r="B23" s="415" t="inlineStr">
        <is>
          <t>T24CORE_CUSTOMER</t>
        </is>
      </c>
      <c r="C23" s="415" t="inlineStr">
        <is>
          <t>FFB_TYPE</t>
        </is>
      </c>
      <c r="D23" s="433" t="inlineStr">
        <is>
          <t>1:1</t>
        </is>
      </c>
      <c r="E23" s="433" t="inlineStr">
        <is>
          <t>Organization Profile</t>
        </is>
      </c>
      <c r="F23" s="433" t="inlineStr">
        <is>
          <t>Vip Type Code</t>
        </is>
      </c>
      <c r="G23" s="433" t="inlineStr">
        <is>
          <t>ORG_PRFL</t>
        </is>
      </c>
      <c r="H23" s="558" t="inlineStr">
        <is>
          <t>VIP_TP_CODE</t>
        </is>
      </c>
      <c r="I23" s="415" t="inlineStr">
        <is>
          <t>VARCHAR2</t>
        </is>
      </c>
      <c r="J23" s="415" t="n">
        <v>20</v>
      </c>
      <c r="K23" s="415" t="inlineStr">
        <is>
          <t>Phân hạng khách hàng ưu tiên (VIP)</t>
        </is>
      </c>
      <c r="L23" s="334" t="inlineStr">
        <is>
          <t>VIP_TP_CODE</t>
        </is>
      </c>
      <c r="M23" s="334">
        <f>"COMMENT ON COLUMN PG_SILVER."&amp;G23&amp;"."&amp;H23&amp;" IS '"&amp;K23&amp;"';"</f>
        <v/>
      </c>
      <c r="N23" s="334" t="inlineStr">
        <is>
          <t>Bổ sung từ T24CORE_CUSTOMER.FFB_TYPE phục vụ INF_CST.VIP_TP_CODE</t>
        </is>
      </c>
    </row>
    <row r="24" ht="14.25" customHeight="1" s="335">
      <c r="A24" s="415" t="inlineStr">
        <is>
          <t>PG_BRONZE</t>
        </is>
      </c>
      <c r="B24" s="415" t="inlineStr">
        <is>
          <t>T24CORE_CUSTOMER</t>
        </is>
      </c>
      <c r="C24" s="415" t="inlineStr">
        <is>
          <t>CU_EFF_DATE</t>
        </is>
      </c>
      <c r="D24" s="433" t="inlineStr">
        <is>
          <t>1:1</t>
        </is>
      </c>
      <c r="E24" s="433" t="inlineStr">
        <is>
          <t>Organization Profile</t>
        </is>
      </c>
      <c r="F24" s="433" t="inlineStr">
        <is>
          <t>Vip Effective Date</t>
        </is>
      </c>
      <c r="G24" s="433" t="inlineStr">
        <is>
          <t>ORG_PRFL</t>
        </is>
      </c>
      <c r="H24" s="558" t="inlineStr">
        <is>
          <t>VIP_EFF_DT</t>
        </is>
      </c>
      <c r="I24" s="415" t="inlineStr">
        <is>
          <t>DATE</t>
        </is>
      </c>
      <c r="J24" s="415" t="n"/>
      <c r="K24" s="415" t="inlineStr">
        <is>
          <t>Ngày hiệu lực phân hạng khách hàng VIP</t>
        </is>
      </c>
      <c r="L24" s="334" t="inlineStr">
        <is>
          <t>VIP_EFF_DT</t>
        </is>
      </c>
      <c r="M24" s="334">
        <f>"COMMENT ON COLUMN PG_SILVER."&amp;G24&amp;"."&amp;H24&amp;" IS '"&amp;K24&amp;"';"</f>
        <v/>
      </c>
      <c r="N24" s="334" t="inlineStr">
        <is>
          <t>Bổ sung từ T24CORE_CUSTOMER.CU_EFF_DATE phục vụ INF_CST.VIP_EFF_DT</t>
        </is>
      </c>
    </row>
    <row r="25" ht="14.25" customHeight="1" s="335">
      <c r="A25" s="415" t="inlineStr">
        <is>
          <t>PG_BRONZE</t>
        </is>
      </c>
      <c r="B25" s="415" t="inlineStr">
        <is>
          <t>T24CORE_CUSTOMER</t>
        </is>
      </c>
      <c r="C25" s="415" t="inlineStr">
        <is>
          <t>KYC_CHANNEL</t>
        </is>
      </c>
      <c r="D25" s="433" t="inlineStr">
        <is>
          <t>1:1</t>
        </is>
      </c>
      <c r="E25" s="433" t="inlineStr">
        <is>
          <t>Organization Profile</t>
        </is>
      </c>
      <c r="F25" s="433" t="inlineStr">
        <is>
          <t>KYC Channel Code</t>
        </is>
      </c>
      <c r="G25" s="433" t="inlineStr">
        <is>
          <t>ORG_PRFL</t>
        </is>
      </c>
      <c r="H25" s="558" t="inlineStr">
        <is>
          <t>KYC_CNL_CODE</t>
        </is>
      </c>
      <c r="I25" s="415" t="inlineStr">
        <is>
          <t>VARCHAR2</t>
        </is>
      </c>
      <c r="J25" s="415" t="n">
        <v>20</v>
      </c>
      <c r="K25" s="415" t="inlineStr">
        <is>
          <t>Kênh thực hiện KYC</t>
        </is>
      </c>
      <c r="L25" s="334" t="inlineStr">
        <is>
          <t>KYC_CNL_CODE</t>
        </is>
      </c>
      <c r="M25" s="334">
        <f>"COMMENT ON COLUMN PG_SILVER."&amp;G25&amp;"."&amp;H25&amp;" IS '"&amp;K25&amp;"';"</f>
        <v/>
      </c>
      <c r="N25" s="334" t="inlineStr">
        <is>
          <t>Bổ sung từ T24CORE_CUSTOMER.KYC_CHANNEL phục vụ INF_CST.KYC_CNL_CODE</t>
        </is>
      </c>
    </row>
    <row r="26" ht="14.25" customHeight="1" s="335">
      <c r="A26" s="415" t="inlineStr">
        <is>
          <t>PG_BRONZE</t>
        </is>
      </c>
      <c r="B26" s="415" t="inlineStr">
        <is>
          <t>T24CORE_CUSTOMER</t>
        </is>
      </c>
      <c r="C26" s="415" t="inlineStr">
        <is>
          <t>GEN_DIR_PLC</t>
        </is>
      </c>
      <c r="D26" s="433" t="inlineStr">
        <is>
          <t>1:1</t>
        </is>
      </c>
      <c r="E26" s="433" t="inlineStr">
        <is>
          <t>Organization Profile</t>
        </is>
      </c>
      <c r="F26" s="433" t="inlineStr">
        <is>
          <t>General Director Place</t>
        </is>
      </c>
      <c r="G26" s="433" t="inlineStr">
        <is>
          <t>ORG_PRFL</t>
        </is>
      </c>
      <c r="H26" s="558" t="inlineStr">
        <is>
          <t>GEN_DIR_PLC</t>
        </is>
      </c>
      <c r="I26" s="415" t="inlineStr">
        <is>
          <t>VARCHAR2</t>
        </is>
      </c>
      <c r="J26" s="415" t="n">
        <v>100</v>
      </c>
      <c r="K26" s="415" t="inlineStr">
        <is>
          <t>Nơi sinh Tổng giám đốc / người đại diện pháp luật</t>
        </is>
      </c>
      <c r="L26" s="334" t="inlineStr">
        <is>
          <t>GEN_DIR_PLC</t>
        </is>
      </c>
      <c r="M26" s="334">
        <f>"COMMENT ON COLUMN PG_SILVER."&amp;G26&amp;"."&amp;H26&amp;" IS '"&amp;K26&amp;"';"</f>
        <v/>
      </c>
      <c r="N26" s="334" t="inlineStr">
        <is>
          <t>Bổ sung từ T24CORE_CUSTOMER.GEN_DIR_PLC phục vụ INF_CST.GEN_DIR_PLC</t>
        </is>
      </c>
    </row>
    <row r="27" ht="14.25" customHeight="1" s="335">
      <c r="A27" s="415" t="inlineStr">
        <is>
          <t>PG_BRONZE</t>
        </is>
      </c>
      <c r="B27" s="415" t="inlineStr">
        <is>
          <t>T24CORE_CUSTOMER</t>
        </is>
      </c>
      <c r="C27" s="415" t="inlineStr">
        <is>
          <t>BDAY_DIRECTOR</t>
        </is>
      </c>
      <c r="D27" s="433" t="inlineStr">
        <is>
          <t>1:1</t>
        </is>
      </c>
      <c r="E27" s="433" t="inlineStr">
        <is>
          <t>Organization Profile</t>
        </is>
      </c>
      <c r="F27" s="433" t="inlineStr">
        <is>
          <t>Director Date Of Birth</t>
        </is>
      </c>
      <c r="G27" s="433" t="inlineStr">
        <is>
          <t>ORG_PRFL</t>
        </is>
      </c>
      <c r="H27" s="558" t="inlineStr">
        <is>
          <t>DIR_DOB</t>
        </is>
      </c>
      <c r="I27" s="415" t="inlineStr">
        <is>
          <t>DATE</t>
        </is>
      </c>
      <c r="J27" s="415" t="n"/>
      <c r="K27" s="415" t="inlineStr">
        <is>
          <t>Ngày sinh Giám đốc / người đại diện pháp luật</t>
        </is>
      </c>
      <c r="L27" s="334" t="inlineStr">
        <is>
          <t>DIR_DOB</t>
        </is>
      </c>
      <c r="M27" s="334">
        <f>"COMMENT ON COLUMN PG_SILVER."&amp;G27&amp;"."&amp;H27&amp;" IS '"&amp;K27&amp;"';"</f>
        <v/>
      </c>
      <c r="N27" s="334" t="inlineStr">
        <is>
          <t>Bổ sung từ T24CORE_CUSTOMER.BDAY_DIRECTOR phục vụ INF_CST.DIR_DOB</t>
        </is>
      </c>
    </row>
    <row r="28" ht="14.25" customHeight="1" s="335">
      <c r="A28" s="415" t="inlineStr">
        <is>
          <t>PG_BRONZE</t>
        </is>
      </c>
      <c r="B28" s="415" t="inlineStr">
        <is>
          <t>T24CORE_CUSTOMER</t>
        </is>
      </c>
      <c r="C28" s="415" t="inlineStr">
        <is>
          <t>CONTACT_PERSON</t>
        </is>
      </c>
      <c r="D28" s="433" t="inlineStr">
        <is>
          <t>1:1</t>
        </is>
      </c>
      <c r="E28" s="433" t="inlineStr">
        <is>
          <t>Organization Profile</t>
        </is>
      </c>
      <c r="F28" s="433" t="inlineStr">
        <is>
          <t>Contact Person</t>
        </is>
      </c>
      <c r="G28" s="433" t="inlineStr">
        <is>
          <t>ORG_PRFL</t>
        </is>
      </c>
      <c r="H28" s="558" t="inlineStr">
        <is>
          <t>CNTCT_PRSN</t>
        </is>
      </c>
      <c r="I28" s="415" t="inlineStr">
        <is>
          <t>VARCHAR2</t>
        </is>
      </c>
      <c r="J28" s="415" t="n">
        <v>40</v>
      </c>
      <c r="K28" s="415" t="inlineStr">
        <is>
          <t>Họ tên người liên hệ chính KHDN</t>
        </is>
      </c>
      <c r="L28" s="334" t="inlineStr">
        <is>
          <t>CNTCT_PRSN</t>
        </is>
      </c>
      <c r="M28" s="334">
        <f>"COMMENT ON COLUMN PG_SILVER."&amp;G28&amp;"."&amp;H28&amp;" IS '"&amp;K28&amp;"';"</f>
        <v/>
      </c>
      <c r="N28" s="334" t="inlineStr">
        <is>
          <t>Bổ sung từ T24CORE_CUSTOMER.CONTACT_PERSON phục vụ INF_CST.CNTCT_PRSN</t>
        </is>
      </c>
    </row>
    <row r="29" ht="14.25" customHeight="1" s="335">
      <c r="A29" s="415" t="inlineStr">
        <is>
          <t>PG_BRONZE</t>
        </is>
      </c>
      <c r="B29" s="415" t="inlineStr">
        <is>
          <t>T24CORE_CUSTOMER</t>
        </is>
      </c>
      <c r="C29" s="415" t="inlineStr">
        <is>
          <t>PHONE_CONT_PER</t>
        </is>
      </c>
      <c r="D29" s="433" t="inlineStr">
        <is>
          <t>1:1</t>
        </is>
      </c>
      <c r="E29" s="433" t="inlineStr">
        <is>
          <t>Organization Profile</t>
        </is>
      </c>
      <c r="F29" s="433" t="inlineStr">
        <is>
          <t>Contact Person Phone</t>
        </is>
      </c>
      <c r="G29" s="433" t="inlineStr">
        <is>
          <t>ORG_PRFL</t>
        </is>
      </c>
      <c r="H29" s="558" t="inlineStr">
        <is>
          <t>CNTCT_PRSN_PHN</t>
        </is>
      </c>
      <c r="I29" s="415" t="inlineStr">
        <is>
          <t>VARCHAR2</t>
        </is>
      </c>
      <c r="J29" s="415" t="n">
        <v>100</v>
      </c>
      <c r="K29" s="415" t="inlineStr">
        <is>
          <t>Số điện thoại người liên hệ chính KHDN</t>
        </is>
      </c>
      <c r="L29" s="334" t="inlineStr">
        <is>
          <t>CNTCT_PRSN_PHN</t>
        </is>
      </c>
      <c r="M29" s="334">
        <f>"COMMENT ON COLUMN PG_SILVER."&amp;G29&amp;"."&amp;H29&amp;" IS '"&amp;K29&amp;"';"</f>
        <v/>
      </c>
      <c r="N29" s="334" t="inlineStr">
        <is>
          <t>Bổ sung từ T24CORE_CUSTOMER.PHONE_CONT_PER phục vụ INF_CST.CNTCT_PRSN_PHN</t>
        </is>
      </c>
    </row>
    <row r="30" ht="14.25" customHeight="1" s="335">
      <c r="A30" s="415" t="inlineStr">
        <is>
          <t>PG_BRONZE</t>
        </is>
      </c>
      <c r="B30" s="415" t="inlineStr">
        <is>
          <t>T24CORE_CUSTOMER</t>
        </is>
      </c>
      <c r="C30" s="415" t="inlineStr">
        <is>
          <t>AML_RESULT</t>
        </is>
      </c>
      <c r="D30" s="433" t="inlineStr">
        <is>
          <t>1:1</t>
        </is>
      </c>
      <c r="E30" s="433" t="inlineStr">
        <is>
          <t>Organization Profile</t>
        </is>
      </c>
      <c r="F30" s="433" t="inlineStr">
        <is>
          <t>AML Result</t>
        </is>
      </c>
      <c r="G30" s="433" t="inlineStr">
        <is>
          <t>ORG_PRFL</t>
        </is>
      </c>
      <c r="H30" s="558" t="inlineStr">
        <is>
          <t>AML_RSLT</t>
        </is>
      </c>
      <c r="I30" s="415" t="inlineStr">
        <is>
          <t>VARCHAR2</t>
        </is>
      </c>
      <c r="J30" s="415" t="n">
        <v>100</v>
      </c>
      <c r="K30" s="415" t="inlineStr">
        <is>
          <t>Kết quả sàng lọc phòng chống rửa tiền (AML)</t>
        </is>
      </c>
      <c r="L30" s="334" t="inlineStr">
        <is>
          <t>AML_RSLT</t>
        </is>
      </c>
      <c r="M30" s="334">
        <f>"COMMENT ON COLUMN PG_SILVER."&amp;G30&amp;"."&amp;H30&amp;" IS '"&amp;K30&amp;"';"</f>
        <v/>
      </c>
      <c r="N30" s="334" t="inlineStr">
        <is>
          <t>Bổ sung từ T24CORE_CUSTOMER.AML_RESULT phục vụ INF_CST.AML_RSLT</t>
        </is>
      </c>
    </row>
    <row r="31" ht="14.25" customHeight="1" s="335">
      <c r="A31" s="415" t="inlineStr">
        <is>
          <t>PG_BRONZE</t>
        </is>
      </c>
      <c r="B31" s="415" t="inlineStr">
        <is>
          <t>T24CORE_CUSTOMER</t>
        </is>
      </c>
      <c r="C31" s="415" t="inlineStr">
        <is>
          <t>AML_CHECK</t>
        </is>
      </c>
      <c r="D31" s="433" t="inlineStr">
        <is>
          <t>1:1</t>
        </is>
      </c>
      <c r="E31" s="433" t="inlineStr">
        <is>
          <t>Organization Profile</t>
        </is>
      </c>
      <c r="F31" s="433" t="inlineStr">
        <is>
          <t>AML Check Flag</t>
        </is>
      </c>
      <c r="G31" s="433" t="inlineStr">
        <is>
          <t>ORG_PRFL</t>
        </is>
      </c>
      <c r="H31" s="558" t="inlineStr">
        <is>
          <t>AML_CHK_F</t>
        </is>
      </c>
      <c r="I31" s="415" t="inlineStr">
        <is>
          <t>VARCHAR2</t>
        </is>
      </c>
      <c r="J31" s="415" t="n">
        <v>20</v>
      </c>
      <c r="K31" s="415" t="inlineStr">
        <is>
          <t>Cờ kiểm tra phòng chống rửa tiền (AML)</t>
        </is>
      </c>
      <c r="L31" s="334" t="inlineStr">
        <is>
          <t>AML_CHK_F</t>
        </is>
      </c>
      <c r="M31" s="334">
        <f>"COMMENT ON COLUMN PG_SILVER."&amp;G31&amp;"."&amp;H31&amp;" IS '"&amp;K31&amp;"';"</f>
        <v/>
      </c>
      <c r="N31" s="334" t="inlineStr">
        <is>
          <t>Bổ sung từ T24CORE_CUSTOMER.AML_CHECK phục vụ INF_CST.AML_CHK_F</t>
        </is>
      </c>
    </row>
    <row r="32" ht="14.25" customHeight="1" s="335">
      <c r="A32" s="415" t="inlineStr">
        <is>
          <t>PG_BRONZE</t>
        </is>
      </c>
      <c r="B32" s="415" t="inlineStr">
        <is>
          <t>T24CORE_CUSTOMER</t>
        </is>
      </c>
      <c r="C32" s="415" t="inlineStr">
        <is>
          <t>MB_CR_STT</t>
        </is>
      </c>
      <c r="D32" s="433" t="inlineStr">
        <is>
          <t>1:1</t>
        </is>
      </c>
      <c r="E32" s="433" t="inlineStr">
        <is>
          <t>Organization Profile</t>
        </is>
      </c>
      <c r="F32" s="433" t="inlineStr">
        <is>
          <t>MB Credit Status</t>
        </is>
      </c>
      <c r="G32" s="433" t="inlineStr">
        <is>
          <t>ORG_PRFL</t>
        </is>
      </c>
      <c r="H32" s="558" t="inlineStr">
        <is>
          <t>MB_CR_ST</t>
        </is>
      </c>
      <c r="I32" s="415" t="inlineStr">
        <is>
          <t>VARCHAR2</t>
        </is>
      </c>
      <c r="J32" s="415" t="n">
        <v>20</v>
      </c>
      <c r="K32" s="415" t="inlineStr">
        <is>
          <t>Trạng thái quan hệ tín dụng MB</t>
        </is>
      </c>
      <c r="L32" s="334" t="inlineStr">
        <is>
          <t>MB_CR_ST</t>
        </is>
      </c>
      <c r="M32" s="334">
        <f>"COMMENT ON COLUMN PG_SILVER."&amp;G32&amp;"."&amp;H32&amp;" IS '"&amp;K32&amp;"';"</f>
        <v/>
      </c>
      <c r="N32" s="334" t="inlineStr">
        <is>
          <t>Bổ sung từ T24CORE_CUSTOMER.MB_CR_STT phục vụ INF_CST.MB_CR_ST</t>
        </is>
      </c>
    </row>
    <row r="33" ht="14.25" customHeight="1" s="335">
      <c r="A33" s="415" t="inlineStr">
        <is>
          <t>PG_BRONZE</t>
        </is>
      </c>
      <c r="B33" s="415" t="inlineStr">
        <is>
          <t>T24CORE_CUSTOMER</t>
        </is>
      </c>
      <c r="C33" s="415" t="inlineStr">
        <is>
          <t>RECID</t>
        </is>
      </c>
      <c r="D33" s="415" t="inlineStr">
        <is>
          <t>ETL_DATE if not exists CST_ID</t>
        </is>
      </c>
      <c r="E33" s="433" t="inlineStr">
        <is>
          <t>Organization Profile</t>
        </is>
      </c>
      <c r="F33" s="415" t="inlineStr">
        <is>
          <t>System Effective Date</t>
        </is>
      </c>
      <c r="G33" s="433" t="inlineStr">
        <is>
          <t>ORG_PRFL</t>
        </is>
      </c>
      <c r="H33" s="415" t="inlineStr">
        <is>
          <t>SYS_EFF_DT</t>
        </is>
      </c>
      <c r="I33" s="415" t="inlineStr">
        <is>
          <t>DATE</t>
        </is>
      </c>
      <c r="J33" s="415" t="n"/>
      <c r="K33" s="415" t="inlineStr">
        <is>
          <t>Ngày bản ghi lần đầu tiên vào hệ thống</t>
        </is>
      </c>
      <c r="M33" s="334">
        <f>"COMMENT ON COLUMN PG_SILVER."&amp;G33&amp;"."&amp;H33&amp;" IS '"&amp;K33&amp;"';"</f>
        <v/>
      </c>
    </row>
    <row r="34" ht="14.25" customHeight="1" s="335">
      <c r="A34" s="415" t="inlineStr">
        <is>
          <t>PG_BRONZE</t>
        </is>
      </c>
      <c r="B34" s="415" t="inlineStr">
        <is>
          <t>T24CORE_CUSTOMER</t>
        </is>
      </c>
      <c r="C34" s="415" t="inlineStr">
        <is>
          <t>RECID</t>
        </is>
      </c>
      <c r="D34" s="415" t="inlineStr">
        <is>
          <t>ETL_DATE if RECID was deleted</t>
        </is>
      </c>
      <c r="E34" s="433" t="inlineStr">
        <is>
          <t>Organization Profile</t>
        </is>
      </c>
      <c r="F34" s="415" t="inlineStr">
        <is>
          <t>System Expiry Date</t>
        </is>
      </c>
      <c r="G34" s="433" t="inlineStr">
        <is>
          <t>ORG_PRFL</t>
        </is>
      </c>
      <c r="H34" s="415" t="inlineStr">
        <is>
          <t>SYS_EXP_DT</t>
        </is>
      </c>
      <c r="I34" s="415" t="inlineStr">
        <is>
          <t>DATE</t>
        </is>
      </c>
      <c r="J34" s="415" t="n"/>
      <c r="K34" s="415" t="inlineStr">
        <is>
          <t>Ngày hết hạn của bản ghi</t>
        </is>
      </c>
      <c r="M34" s="334">
        <f>"COMMENT ON COLUMN PG_SILVER."&amp;G34&amp;"."&amp;H34&amp;" IS '"&amp;K34&amp;"';"</f>
        <v/>
      </c>
    </row>
    <row r="35" ht="14.25" customHeight="1" s="335">
      <c r="A35" s="415" t="inlineStr">
        <is>
          <t>PG_BRONZE</t>
        </is>
      </c>
      <c r="B35" s="415" t="inlineStr">
        <is>
          <t>T24CORE_CUSTOMER</t>
        </is>
      </c>
      <c r="C35" s="415" t="inlineStr">
        <is>
          <t>RECID</t>
        </is>
      </c>
      <c r="D35" s="415" t="inlineStr">
        <is>
          <t>ETL_DATE</t>
        </is>
      </c>
      <c r="E35" s="433" t="inlineStr">
        <is>
          <t>Organization Profile</t>
        </is>
      </c>
      <c r="F35" s="415" t="inlineStr">
        <is>
          <t>System Update Date</t>
        </is>
      </c>
      <c r="G35" s="433" t="inlineStr">
        <is>
          <t>ORG_PRFL</t>
        </is>
      </c>
      <c r="H35" s="415" t="inlineStr">
        <is>
          <t>SYS_UDT_DT</t>
        </is>
      </c>
      <c r="I35" s="415" t="inlineStr">
        <is>
          <t>DATE</t>
        </is>
      </c>
      <c r="J35" s="415" t="n"/>
      <c r="K35" s="415" t="inlineStr">
        <is>
          <t>Ngày update dữ liệu gần nhất</t>
        </is>
      </c>
      <c r="M35" s="334">
        <f>"COMMENT ON COLUMN PG_SILVER."&amp;G35&amp;"."&amp;H35&amp;" IS '"&amp;K35&amp;"';"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29.44" customWidth="1" style="334" min="3" max="3"/>
    <col width="38.33" customWidth="1" style="334" min="4" max="4"/>
    <col width="34.66" customWidth="1" style="334" min="5" max="5"/>
    <col width="29.44" customWidth="1" style="334" min="6" max="6"/>
    <col width="16.67" customWidth="1" style="334" min="7" max="7"/>
    <col width="18.88" customWidth="1" style="334" min="8" max="8"/>
    <col width="6.67" customWidth="1" style="334" min="10" max="10"/>
    <col width="40.44" customWidth="1" style="334" min="11" max="11"/>
  </cols>
  <sheetData>
    <row r="1" ht="14.25" customHeight="1" s="335">
      <c r="A1" s="432" t="inlineStr">
        <is>
          <t>TYPE : SCD TYPE 1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80" t="inlineStr">
        <is>
          <t>Nguồn</t>
        </is>
      </c>
      <c r="B2" s="480" t="inlineStr">
        <is>
          <t>Bảng nguồn</t>
        </is>
      </c>
      <c r="C2" s="480" t="inlineStr">
        <is>
          <t>Short table</t>
        </is>
      </c>
      <c r="D2" s="480" t="inlineStr">
        <is>
          <t>Business Rule</t>
        </is>
      </c>
    </row>
    <row r="3" ht="14.25" customHeight="1" s="335">
      <c r="A3" s="370" t="inlineStr">
        <is>
          <t>PG_BRONZE</t>
        </is>
      </c>
      <c r="B3" s="370" t="inlineStr">
        <is>
          <t>LOS_APP_PRODUCT, FLEXBO_PGB_LOS_CONTRACT_FIELDS_TDATE, T24CORE_LD_LOANS_AND_DEPOSITS</t>
        </is>
      </c>
      <c r="C3" s="368" t="inlineStr">
        <is>
          <t>pd</t>
        </is>
      </c>
      <c r="D3" s="372" t="inlineStr">
        <is>
          <t>WHERE pd.ETL_DATE = ${ETL_DATE} -- Bảng danh mục Sản phẩm tín dụng chuẩn hóa hợp nhất (UNION DISTINCT) từ:
  (1) PG_BRONZE.LOS_APP_PRODUCT (PRODUCT_CODE, PRODUCT_NAME)
  (2) PG_BRONZE.FLEXBO_PGB_LOS_CONTRACT_FIELDS_TDATE (SAN_PHAM_CHO_VAY_KHCN, SAN_PHAM_CHO_VAY_KHDN)
  (3) PG_BRONZE.T24CORE_LD_LOANS_AND_DEPOSITS (PRODUCTGR_CODE)</t>
        </is>
      </c>
    </row>
    <row r="4" ht="14.25" customHeight="1" s="335"/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32" t="inlineStr">
        <is>
          <t>Ghi chú kỹ thuật &amp; Business Rule</t>
        </is>
      </c>
    </row>
    <row r="6" ht="14.25" customHeight="1" s="335">
      <c r="A6" s="415" t="inlineStr">
        <is>
          <t>PG_BRONZE</t>
        </is>
      </c>
      <c r="B6" s="415" t="inlineStr">
        <is>
          <t>LOS_APP_PRODUCT, FLEXBO_PGB_LOS_CONTRACT_FIELDS_TDATE, T24CORE_LD_LOANS_AND_DEPOSITS</t>
        </is>
      </c>
      <c r="C6" s="433" t="inlineStr">
        <is>
          <t>PRODUCT_CODE, SAN_PHAM_CHO_VAY_KHCN, SAN_PHAM_CHO_VAY_KHDN, PRODUCTGR_CODE, ID, RECID</t>
        </is>
      </c>
      <c r="D6" s="433" t="inlineStr">
        <is>
          <t>fn_hash("T24_PRODUCT", pd.PRODUCT_CODE)</t>
        </is>
      </c>
      <c r="E6" s="433" t="inlineStr">
        <is>
          <t>Product</t>
        </is>
      </c>
      <c r="F6" s="334" t="inlineStr">
        <is>
          <t>Product ID</t>
        </is>
      </c>
      <c r="G6" s="558" t="inlineStr">
        <is>
          <t>PD</t>
        </is>
      </c>
      <c r="H6" s="558" t="inlineStr">
        <is>
          <t>PD_ID</t>
        </is>
      </c>
      <c r="I6" s="415" t="inlineStr">
        <is>
          <t>CHAR</t>
        </is>
      </c>
      <c r="J6" s="415" t="n">
        <v>32</v>
      </c>
      <c r="K6" s="415" t="inlineStr">
        <is>
          <t>Unique key trên DWH</t>
        </is>
      </c>
      <c r="M6" s="334">
        <f>"COMMENT ON COLUMN PG_SILVER."&amp;G6&amp;"."&amp;H6&amp;" IS '"&amp;K6&amp;"';"</f>
        <v/>
      </c>
    </row>
    <row r="7" ht="14.25" customHeight="1" s="335">
      <c r="A7" s="415" t="inlineStr">
        <is>
          <t>PG_BRONZE</t>
        </is>
      </c>
      <c r="B7" s="415" t="inlineStr">
        <is>
          <t>LOS_APP_PRODUCT</t>
        </is>
      </c>
      <c r="C7" s="433" t="inlineStr">
        <is>
          <t>PRODUCT_CODE</t>
        </is>
      </c>
      <c r="D7" s="433" t="inlineStr">
        <is>
          <t>1:1</t>
        </is>
      </c>
      <c r="E7" s="433" t="inlineStr">
        <is>
          <t>Product</t>
        </is>
      </c>
      <c r="F7" s="433" t="inlineStr">
        <is>
          <t>Product Code</t>
        </is>
      </c>
      <c r="G7" s="558" t="inlineStr">
        <is>
          <t>PD</t>
        </is>
      </c>
      <c r="H7" s="558" t="inlineStr">
        <is>
          <t>PD_CODE</t>
        </is>
      </c>
      <c r="I7" s="415" t="inlineStr">
        <is>
          <t>VARCHAR2</t>
        </is>
      </c>
      <c r="J7" s="415" t="n">
        <v>32</v>
      </c>
      <c r="K7" s="433" t="inlineStr">
        <is>
          <t>Mã sản phẩm</t>
        </is>
      </c>
      <c r="M7" s="334">
        <f>"COMMENT ON COLUMN PG_SILVER."&amp;G7&amp;"."&amp;H7&amp;" IS '"&amp;K7&amp;"';"</f>
        <v/>
      </c>
    </row>
    <row r="8" ht="14.25" customHeight="1" s="335">
      <c r="A8" s="415" t="inlineStr">
        <is>
          <t>PG_BRONZE</t>
        </is>
      </c>
      <c r="B8" s="415" t="inlineStr">
        <is>
          <t>LOS_APP_PRODUCT</t>
        </is>
      </c>
      <c r="C8" s="433" t="inlineStr">
        <is>
          <t>PRODUCT_NAME</t>
        </is>
      </c>
      <c r="D8" s="433" t="inlineStr">
        <is>
          <t>1:1</t>
        </is>
      </c>
      <c r="E8" s="433" t="inlineStr">
        <is>
          <t>Product</t>
        </is>
      </c>
      <c r="F8" s="433" t="inlineStr">
        <is>
          <t>Product Name</t>
        </is>
      </c>
      <c r="G8" s="558" t="inlineStr">
        <is>
          <t>PD</t>
        </is>
      </c>
      <c r="H8" s="558" t="inlineStr">
        <is>
          <t>PD_NM</t>
        </is>
      </c>
      <c r="I8" s="415" t="inlineStr">
        <is>
          <t>VARCHAR2</t>
        </is>
      </c>
      <c r="J8" s="415" t="n">
        <v>255</v>
      </c>
      <c r="K8" s="433" t="inlineStr">
        <is>
          <t>Tên sản phẩm</t>
        </is>
      </c>
      <c r="M8" s="334">
        <f>"COMMENT ON COLUMN PG_SILVER."&amp;G8&amp;"."&amp;H8&amp;" IS '"&amp;K8&amp;"';"</f>
        <v/>
      </c>
    </row>
    <row r="9" ht="14.25" customHeight="1" s="335">
      <c r="A9" s="415" t="inlineStr">
        <is>
          <t>PG_BRONZE</t>
        </is>
      </c>
      <c r="B9" s="415" t="inlineStr">
        <is>
          <t>LOS_APP_PRODUCT</t>
        </is>
      </c>
      <c r="C9" s="415" t="inlineStr">
        <is>
          <t>PRODUCT_CODE</t>
        </is>
      </c>
      <c r="D9" s="415" t="inlineStr">
        <is>
          <t>'T24_PRODUCT'</t>
        </is>
      </c>
      <c r="E9" s="433" t="inlineStr">
        <is>
          <t>Product</t>
        </is>
      </c>
      <c r="F9" s="334" t="inlineStr">
        <is>
          <t>Source System Code</t>
        </is>
      </c>
      <c r="G9" s="558" t="inlineStr">
        <is>
          <t>PD</t>
        </is>
      </c>
      <c r="H9" s="415" t="inlineStr">
        <is>
          <t>SRC_STM_CODE</t>
        </is>
      </c>
      <c r="I9" s="415" t="inlineStr">
        <is>
          <t>VARCHAR2</t>
        </is>
      </c>
      <c r="J9" s="415" t="n">
        <v>20</v>
      </c>
      <c r="K9" s="415" t="inlineStr">
        <is>
          <t>Mã nguồn dữ liệu</t>
        </is>
      </c>
      <c r="M9" s="334">
        <f>"COMMENT ON COLUMN PG_SILVER."&amp;G9&amp;"."&amp;H9&amp;" IS '"&amp;K9&amp;"';"</f>
        <v/>
      </c>
    </row>
    <row r="10" ht="14.25" customHeight="1" s="335">
      <c r="A10" s="415" t="inlineStr">
        <is>
          <t>PG_BRONZE</t>
        </is>
      </c>
      <c r="B10" s="415" t="inlineStr">
        <is>
          <t>LOS_APP_PRODUCT</t>
        </is>
      </c>
      <c r="C10" s="415" t="inlineStr">
        <is>
          <t>PRODUCT_CODE</t>
        </is>
      </c>
      <c r="D10" s="415" t="inlineStr">
        <is>
          <t>ETL_DATE if not exists PD_ID</t>
        </is>
      </c>
      <c r="E10" s="433" t="inlineStr">
        <is>
          <t>Product</t>
        </is>
      </c>
      <c r="F10" s="415" t="inlineStr">
        <is>
          <t>System Effective Date</t>
        </is>
      </c>
      <c r="G10" s="558" t="inlineStr">
        <is>
          <t>PD</t>
        </is>
      </c>
      <c r="H10" s="415" t="inlineStr">
        <is>
          <t>SYS_EFF_DT</t>
        </is>
      </c>
      <c r="I10" s="415" t="inlineStr">
        <is>
          <t>DATE</t>
        </is>
      </c>
      <c r="J10" s="415" t="n"/>
      <c r="K10" s="415" t="inlineStr">
        <is>
          <t>Ngày hiệu lực bản ghi</t>
        </is>
      </c>
      <c r="L10" s="415" t="inlineStr">
        <is>
          <t>SYS_EFF_DT</t>
        </is>
      </c>
      <c r="M10" s="415">
        <f>"COMMENT ON COLUMN PG_SILVER."&amp;G10&amp;"."&amp;H10&amp;" IS '"&amp;K10&amp;"';"</f>
        <v/>
      </c>
      <c r="N10" s="415" t="inlineStr">
        <is>
          <t>Thêm cột SYS_EFF_DT để đồng bộ với bảng hạ nguồn PG_GOLD.DIM_PD.</t>
        </is>
      </c>
    </row>
    <row r="11" ht="14.25" customHeight="1" s="335">
      <c r="A11" s="415" t="inlineStr">
        <is>
          <t>PG_BRONZE</t>
        </is>
      </c>
      <c r="B11" s="415" t="inlineStr">
        <is>
          <t>LOS_APP_PRODUCT</t>
        </is>
      </c>
      <c r="C11" s="415" t="inlineStr">
        <is>
          <t>PRODUCT_CODE</t>
        </is>
      </c>
      <c r="D11" s="415" t="inlineStr">
        <is>
          <t>ETL_DATE if PRODUCT_CODE was deleted</t>
        </is>
      </c>
      <c r="E11" s="433" t="inlineStr">
        <is>
          <t>Product</t>
        </is>
      </c>
      <c r="F11" s="415" t="inlineStr">
        <is>
          <t>System Expiry Date</t>
        </is>
      </c>
      <c r="G11" s="558" t="inlineStr">
        <is>
          <t>PD</t>
        </is>
      </c>
      <c r="H11" s="415" t="inlineStr">
        <is>
          <t>SYS_EXP_DT</t>
        </is>
      </c>
      <c r="I11" s="415" t="inlineStr">
        <is>
          <t>DATE</t>
        </is>
      </c>
      <c r="J11" s="415" t="n"/>
      <c r="K11" s="415" t="inlineStr">
        <is>
          <t>Ngày hết hiệu lực bản ghi</t>
        </is>
      </c>
      <c r="L11" s="415" t="inlineStr">
        <is>
          <t>SYS_EXP_DT</t>
        </is>
      </c>
      <c r="M11" s="415">
        <f>"COMMENT ON COLUMN PG_SILVER."&amp;G11&amp;"."&amp;H11&amp;" IS '"&amp;K11&amp;"';"</f>
        <v/>
      </c>
      <c r="N11" s="415" t="inlineStr">
        <is>
          <t>Thêm cột SYS_EXP_DT để đồng bộ với bảng hạ nguồn PG_GOLD.DIM_PD.</t>
        </is>
      </c>
    </row>
    <row r="12" ht="14.25" customHeight="1" s="335">
      <c r="A12" s="415" t="inlineStr">
        <is>
          <t>PG_BRONZE</t>
        </is>
      </c>
      <c r="B12" s="415" t="inlineStr">
        <is>
          <t>LOS_APP_PRODUCT</t>
        </is>
      </c>
      <c r="C12" s="415" t="inlineStr">
        <is>
          <t>PRODUCT_CODE</t>
        </is>
      </c>
      <c r="D12" s="415" t="inlineStr">
        <is>
          <t>ETL_DATE</t>
        </is>
      </c>
      <c r="E12" s="433" t="inlineStr">
        <is>
          <t>Product</t>
        </is>
      </c>
      <c r="F12" s="415" t="inlineStr">
        <is>
          <t>System Update Date</t>
        </is>
      </c>
      <c r="G12" s="558" t="inlineStr">
        <is>
          <t>PD</t>
        </is>
      </c>
      <c r="H12" s="415" t="inlineStr">
        <is>
          <t>SYS_UDT_DT</t>
        </is>
      </c>
      <c r="I12" s="415" t="inlineStr">
        <is>
          <t>DATE</t>
        </is>
      </c>
      <c r="J12" s="415" t="n"/>
      <c r="K12" s="415" t="inlineStr">
        <is>
          <t>Ngày cập nhật bản ghi</t>
        </is>
      </c>
      <c r="L12" s="415" t="inlineStr">
        <is>
          <t>SYS_UDT_DT</t>
        </is>
      </c>
      <c r="M12" s="415">
        <f>"COMMENT ON COLUMN PG_SILVER."&amp;G12&amp;"."&amp;H12&amp;" IS '"&amp;K12&amp;"';"</f>
        <v/>
      </c>
      <c r="N12" s="415" t="inlineStr">
        <is>
          <t>Hợp lệ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N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29.44" customWidth="1" style="334" min="3" max="3"/>
    <col width="30.44" customWidth="1" style="334" min="4" max="4"/>
    <col width="34.66" customWidth="1" style="334" min="5" max="5"/>
    <col width="29.44" customWidth="1" style="334" min="6" max="6"/>
    <col width="16.67" customWidth="1" style="334" min="7" max="7"/>
    <col width="18.88" customWidth="1" style="334" min="8" max="8"/>
    <col width="6.67" customWidth="1" style="334" min="10" max="10"/>
    <col width="40.44" customWidth="1" style="334" min="11" max="11"/>
  </cols>
  <sheetData>
    <row r="1" ht="14.25" customHeight="1" s="335">
      <c r="A1" s="432" t="inlineStr">
        <is>
          <t>TYPE : SCD TYPE 1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80" t="inlineStr">
        <is>
          <t>Nguồn</t>
        </is>
      </c>
      <c r="B2" s="480" t="inlineStr">
        <is>
          <t>Bảng nguồn</t>
        </is>
      </c>
      <c r="C2" s="480" t="inlineStr">
        <is>
          <t>Short table</t>
        </is>
      </c>
      <c r="D2" s="480" t="inlineStr">
        <is>
          <t>Business Rule</t>
        </is>
      </c>
    </row>
    <row r="3" ht="14.25" customHeight="1" s="335">
      <c r="A3" s="370" t="inlineStr">
        <is>
          <t>PG_BRONZE</t>
        </is>
      </c>
      <c r="B3" s="370" t="inlineStr">
        <is>
          <t>T24CORE_COMPANY</t>
        </is>
      </c>
      <c r="C3" s="368" t="inlineStr">
        <is>
          <t>ou</t>
        </is>
      </c>
      <c r="D3" s="372" t="inlineStr">
        <is>
          <t>WHERE ou.ETL_DATE = ${ETL_DATE} -- Bảng danh mục Đơn vị / Chi nhánh ngân hàng</t>
        </is>
      </c>
    </row>
    <row r="4" ht="14.25" customHeight="1" s="335"/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32" t="inlineStr">
        <is>
          <t>Ghi chú kỹ thuật &amp; Business Rule</t>
        </is>
      </c>
    </row>
    <row r="6" ht="14.25" customHeight="1" s="335">
      <c r="A6" s="433" t="inlineStr">
        <is>
          <t>PG_BRONZE</t>
        </is>
      </c>
      <c r="B6" s="415" t="inlineStr">
        <is>
          <t>T24CORE_COMPANY</t>
        </is>
      </c>
      <c r="C6" s="433" t="inlineStr">
        <is>
          <t>RECID</t>
        </is>
      </c>
      <c r="D6" s="433" t="inlineStr">
        <is>
          <t>fn_hash("T24_COMPANY", ou.RECID)</t>
        </is>
      </c>
      <c r="E6" s="433" t="inlineStr">
        <is>
          <t>Organization Unit</t>
        </is>
      </c>
      <c r="F6" s="334" t="inlineStr">
        <is>
          <t>Organization Unit ID</t>
        </is>
      </c>
      <c r="G6" s="558" t="inlineStr">
        <is>
          <t>OU</t>
        </is>
      </c>
      <c r="H6" s="558" t="inlineStr">
        <is>
          <t>OU_ID</t>
        </is>
      </c>
      <c r="I6" s="415" t="inlineStr">
        <is>
          <t>CHAR</t>
        </is>
      </c>
      <c r="J6" s="415" t="n">
        <v>32</v>
      </c>
      <c r="K6" s="415" t="inlineStr">
        <is>
          <t>Unique key trên DWH</t>
        </is>
      </c>
      <c r="M6" s="334">
        <f>"COMMENT ON COLUMN PG_SILVER."&amp;G6&amp;"."&amp;H6&amp;" IS '"&amp;K6&amp;"';"</f>
        <v/>
      </c>
    </row>
    <row r="7" ht="14.25" customHeight="1" s="335">
      <c r="A7" s="433" t="inlineStr">
        <is>
          <t>PG_BRONZE</t>
        </is>
      </c>
      <c r="B7" s="415" t="inlineStr">
        <is>
          <t>T24CORE_COMPANY</t>
        </is>
      </c>
      <c r="C7" s="433" t="inlineStr">
        <is>
          <t>RECID</t>
        </is>
      </c>
      <c r="D7" s="433" t="inlineStr">
        <is>
          <t>1:1</t>
        </is>
      </c>
      <c r="E7" s="433" t="inlineStr">
        <is>
          <t>Organization Unit</t>
        </is>
      </c>
      <c r="F7" s="433" t="inlineStr">
        <is>
          <t>Organization Unit Code</t>
        </is>
      </c>
      <c r="G7" s="558" t="inlineStr">
        <is>
          <t>OU</t>
        </is>
      </c>
      <c r="H7" s="558" t="inlineStr">
        <is>
          <t>OU_CODE</t>
        </is>
      </c>
      <c r="I7" s="415" t="inlineStr">
        <is>
          <t>VARCHAR2</t>
        </is>
      </c>
      <c r="J7" s="415" t="n">
        <v>32</v>
      </c>
      <c r="K7" s="433" t="inlineStr">
        <is>
          <t>Mã chi nhánh</t>
        </is>
      </c>
      <c r="M7" s="334">
        <f>"COMMENT ON COLUMN PG_SILVER."&amp;G7&amp;"."&amp;H7&amp;" IS '"&amp;K7&amp;"';"</f>
        <v/>
      </c>
    </row>
    <row r="8" ht="14.25" customHeight="1" s="335">
      <c r="A8" s="433" t="inlineStr">
        <is>
          <t>PG_BRONZE</t>
        </is>
      </c>
      <c r="B8" s="415" t="inlineStr">
        <is>
          <t>T24CORE_COMPANY</t>
        </is>
      </c>
      <c r="C8" s="433" t="inlineStr">
        <is>
          <t>COMPANY_NAME</t>
        </is>
      </c>
      <c r="D8" s="433" t="inlineStr">
        <is>
          <t>1:1</t>
        </is>
      </c>
      <c r="E8" s="433" t="inlineStr">
        <is>
          <t>Organization Unit</t>
        </is>
      </c>
      <c r="F8" s="433" t="inlineStr">
        <is>
          <t>Organization Unit Name</t>
        </is>
      </c>
      <c r="G8" s="558" t="inlineStr">
        <is>
          <t>OU</t>
        </is>
      </c>
      <c r="H8" s="558" t="inlineStr">
        <is>
          <t>OU_NM</t>
        </is>
      </c>
      <c r="I8" s="415" t="inlineStr">
        <is>
          <t>VARCHAR2</t>
        </is>
      </c>
      <c r="J8" s="415" t="n">
        <v>300</v>
      </c>
      <c r="K8" s="433" t="inlineStr">
        <is>
          <t>Tên chi nhánh</t>
        </is>
      </c>
      <c r="M8" s="334">
        <f>"COMMENT ON COLUMN PG_SILVER."&amp;G8&amp;"."&amp;H8&amp;" IS '"&amp;K8&amp;"';"</f>
        <v/>
      </c>
    </row>
    <row r="9" ht="14.25" customHeight="1" s="335">
      <c r="A9" s="415" t="inlineStr">
        <is>
          <t>PG_BRONZE</t>
        </is>
      </c>
      <c r="B9" s="415" t="inlineStr">
        <is>
          <t>T24CORE_COMPANY</t>
        </is>
      </c>
      <c r="C9" s="415" t="inlineStr">
        <is>
          <t>RECID</t>
        </is>
      </c>
      <c r="D9" s="415" t="inlineStr">
        <is>
          <t>ETL_DATE if not exists OU_ID</t>
        </is>
      </c>
      <c r="E9" s="433" t="inlineStr">
        <is>
          <t>Organization Unit</t>
        </is>
      </c>
      <c r="F9" s="415" t="inlineStr">
        <is>
          <t>System Effective Date</t>
        </is>
      </c>
      <c r="G9" s="558" t="inlineStr">
        <is>
          <t>OU</t>
        </is>
      </c>
      <c r="H9" s="415" t="inlineStr">
        <is>
          <t>SYS_EFF_DT</t>
        </is>
      </c>
      <c r="I9" s="415" t="inlineStr">
        <is>
          <t>DATE</t>
        </is>
      </c>
      <c r="J9" s="415" t="n"/>
      <c r="K9" s="415" t="inlineStr">
        <is>
          <t>Ngày bản ghi lần đầu tiên vào hệ thống</t>
        </is>
      </c>
      <c r="M9" s="334">
        <f>"COMMENT ON COLUMN PG_SILVER."&amp;G9&amp;"."&amp;H9&amp;" IS '"&amp;K9&amp;"';"</f>
        <v/>
      </c>
    </row>
    <row r="10" ht="14.25" customHeight="1" s="335">
      <c r="A10" s="415" t="inlineStr">
        <is>
          <t>PG_BRONZE</t>
        </is>
      </c>
      <c r="B10" s="415" t="inlineStr">
        <is>
          <t>T24CORE_COMPANY</t>
        </is>
      </c>
      <c r="C10" s="415" t="inlineStr">
        <is>
          <t>RECID</t>
        </is>
      </c>
      <c r="D10" s="415" t="inlineStr">
        <is>
          <t>ETL_DATE if RECID was deleted</t>
        </is>
      </c>
      <c r="E10" s="433" t="inlineStr">
        <is>
          <t>Organization Unit</t>
        </is>
      </c>
      <c r="F10" s="415" t="inlineStr">
        <is>
          <t>System Expiry Date</t>
        </is>
      </c>
      <c r="G10" s="558" t="inlineStr">
        <is>
          <t>OU</t>
        </is>
      </c>
      <c r="H10" s="415" t="inlineStr">
        <is>
          <t>SYS_EXP_DT</t>
        </is>
      </c>
      <c r="I10" s="415" t="inlineStr">
        <is>
          <t>DATE</t>
        </is>
      </c>
      <c r="J10" s="415" t="n"/>
      <c r="K10" s="415" t="inlineStr">
        <is>
          <t>Ngày hết hạn của bản ghi</t>
        </is>
      </c>
      <c r="M10" s="334">
        <f>"COMMENT ON COLUMN PG_SILVER."&amp;G10&amp;"."&amp;H10&amp;" IS '"&amp;K10&amp;"';"</f>
        <v/>
      </c>
    </row>
    <row r="11" ht="14.25" customHeight="1" s="335">
      <c r="A11" s="415" t="inlineStr">
        <is>
          <t>PG_BRONZE</t>
        </is>
      </c>
      <c r="B11" s="415" t="inlineStr">
        <is>
          <t>T24CORE_COMPANY</t>
        </is>
      </c>
      <c r="C11" s="415" t="inlineStr">
        <is>
          <t>RECID</t>
        </is>
      </c>
      <c r="D11" s="415" t="inlineStr">
        <is>
          <t>ETL_DATE</t>
        </is>
      </c>
      <c r="E11" s="433" t="inlineStr">
        <is>
          <t>Organization Unit</t>
        </is>
      </c>
      <c r="F11" s="415" t="inlineStr">
        <is>
          <t>System Update Date</t>
        </is>
      </c>
      <c r="G11" s="558" t="inlineStr">
        <is>
          <t>OU</t>
        </is>
      </c>
      <c r="H11" s="415" t="inlineStr">
        <is>
          <t>SYS_UDT_DT</t>
        </is>
      </c>
      <c r="I11" s="415" t="inlineStr">
        <is>
          <t>DATE</t>
        </is>
      </c>
      <c r="J11" s="415" t="n"/>
      <c r="K11" s="415" t="inlineStr">
        <is>
          <t>Ngày update dữ liệu gần nhất</t>
        </is>
      </c>
      <c r="M11" s="334">
        <f>"COMMENT ON COLUMN PG_SILVER."&amp;G11&amp;"."&amp;H11&amp;" IS '"&amp;K11&amp;"';"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N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4.4453125" defaultRowHeight="14.25" zeroHeight="0" outlineLevelRow="0"/>
  <cols>
    <col width="23.56" customWidth="1" style="334" min="2" max="2"/>
    <col width="29.44" customWidth="1" style="334" min="3" max="3"/>
    <col width="30.44" customWidth="1" style="334" min="4" max="4"/>
    <col width="34.66" customWidth="1" style="334" min="5" max="5"/>
    <col width="29.44" customWidth="1" style="334" min="6" max="6"/>
    <col width="16.67" customWidth="1" style="334" min="7" max="7"/>
    <col width="18.88" customWidth="1" style="334" min="8" max="8"/>
    <col width="6.67" customWidth="1" style="334" min="10" max="10"/>
    <col width="40.44" customWidth="1" style="334" min="11" max="11"/>
  </cols>
  <sheetData>
    <row r="1" ht="14.25" customHeight="1" s="335">
      <c r="A1" s="432" t="inlineStr">
        <is>
          <t>TYPE : SCD TYPE 1</t>
        </is>
      </c>
      <c r="B1" s="432" t="n"/>
      <c r="C1" s="432" t="n"/>
      <c r="D1" s="432" t="n"/>
      <c r="E1" s="432" t="n"/>
      <c r="F1" s="432" t="n"/>
      <c r="G1" s="432" t="n"/>
      <c r="H1" s="432" t="n"/>
      <c r="I1" s="432" t="n"/>
      <c r="J1" s="432" t="n"/>
      <c r="K1" s="432" t="n"/>
    </row>
    <row r="2" ht="14.25" customHeight="1" s="335">
      <c r="A2" s="480" t="inlineStr">
        <is>
          <t>Nguồn</t>
        </is>
      </c>
      <c r="B2" s="480" t="inlineStr">
        <is>
          <t>Bảng nguồn</t>
        </is>
      </c>
      <c r="C2" s="480" t="inlineStr">
        <is>
          <t>Short table</t>
        </is>
      </c>
      <c r="D2" s="480" t="inlineStr">
        <is>
          <t>Business Rule</t>
        </is>
      </c>
    </row>
    <row r="3" ht="14.25" customHeight="1" s="335">
      <c r="A3" s="370" t="inlineStr">
        <is>
          <t>PG_BRONZE</t>
        </is>
      </c>
      <c r="B3" s="370" t="inlineStr">
        <is>
          <t>T24CORE_DEPT_ACCT_OFFICER</t>
        </is>
      </c>
      <c r="C3" s="368" t="inlineStr">
        <is>
          <t>empe</t>
        </is>
      </c>
      <c r="D3" s="372" t="inlineStr">
        <is>
          <t>WHERE empe.ETL_DATE = ${ETL_DATE} -- Bảng danh mục Cán bộ / Nhân viên ngân hàng</t>
        </is>
      </c>
    </row>
    <row r="4" ht="14.25" customHeight="1" s="335"/>
    <row r="5" ht="14.25" customHeight="1" s="335">
      <c r="A5" s="432" t="inlineStr">
        <is>
          <t>Nguồn</t>
        </is>
      </c>
      <c r="B5" s="432" t="inlineStr">
        <is>
          <t>Bảng nguồn</t>
        </is>
      </c>
      <c r="C5" s="432" t="inlineStr">
        <is>
          <t>Cột nguồn</t>
        </is>
      </c>
      <c r="D5" s="432" t="inlineStr">
        <is>
          <t>Transform</t>
        </is>
      </c>
      <c r="E5" s="432" t="inlineStr">
        <is>
          <t>Entity</t>
        </is>
      </c>
      <c r="F5" s="432" t="inlineStr">
        <is>
          <t>Attribute</t>
        </is>
      </c>
      <c r="G5" s="432" t="inlineStr">
        <is>
          <t>Bảng đích</t>
        </is>
      </c>
      <c r="H5" s="432" t="inlineStr">
        <is>
          <t>Cột đích</t>
        </is>
      </c>
      <c r="I5" s="432" t="inlineStr">
        <is>
          <t>Kiểu dữ liệu</t>
        </is>
      </c>
      <c r="J5" s="432" t="inlineStr">
        <is>
          <t>Độ dài</t>
        </is>
      </c>
      <c r="K5" s="432" t="inlineStr">
        <is>
          <t>Diễn giải</t>
        </is>
      </c>
      <c r="L5" s="432" t="inlineStr">
        <is>
          <t>Glossary</t>
        </is>
      </c>
      <c r="M5" s="432" t="inlineStr">
        <is>
          <t>DDL Comment</t>
        </is>
      </c>
      <c r="N5" s="432" t="inlineStr">
        <is>
          <t>Ghi chú kỹ thuật &amp; Business Rule</t>
        </is>
      </c>
    </row>
    <row r="6" ht="14.25" customHeight="1" s="335">
      <c r="A6" s="433" t="inlineStr">
        <is>
          <t>PG_BRONZE</t>
        </is>
      </c>
      <c r="B6" s="415" t="inlineStr">
        <is>
          <t>T24CORE_DEPT_ACCT_OFFICER</t>
        </is>
      </c>
      <c r="C6" s="433" t="inlineStr">
        <is>
          <t>RECID</t>
        </is>
      </c>
      <c r="D6" s="433" t="inlineStr">
        <is>
          <t>fn_hash("T24_EMPLOYEE", empe.RECID)</t>
        </is>
      </c>
      <c r="E6" s="433" t="inlineStr">
        <is>
          <t>Employee</t>
        </is>
      </c>
      <c r="F6" s="334" t="inlineStr">
        <is>
          <t>Employee ID</t>
        </is>
      </c>
      <c r="G6" s="558" t="inlineStr">
        <is>
          <t>EMPE</t>
        </is>
      </c>
      <c r="H6" s="558" t="inlineStr">
        <is>
          <t>EMPE_ID</t>
        </is>
      </c>
      <c r="I6" s="415" t="inlineStr">
        <is>
          <t>CHAR</t>
        </is>
      </c>
      <c r="J6" s="415" t="n">
        <v>32</v>
      </c>
      <c r="K6" s="415" t="inlineStr">
        <is>
          <t>Unique key trên DWH</t>
        </is>
      </c>
      <c r="M6" s="334">
        <f>"COMMENT ON COLUMN PG_SILVER."&amp;G6&amp;"."&amp;H6&amp;" IS '"&amp;K6&amp;"';"</f>
        <v/>
      </c>
    </row>
    <row r="7" ht="14.25" customHeight="1" s="335">
      <c r="A7" s="433" t="inlineStr">
        <is>
          <t>PG_BRONZE</t>
        </is>
      </c>
      <c r="B7" s="415" t="inlineStr">
        <is>
          <t>T24CORE_DEPT_ACCT_OFFICER</t>
        </is>
      </c>
      <c r="C7" s="433" t="inlineStr">
        <is>
          <t>RECID</t>
        </is>
      </c>
      <c r="D7" s="433" t="inlineStr">
        <is>
          <t>1:1</t>
        </is>
      </c>
      <c r="E7" s="433" t="inlineStr">
        <is>
          <t>Employee</t>
        </is>
      </c>
      <c r="F7" s="433" t="inlineStr">
        <is>
          <t>Employee Code</t>
        </is>
      </c>
      <c r="G7" s="558" t="inlineStr">
        <is>
          <t>EMPE</t>
        </is>
      </c>
      <c r="H7" s="558" t="inlineStr">
        <is>
          <t>EMPE_CODE</t>
        </is>
      </c>
      <c r="I7" s="415" t="inlineStr">
        <is>
          <t>VARCHAR2</t>
        </is>
      </c>
      <c r="J7" s="415" t="n">
        <v>20</v>
      </c>
      <c r="K7" s="433" t="inlineStr">
        <is>
          <t>Mã NHÂN VIÊN</t>
        </is>
      </c>
      <c r="M7" s="334">
        <f>"COMMENT ON COLUMN PG_SILVER."&amp;G7&amp;"."&amp;H7&amp;" IS '"&amp;K7&amp;"';"</f>
        <v/>
      </c>
    </row>
    <row r="8" ht="14.25" customHeight="1" s="335">
      <c r="A8" s="433" t="inlineStr">
        <is>
          <t>PG_BRONZE</t>
        </is>
      </c>
      <c r="B8" s="415" t="inlineStr">
        <is>
          <t>T24CORE_DEPT_ACCT_OFFICER</t>
        </is>
      </c>
      <c r="C8" s="433" t="inlineStr">
        <is>
          <t>NAME</t>
        </is>
      </c>
      <c r="D8" s="433" t="inlineStr">
        <is>
          <t>1:1</t>
        </is>
      </c>
      <c r="E8" s="433" t="inlineStr">
        <is>
          <t>Employee</t>
        </is>
      </c>
      <c r="F8" s="433" t="inlineStr">
        <is>
          <t>Employee Name</t>
        </is>
      </c>
      <c r="G8" s="558" t="inlineStr">
        <is>
          <t>EMPE</t>
        </is>
      </c>
      <c r="H8" s="558" t="inlineStr">
        <is>
          <t>EMPE_NM</t>
        </is>
      </c>
      <c r="I8" s="415" t="inlineStr">
        <is>
          <t>VARCHAR2</t>
        </is>
      </c>
      <c r="J8" s="415" t="n">
        <v>255</v>
      </c>
      <c r="K8" s="433" t="inlineStr">
        <is>
          <t>Tên NHÂN VIÊN</t>
        </is>
      </c>
      <c r="M8" s="334">
        <f>"COMMENT ON COLUMN PG_SILVER."&amp;G8&amp;"."&amp;H8&amp;" IS '"&amp;K8&amp;"';"</f>
        <v/>
      </c>
    </row>
    <row r="9" ht="14.25" customHeight="1" s="335">
      <c r="A9" s="415" t="inlineStr">
        <is>
          <t>PG_BRONZE</t>
        </is>
      </c>
      <c r="B9" s="415" t="inlineStr">
        <is>
          <t>T24CORE_DEPT_ACCT_OFFICER</t>
        </is>
      </c>
      <c r="C9" s="415" t="inlineStr">
        <is>
          <t>RECID</t>
        </is>
      </c>
      <c r="D9" s="415" t="inlineStr">
        <is>
          <t>ETL_DATE if not exists EMPE_ID</t>
        </is>
      </c>
      <c r="E9" s="433" t="inlineStr">
        <is>
          <t>Employee</t>
        </is>
      </c>
      <c r="F9" s="415" t="inlineStr">
        <is>
          <t>System Effective Date</t>
        </is>
      </c>
      <c r="G9" s="558" t="inlineStr">
        <is>
          <t>EMPE</t>
        </is>
      </c>
      <c r="H9" s="415" t="inlineStr">
        <is>
          <t>SYS_EFF_DT</t>
        </is>
      </c>
      <c r="I9" s="415" t="inlineStr">
        <is>
          <t>DATE</t>
        </is>
      </c>
      <c r="J9" s="415" t="n"/>
      <c r="K9" s="415" t="inlineStr">
        <is>
          <t>Ngày bản ghi lần đầu tiên vào hệ thống</t>
        </is>
      </c>
      <c r="M9" s="334">
        <f>"COMMENT ON COLUMN PG_SILVER."&amp;G9&amp;"."&amp;H9&amp;" IS '"&amp;K9&amp;"';"</f>
        <v/>
      </c>
    </row>
    <row r="10" ht="14.25" customHeight="1" s="335">
      <c r="A10" s="415" t="inlineStr">
        <is>
          <t>PG_BRONZE</t>
        </is>
      </c>
      <c r="B10" s="415" t="inlineStr">
        <is>
          <t>T24CORE_DEPT_ACCT_OFFICER</t>
        </is>
      </c>
      <c r="C10" s="415" t="inlineStr">
        <is>
          <t>RECID</t>
        </is>
      </c>
      <c r="D10" s="415" t="inlineStr">
        <is>
          <t>ETL_DATE if RECID was deleted</t>
        </is>
      </c>
      <c r="E10" s="433" t="inlineStr">
        <is>
          <t>Employee</t>
        </is>
      </c>
      <c r="F10" s="415" t="inlineStr">
        <is>
          <t>System Expiry Date</t>
        </is>
      </c>
      <c r="G10" s="558" t="inlineStr">
        <is>
          <t>EMPE</t>
        </is>
      </c>
      <c r="H10" s="415" t="inlineStr">
        <is>
          <t>SYS_EXP_DT</t>
        </is>
      </c>
      <c r="I10" s="415" t="inlineStr">
        <is>
          <t>DATE</t>
        </is>
      </c>
      <c r="J10" s="415" t="n"/>
      <c r="K10" s="415" t="inlineStr">
        <is>
          <t>Ngày hết hạn của bản ghi</t>
        </is>
      </c>
      <c r="M10" s="334">
        <f>"COMMENT ON COLUMN PG_SILVER."&amp;G10&amp;"."&amp;H10&amp;" IS '"&amp;K10&amp;"';"</f>
        <v/>
      </c>
    </row>
    <row r="11" ht="14.25" customHeight="1" s="335">
      <c r="A11" s="415" t="inlineStr">
        <is>
          <t>PG_BRONZE</t>
        </is>
      </c>
      <c r="B11" s="415" t="inlineStr">
        <is>
          <t>T24CORE_DEPT_ACCT_OFFICER</t>
        </is>
      </c>
      <c r="C11" s="415" t="inlineStr">
        <is>
          <t>RECID</t>
        </is>
      </c>
      <c r="D11" s="415" t="inlineStr">
        <is>
          <t>ETL_DATE</t>
        </is>
      </c>
      <c r="E11" s="433" t="inlineStr">
        <is>
          <t>Employee</t>
        </is>
      </c>
      <c r="F11" s="415" t="inlineStr">
        <is>
          <t>System Update Date</t>
        </is>
      </c>
      <c r="G11" s="558" t="inlineStr">
        <is>
          <t>EMPE</t>
        </is>
      </c>
      <c r="H11" s="415" t="inlineStr">
        <is>
          <t>SYS_UDT_DT</t>
        </is>
      </c>
      <c r="I11" s="415" t="inlineStr">
        <is>
          <t>DATE</t>
        </is>
      </c>
      <c r="J11" s="415" t="n"/>
      <c r="K11" s="415" t="inlineStr">
        <is>
          <t>Ngày update dữ liệu gần nhất</t>
        </is>
      </c>
      <c r="M11" s="334">
        <f>"COMMENT ON COLUMN PG_SILVER."&amp;G11&amp;"."&amp;H11&amp;" IS '"&amp;K11&amp;"';"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:language xmlns:dc="http://purl.org/dc/elements/1.1/">en-US</dc:language>
  <dcterms:created xmlns:dcterms="http://purl.org/dc/terms/" xmlns:xsi="http://www.w3.org/2001/XMLSchema-instance" xsi:type="dcterms:W3CDTF">2026-10-22T12:12:33Z</dcterms:created>
  <dcterms:modified xmlns:dcterms="http://purl.org/dc/terms/" xmlns:xsi="http://www.w3.org/2001/XMLSchema-instance" xsi:type="dcterms:W3CDTF">2026-10-23T09:31:59Z</dcterms:modified>
  <cp:lastModifiedBy>vương FSS</cp:lastModifiedBy>
  <cp:revision>0</cp:revision>
</cp:coreProperties>
</file>